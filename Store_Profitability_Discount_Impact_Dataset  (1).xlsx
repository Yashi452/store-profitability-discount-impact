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A069F2FD2E1C49/Documents/"/>
    </mc:Choice>
  </mc:AlternateContent>
  <xr:revisionPtr revIDLastSave="0" documentId="8_{6EF2BCE5-60BE-442E-8CA0-788C1463EACB}" xr6:coauthVersionLast="47" xr6:coauthVersionMax="47" xr10:uidLastSave="{00000000-0000-0000-0000-000000000000}"/>
  <bookViews>
    <workbookView xWindow="-110" yWindow="-110" windowWidth="19420" windowHeight="11500" firstSheet="10" activeTab="10" xr2:uid="{00000000-000D-0000-FFFF-FFFF00000000}"/>
  </bookViews>
  <sheets>
    <sheet name="Sales_Data" sheetId="1" r:id="rId1"/>
    <sheet name="PROFIT BY CATEGORY" sheetId="4" r:id="rId2"/>
    <sheet name="PROFIT BY PRODUCT" sheetId="5" r:id="rId3"/>
    <sheet name="DISCOUNT IMPACT ON PROFIT" sheetId="6" r:id="rId4"/>
    <sheet name="PROFIT BY STATE" sheetId="7" r:id="rId5"/>
    <sheet name="PROFIT BY SALES_CHANNEL" sheetId="8" r:id="rId6"/>
    <sheet name="SALES vs PROFIT CATEGORY" sheetId="9" r:id="rId7"/>
    <sheet name="PROFIT MARGIN BY CATEGORY" sheetId="10" r:id="rId8"/>
    <sheet name="MONTHLY SALES &amp; PROFIT" sheetId="11" r:id="rId9"/>
    <sheet name="Analysis" sheetId="3" r:id="rId10"/>
    <sheet name="DASHBOARD" sheetId="13" r:id="rId11"/>
  </sheets>
  <definedNames>
    <definedName name="Slicer_Category1">#N/A</definedName>
    <definedName name="Slicer_Month1">#N/A</definedName>
    <definedName name="Slicer_Sales_Channel">#N/A</definedName>
    <definedName name="Slicer_State">#N/A</definedName>
  </definedNames>
  <calcPr calcId="191028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3" l="1"/>
  <c r="W6" i="13"/>
  <c r="K6" i="13"/>
  <c r="E6" i="13"/>
</calcChain>
</file>

<file path=xl/sharedStrings.xml><?xml version="1.0" encoding="utf-8"?>
<sst xmlns="http://schemas.openxmlformats.org/spreadsheetml/2006/main" count="16147" uniqueCount="1393">
  <si>
    <t>Order_ID</t>
  </si>
  <si>
    <t>Order_Date</t>
  </si>
  <si>
    <t>Month</t>
  </si>
  <si>
    <t>Month_No</t>
  </si>
  <si>
    <t>Customer_ID</t>
  </si>
  <si>
    <t>State</t>
  </si>
  <si>
    <t>Sales_Channel</t>
  </si>
  <si>
    <t>Category</t>
  </si>
  <si>
    <t>Product</t>
  </si>
  <si>
    <t>Quantity</t>
  </si>
  <si>
    <t>Unit_Price_INR</t>
  </si>
  <si>
    <t>Discount_Pct</t>
  </si>
  <si>
    <t>Gross_Sales_INR</t>
  </si>
  <si>
    <t>Discount_Amount_INR</t>
  </si>
  <si>
    <t>Net_Sales_INR</t>
  </si>
  <si>
    <t>Cost_INR</t>
  </si>
  <si>
    <t>Profit_INR</t>
  </si>
  <si>
    <t>Profit_Margin_Pct</t>
  </si>
  <si>
    <t>Payment_Method</t>
  </si>
  <si>
    <t>ORD0001</t>
  </si>
  <si>
    <t>April</t>
  </si>
  <si>
    <t>CUST0021</t>
  </si>
  <si>
    <t>Karnataka</t>
  </si>
  <si>
    <t>Retail Store</t>
  </si>
  <si>
    <t>Clothing</t>
  </si>
  <si>
    <t>Jacket</t>
  </si>
  <si>
    <t>Debit Card</t>
  </si>
  <si>
    <t>ORD0002</t>
  </si>
  <si>
    <t>March</t>
  </si>
  <si>
    <t>CUST0258</t>
  </si>
  <si>
    <t>Tamil Nadu</t>
  </si>
  <si>
    <t>Beauty</t>
  </si>
  <si>
    <t>Shampoo</t>
  </si>
  <si>
    <t>Cash</t>
  </si>
  <si>
    <t>ORD0003</t>
  </si>
  <si>
    <t>October</t>
  </si>
  <si>
    <t>CUST0049</t>
  </si>
  <si>
    <t>Telangana</t>
  </si>
  <si>
    <t>Marketplace</t>
  </si>
  <si>
    <t>Electronics</t>
  </si>
  <si>
    <t>Headphones</t>
  </si>
  <si>
    <t>ORD0004</t>
  </si>
  <si>
    <t>February</t>
  </si>
  <si>
    <t>West Bengal</t>
  </si>
  <si>
    <t>Jeans</t>
  </si>
  <si>
    <t>ORD0005</t>
  </si>
  <si>
    <t>CUST0053</t>
  </si>
  <si>
    <t>Delhi</t>
  </si>
  <si>
    <t>Sneakers</t>
  </si>
  <si>
    <t>ORD0006</t>
  </si>
  <si>
    <t>September</t>
  </si>
  <si>
    <t>CUST0002</t>
  </si>
  <si>
    <t>Rajasthan</t>
  </si>
  <si>
    <t>Office Supplies</t>
  </si>
  <si>
    <t>Printer Paper</t>
  </si>
  <si>
    <t>ORD0007</t>
  </si>
  <si>
    <t>November</t>
  </si>
  <si>
    <t>CUST0202</t>
  </si>
  <si>
    <t>Uttar Pradesh</t>
  </si>
  <si>
    <t>Perfume</t>
  </si>
  <si>
    <t>UPI</t>
  </si>
  <si>
    <t>ORD0008</t>
  </si>
  <si>
    <t>July</t>
  </si>
  <si>
    <t>CUST0217</t>
  </si>
  <si>
    <t>Online</t>
  </si>
  <si>
    <t>Sunscreen</t>
  </si>
  <si>
    <t>ORD0009</t>
  </si>
  <si>
    <t>December</t>
  </si>
  <si>
    <t>CUST0139</t>
  </si>
  <si>
    <t>Maharashtra</t>
  </si>
  <si>
    <t>ORD0010</t>
  </si>
  <si>
    <t>CUST0028</t>
  </si>
  <si>
    <t>Stapler</t>
  </si>
  <si>
    <t>Credit Card</t>
  </si>
  <si>
    <t>ORD0011</t>
  </si>
  <si>
    <t>CUST0035</t>
  </si>
  <si>
    <t>Madhya Pradesh</t>
  </si>
  <si>
    <t>Grocery</t>
  </si>
  <si>
    <t>Coffee</t>
  </si>
  <si>
    <t>ORD0012</t>
  </si>
  <si>
    <t>CUST0283</t>
  </si>
  <si>
    <t>ORD0013</t>
  </si>
  <si>
    <t>June</t>
  </si>
  <si>
    <t>CUST0231</t>
  </si>
  <si>
    <t>ORD0014</t>
  </si>
  <si>
    <t>CUST0134</t>
  </si>
  <si>
    <t>ORD0015</t>
  </si>
  <si>
    <t>Laptop</t>
  </si>
  <si>
    <t>ORD0016</t>
  </si>
  <si>
    <t>CUST0234</t>
  </si>
  <si>
    <t>Biscuits</t>
  </si>
  <si>
    <t>ORD0017</t>
  </si>
  <si>
    <t>CUST0295</t>
  </si>
  <si>
    <t>Net Banking</t>
  </si>
  <si>
    <t>ORD0018</t>
  </si>
  <si>
    <t>CUST0054</t>
  </si>
  <si>
    <t>ORD0019</t>
  </si>
  <si>
    <t>May</t>
  </si>
  <si>
    <t>CUST0247</t>
  </si>
  <si>
    <t>Furniture</t>
  </si>
  <si>
    <t>Bookshelf</t>
  </si>
  <si>
    <t>ORD0020</t>
  </si>
  <si>
    <t>CUST0240</t>
  </si>
  <si>
    <t>Tea</t>
  </si>
  <si>
    <t>ORD0021</t>
  </si>
  <si>
    <t>CUST0147</t>
  </si>
  <si>
    <t>ORD0022</t>
  </si>
  <si>
    <t>CUST0151</t>
  </si>
  <si>
    <t>Table</t>
  </si>
  <si>
    <t>ORD0023</t>
  </si>
  <si>
    <t>CUST0254</t>
  </si>
  <si>
    <t>Gujarat</t>
  </si>
  <si>
    <t>ORD0024</t>
  </si>
  <si>
    <t>August</t>
  </si>
  <si>
    <t>CUST0152</t>
  </si>
  <si>
    <t>ORD0025</t>
  </si>
  <si>
    <t>CUST0112</t>
  </si>
  <si>
    <t>T-Shirt</t>
  </si>
  <si>
    <t>ORD0026</t>
  </si>
  <si>
    <t>CUST0161</t>
  </si>
  <si>
    <t>Cabinet</t>
  </si>
  <si>
    <t>ORD0027</t>
  </si>
  <si>
    <t>CUST0022</t>
  </si>
  <si>
    <t>File Folder</t>
  </si>
  <si>
    <t>ORD0028</t>
  </si>
  <si>
    <t>CUST0284</t>
  </si>
  <si>
    <t>ORD0029</t>
  </si>
  <si>
    <t>CUST0017</t>
  </si>
  <si>
    <t>Pen Set</t>
  </si>
  <si>
    <t>ORD0030</t>
  </si>
  <si>
    <t>CUST0099</t>
  </si>
  <si>
    <t>ORD0031</t>
  </si>
  <si>
    <t>CUST0058</t>
  </si>
  <si>
    <t>ORD0032</t>
  </si>
  <si>
    <t>CUST0299</t>
  </si>
  <si>
    <t>ORD0033</t>
  </si>
  <si>
    <t>CUST0036</t>
  </si>
  <si>
    <t>ORD0034</t>
  </si>
  <si>
    <t>CUST0051</t>
  </si>
  <si>
    <t>Formal Shirt</t>
  </si>
  <si>
    <t>ORD0035</t>
  </si>
  <si>
    <t>ORD0036</t>
  </si>
  <si>
    <t>CUST0047</t>
  </si>
  <si>
    <t>ORD0037</t>
  </si>
  <si>
    <t>CUST0275</t>
  </si>
  <si>
    <t>Desk</t>
  </si>
  <si>
    <t>ORD0038</t>
  </si>
  <si>
    <t>CUST0129</t>
  </si>
  <si>
    <t>Rice</t>
  </si>
  <si>
    <t>ORD0039</t>
  </si>
  <si>
    <t>CUST0272</t>
  </si>
  <si>
    <t>ORD0040</t>
  </si>
  <si>
    <t>CUST0086</t>
  </si>
  <si>
    <t>ORD0041</t>
  </si>
  <si>
    <t>CUST0204</t>
  </si>
  <si>
    <t>Keyboard</t>
  </si>
  <si>
    <t>ORD0042</t>
  </si>
  <si>
    <t>CUST0246</t>
  </si>
  <si>
    <t>ORD0043</t>
  </si>
  <si>
    <t>CUST0004</t>
  </si>
  <si>
    <t>ORD0044</t>
  </si>
  <si>
    <t>CUST0033</t>
  </si>
  <si>
    <t>ORD0045</t>
  </si>
  <si>
    <t>CUST0043</t>
  </si>
  <si>
    <t>ORD0046</t>
  </si>
  <si>
    <t>CUST0090</t>
  </si>
  <si>
    <t>ORD0047</t>
  </si>
  <si>
    <t>Face Wash</t>
  </si>
  <si>
    <t>ORD0048</t>
  </si>
  <si>
    <t>CUST0096</t>
  </si>
  <si>
    <t>ORD0049</t>
  </si>
  <si>
    <t>CUST0273</t>
  </si>
  <si>
    <t>ORD0050</t>
  </si>
  <si>
    <t>CUST0233</t>
  </si>
  <si>
    <t>ORD0051</t>
  </si>
  <si>
    <t>CUST0025</t>
  </si>
  <si>
    <t>ORD0052</t>
  </si>
  <si>
    <t>CUST0223</t>
  </si>
  <si>
    <t>ORD0053</t>
  </si>
  <si>
    <t>CUST0253</t>
  </si>
  <si>
    <t>ORD0054</t>
  </si>
  <si>
    <t>CUST0136</t>
  </si>
  <si>
    <t>ORD0055</t>
  </si>
  <si>
    <t>ORD0056</t>
  </si>
  <si>
    <t>CUST0242</t>
  </si>
  <si>
    <t>Notebook</t>
  </si>
  <si>
    <t>ORD0057</t>
  </si>
  <si>
    <t>CUST0117</t>
  </si>
  <si>
    <t>ORD0058</t>
  </si>
  <si>
    <t>CUST0213</t>
  </si>
  <si>
    <t>Moisturizer</t>
  </si>
  <si>
    <t>ORD0059</t>
  </si>
  <si>
    <t>ORD0060</t>
  </si>
  <si>
    <t>January</t>
  </si>
  <si>
    <t>CUST0008</t>
  </si>
  <si>
    <t>ORD0061</t>
  </si>
  <si>
    <t>CUST0145</t>
  </si>
  <si>
    <t>ORD0062</t>
  </si>
  <si>
    <t>CUST0082</t>
  </si>
  <si>
    <t>ORD0063</t>
  </si>
  <si>
    <t>CUST0289</t>
  </si>
  <si>
    <t>Cooking Oil</t>
  </si>
  <si>
    <t>ORD0064</t>
  </si>
  <si>
    <t>ORD0065</t>
  </si>
  <si>
    <t>CUST0006</t>
  </si>
  <si>
    <t>ORD0066</t>
  </si>
  <si>
    <t>ORD0067</t>
  </si>
  <si>
    <t>CUST0288</t>
  </si>
  <si>
    <t>ORD0068</t>
  </si>
  <si>
    <t>ORD0069</t>
  </si>
  <si>
    <t>CUST0103</t>
  </si>
  <si>
    <t>ORD0070</t>
  </si>
  <si>
    <t>CUST0249</t>
  </si>
  <si>
    <t>ORD0071</t>
  </si>
  <si>
    <t>Smartphone</t>
  </si>
  <si>
    <t>ORD0072</t>
  </si>
  <si>
    <t>CUST0111</t>
  </si>
  <si>
    <t>ORD0073</t>
  </si>
  <si>
    <t>CUST0093</t>
  </si>
  <si>
    <t>ORD0074</t>
  </si>
  <si>
    <t>CUST0001</t>
  </si>
  <si>
    <t>ORD0075</t>
  </si>
  <si>
    <t>CUST0073</t>
  </si>
  <si>
    <t>Office Chair</t>
  </si>
  <si>
    <t>ORD0076</t>
  </si>
  <si>
    <t>CUST0113</t>
  </si>
  <si>
    <t>ORD0077</t>
  </si>
  <si>
    <t>CUST0007</t>
  </si>
  <si>
    <t>ORD0078</t>
  </si>
  <si>
    <t>CUST0119</t>
  </si>
  <si>
    <t>ORD0079</t>
  </si>
  <si>
    <t>CUST0013</t>
  </si>
  <si>
    <t>ORD0080</t>
  </si>
  <si>
    <t>CUST0034</t>
  </si>
  <si>
    <t>Monitor</t>
  </si>
  <si>
    <t>ORD0081</t>
  </si>
  <si>
    <t>CUST0226</t>
  </si>
  <si>
    <t>ORD0082</t>
  </si>
  <si>
    <t>ORD0083</t>
  </si>
  <si>
    <t>ORD0084</t>
  </si>
  <si>
    <t>CUST0062</t>
  </si>
  <si>
    <t>ORD0085</t>
  </si>
  <si>
    <t>ORD0086</t>
  </si>
  <si>
    <t>ORD0087</t>
  </si>
  <si>
    <t>CUST0138</t>
  </si>
  <si>
    <t>ORD0088</t>
  </si>
  <si>
    <t>CUST0038</t>
  </si>
  <si>
    <t>ORD0089</t>
  </si>
  <si>
    <t>CUST0137</t>
  </si>
  <si>
    <t>ORD0090</t>
  </si>
  <si>
    <t>CUST0229</t>
  </si>
  <si>
    <t>ORD0091</t>
  </si>
  <si>
    <t>CUST0237</t>
  </si>
  <si>
    <t>ORD0092</t>
  </si>
  <si>
    <t>CUST0153</t>
  </si>
  <si>
    <t>ORD0093</t>
  </si>
  <si>
    <t>CUST0179</t>
  </si>
  <si>
    <t>ORD0094</t>
  </si>
  <si>
    <t>ORD0095</t>
  </si>
  <si>
    <t>CUST0123</t>
  </si>
  <si>
    <t>ORD0096</t>
  </si>
  <si>
    <t>ORD0097</t>
  </si>
  <si>
    <t>ORD0098</t>
  </si>
  <si>
    <t>CUST0210</t>
  </si>
  <si>
    <t>ORD0099</t>
  </si>
  <si>
    <t>CUST0106</t>
  </si>
  <si>
    <t>ORD0100</t>
  </si>
  <si>
    <t>CUST0257</t>
  </si>
  <si>
    <t>ORD0101</t>
  </si>
  <si>
    <t>CUST0149</t>
  </si>
  <si>
    <t>ORD0102</t>
  </si>
  <si>
    <t>ORD0103</t>
  </si>
  <si>
    <t>CUST0182</t>
  </si>
  <si>
    <t>ORD0104</t>
  </si>
  <si>
    <t>CUST0154</t>
  </si>
  <si>
    <t>ORD0105</t>
  </si>
  <si>
    <t>CUST0063</t>
  </si>
  <si>
    <t>ORD0106</t>
  </si>
  <si>
    <t>CUST0158</t>
  </si>
  <si>
    <t>ORD0107</t>
  </si>
  <si>
    <t>ORD0108</t>
  </si>
  <si>
    <t>CUST0162</t>
  </si>
  <si>
    <t>ORD0109</t>
  </si>
  <si>
    <t>CUST0255</t>
  </si>
  <si>
    <t>ORD0110</t>
  </si>
  <si>
    <t>CUST0291</t>
  </si>
  <si>
    <t>ORD0111</t>
  </si>
  <si>
    <t>ORD0112</t>
  </si>
  <si>
    <t>ORD0113</t>
  </si>
  <si>
    <t>CUST0020</t>
  </si>
  <si>
    <t>ORD0114</t>
  </si>
  <si>
    <t>CUST0280</t>
  </si>
  <si>
    <t>ORD0115</t>
  </si>
  <si>
    <t>CUST0281</t>
  </si>
  <si>
    <t>ORD0116</t>
  </si>
  <si>
    <t>CUST0075</t>
  </si>
  <si>
    <t>ORD0117</t>
  </si>
  <si>
    <t>CUST0076</t>
  </si>
  <si>
    <t>ORD0118</t>
  </si>
  <si>
    <t>CUST0268</t>
  </si>
  <si>
    <t>ORD0119</t>
  </si>
  <si>
    <t>CUST0193</t>
  </si>
  <si>
    <t>ORD0120</t>
  </si>
  <si>
    <t>CUST0164</t>
  </si>
  <si>
    <t>ORD0121</t>
  </si>
  <si>
    <t>ORD0122</t>
  </si>
  <si>
    <t>ORD0123</t>
  </si>
  <si>
    <t>CUST0042</t>
  </si>
  <si>
    <t>ORD0124</t>
  </si>
  <si>
    <t>CUST0012</t>
  </si>
  <si>
    <t>ORD0125</t>
  </si>
  <si>
    <t>ORD0126</t>
  </si>
  <si>
    <t>CUST0089</t>
  </si>
  <si>
    <t>ORD0127</t>
  </si>
  <si>
    <t>ORD0128</t>
  </si>
  <si>
    <t>ORD0129</t>
  </si>
  <si>
    <t>CUST0183</t>
  </si>
  <si>
    <t>ORD0130</t>
  </si>
  <si>
    <t>CUST0108</t>
  </si>
  <si>
    <t>ORD0131</t>
  </si>
  <si>
    <t>ORD0132</t>
  </si>
  <si>
    <t>CUST0239</t>
  </si>
  <si>
    <t>ORD0133</t>
  </si>
  <si>
    <t>ORD0134</t>
  </si>
  <si>
    <t>CUST0140</t>
  </si>
  <si>
    <t>ORD0135</t>
  </si>
  <si>
    <t>CUST0199</t>
  </si>
  <si>
    <t>ORD0136</t>
  </si>
  <si>
    <t>CUST0107</t>
  </si>
  <si>
    <t>ORD0137</t>
  </si>
  <si>
    <t>ORD0138</t>
  </si>
  <si>
    <t>CUST0178</t>
  </si>
  <si>
    <t>ORD0139</t>
  </si>
  <si>
    <t>ORD0140</t>
  </si>
  <si>
    <t>CUST0195</t>
  </si>
  <si>
    <t>ORD0141</t>
  </si>
  <si>
    <t>CUST0124</t>
  </si>
  <si>
    <t>ORD0142</t>
  </si>
  <si>
    <t>CUST0114</t>
  </si>
  <si>
    <t>ORD0143</t>
  </si>
  <si>
    <t>ORD0144</t>
  </si>
  <si>
    <t>CUST0181</t>
  </si>
  <si>
    <t>ORD0145</t>
  </si>
  <si>
    <t>CUST0031</t>
  </si>
  <si>
    <t>ORD0146</t>
  </si>
  <si>
    <t>ORD0147</t>
  </si>
  <si>
    <t>CUST0163</t>
  </si>
  <si>
    <t>ORD0148</t>
  </si>
  <si>
    <t>CUST0037</t>
  </si>
  <si>
    <t>ORD0149</t>
  </si>
  <si>
    <t>ORD0150</t>
  </si>
  <si>
    <t>CUST0227</t>
  </si>
  <si>
    <t>ORD0151</t>
  </si>
  <si>
    <t>ORD0152</t>
  </si>
  <si>
    <t>CUST0271</t>
  </si>
  <si>
    <t>ORD0153</t>
  </si>
  <si>
    <t>CUST0027</t>
  </si>
  <si>
    <t>ORD0154</t>
  </si>
  <si>
    <t>ORD0155</t>
  </si>
  <si>
    <t>CUST0208</t>
  </si>
  <si>
    <t>ORD0156</t>
  </si>
  <si>
    <t>ORD0157</t>
  </si>
  <si>
    <t>ORD0158</t>
  </si>
  <si>
    <t>CUST0214</t>
  </si>
  <si>
    <t>ORD0159</t>
  </si>
  <si>
    <t>CUST0095</t>
  </si>
  <si>
    <t>ORD0160</t>
  </si>
  <si>
    <t>ORD0161</t>
  </si>
  <si>
    <t>ORD0162</t>
  </si>
  <si>
    <t>ORD0163</t>
  </si>
  <si>
    <t>ORD0164</t>
  </si>
  <si>
    <t>CUST0251</t>
  </si>
  <si>
    <t>ORD0165</t>
  </si>
  <si>
    <t>CUST0188</t>
  </si>
  <si>
    <t>ORD0166</t>
  </si>
  <si>
    <t>ORD0167</t>
  </si>
  <si>
    <t>CUST0211</t>
  </si>
  <si>
    <t>ORD0168</t>
  </si>
  <si>
    <t>CUST0207</t>
  </si>
  <si>
    <t>ORD0169</t>
  </si>
  <si>
    <t>CUST0293</t>
  </si>
  <si>
    <t>ORD0170</t>
  </si>
  <si>
    <t>CUST0250</t>
  </si>
  <si>
    <t>ORD0171</t>
  </si>
  <si>
    <t>CUST0186</t>
  </si>
  <si>
    <t>ORD0172</t>
  </si>
  <si>
    <t>ORD0173</t>
  </si>
  <si>
    <t>CUST0041</t>
  </si>
  <si>
    <t>ORD0174</t>
  </si>
  <si>
    <t>CUST0066</t>
  </si>
  <si>
    <t>ORD0175</t>
  </si>
  <si>
    <t>ORD0176</t>
  </si>
  <si>
    <t>CUST0264</t>
  </si>
  <si>
    <t>ORD0177</t>
  </si>
  <si>
    <t>CUST0120</t>
  </si>
  <si>
    <t>ORD0178</t>
  </si>
  <si>
    <t>CUST0285</t>
  </si>
  <si>
    <t>ORD0179</t>
  </si>
  <si>
    <t>ORD0180</t>
  </si>
  <si>
    <t>CUST0039</t>
  </si>
  <si>
    <t>ORD0181</t>
  </si>
  <si>
    <t>ORD0182</t>
  </si>
  <si>
    <t>CUST0290</t>
  </si>
  <si>
    <t>ORD0183</t>
  </si>
  <si>
    <t>ORD0184</t>
  </si>
  <si>
    <t>CUST0069</t>
  </si>
  <si>
    <t>ORD0185</t>
  </si>
  <si>
    <t>CUST0176</t>
  </si>
  <si>
    <t>ORD0186</t>
  </si>
  <si>
    <t>CUST0019</t>
  </si>
  <si>
    <t>ORD0187</t>
  </si>
  <si>
    <t>ORD0188</t>
  </si>
  <si>
    <t>CUST0224</t>
  </si>
  <si>
    <t>ORD0189</t>
  </si>
  <si>
    <t>CUST0265</t>
  </si>
  <si>
    <t>ORD0190</t>
  </si>
  <si>
    <t>ORD0191</t>
  </si>
  <si>
    <t>ORD0192</t>
  </si>
  <si>
    <t>CUST0052</t>
  </si>
  <si>
    <t>ORD0193</t>
  </si>
  <si>
    <t>CUST0263</t>
  </si>
  <si>
    <t>ORD0194</t>
  </si>
  <si>
    <t>CUST0172</t>
  </si>
  <si>
    <t>ORD0195</t>
  </si>
  <si>
    <t>CUST0026</t>
  </si>
  <si>
    <t>ORD0196</t>
  </si>
  <si>
    <t>ORD0197</t>
  </si>
  <si>
    <t>ORD0198</t>
  </si>
  <si>
    <t>ORD0199</t>
  </si>
  <si>
    <t>ORD0200</t>
  </si>
  <si>
    <t>ORD0201</t>
  </si>
  <si>
    <t>CUST0070</t>
  </si>
  <si>
    <t>ORD0202</t>
  </si>
  <si>
    <t>CUST0160</t>
  </si>
  <si>
    <t>ORD0203</t>
  </si>
  <si>
    <t>CUST0215</t>
  </si>
  <si>
    <t>ORD0204</t>
  </si>
  <si>
    <t>ORD0205</t>
  </si>
  <si>
    <t>ORD0206</t>
  </si>
  <si>
    <t>CUST0121</t>
  </si>
  <si>
    <t>ORD0207</t>
  </si>
  <si>
    <t>CUST0292</t>
  </si>
  <si>
    <t>ORD0208</t>
  </si>
  <si>
    <t>CUST0180</t>
  </si>
  <si>
    <t>ORD0209</t>
  </si>
  <si>
    <t>CUST0101</t>
  </si>
  <si>
    <t>ORD0210</t>
  </si>
  <si>
    <t>ORD0211</t>
  </si>
  <si>
    <t>CUST0276</t>
  </si>
  <si>
    <t>ORD0212</t>
  </si>
  <si>
    <t>CUST0110</t>
  </si>
  <si>
    <t>ORD0213</t>
  </si>
  <si>
    <t>ORD0214</t>
  </si>
  <si>
    <t>ORD0215</t>
  </si>
  <si>
    <t>CUST0267</t>
  </si>
  <si>
    <t>ORD0216</t>
  </si>
  <si>
    <t>ORD0217</t>
  </si>
  <si>
    <t>ORD0218</t>
  </si>
  <si>
    <t>CUST0014</t>
  </si>
  <si>
    <t>ORD0219</t>
  </si>
  <si>
    <t>CUST0079</t>
  </si>
  <si>
    <t>ORD0220</t>
  </si>
  <si>
    <t>ORD0221</t>
  </si>
  <si>
    <t>ORD0222</t>
  </si>
  <si>
    <t>ORD0223</t>
  </si>
  <si>
    <t>CUST0048</t>
  </si>
  <si>
    <t>ORD0224</t>
  </si>
  <si>
    <t>ORD0225</t>
  </si>
  <si>
    <t>CUST0087</t>
  </si>
  <si>
    <t>ORD0226</t>
  </si>
  <si>
    <t>CUST0277</t>
  </si>
  <si>
    <t>ORD0227</t>
  </si>
  <si>
    <t>CUST0261</t>
  </si>
  <si>
    <t>ORD0228</t>
  </si>
  <si>
    <t>ORD0229</t>
  </si>
  <si>
    <t>CUST0266</t>
  </si>
  <si>
    <t>ORD0230</t>
  </si>
  <si>
    <t>ORD0231</t>
  </si>
  <si>
    <t>ORD0232</t>
  </si>
  <si>
    <t>CUST0018</t>
  </si>
  <si>
    <t>ORD0233</t>
  </si>
  <si>
    <t>ORD0234</t>
  </si>
  <si>
    <t>CUST0044</t>
  </si>
  <si>
    <t>ORD0235</t>
  </si>
  <si>
    <t>CUST0030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</si>
  <si>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</si>
  <si>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</si>
  <si>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</si>
  <si>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</si>
  <si>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</si>
  <si>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</si>
  <si>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</si>
  <si>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</si>
  <si>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</si>
  <si>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</si>
  <si>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CUST0118</t>
  </si>
  <si>
    <t>ORD0246</t>
  </si>
  <si>
    <t>ORD0247</t>
  </si>
  <si>
    <t>ORD0248</t>
  </si>
  <si>
    <t>ORD0249</t>
  </si>
  <si>
    <t>ORD0250</t>
  </si>
  <si>
    <t>ORD0251</t>
  </si>
  <si>
    <t>CUST0220</t>
  </si>
  <si>
    <t>ORD0252</t>
  </si>
  <si>
    <t>ORD0253</t>
  </si>
  <si>
    <t>ORD0254</t>
  </si>
  <si>
    <t>CUST0142</t>
  </si>
  <si>
    <t>ORD0255</t>
  </si>
  <si>
    <t>ORD0256</t>
  </si>
  <si>
    <t>CUST0061</t>
  </si>
  <si>
    <t>ORD0257</t>
  </si>
  <si>
    <t>CUST0098</t>
  </si>
  <si>
    <t>ORD0258</t>
  </si>
  <si>
    <t>CUST0125</t>
  </si>
  <si>
    <t>ORD0259</t>
  </si>
  <si>
    <t>CUST0032</t>
  </si>
  <si>
    <t>ORD0260</t>
  </si>
  <si>
    <t>ORD0261</t>
  </si>
  <si>
    <t>CUST0248</t>
  </si>
  <si>
    <t>ORD0262</t>
  </si>
  <si>
    <t>ORD0263</t>
  </si>
  <si>
    <t>CUST0085</t>
  </si>
  <si>
    <t>ORD0264</t>
  </si>
  <si>
    <t>CUST0259</t>
  </si>
  <si>
    <t>ORD0265</t>
  </si>
  <si>
    <t>ORD0266</t>
  </si>
  <si>
    <t>ORD0267</t>
  </si>
  <si>
    <t>ORD0268</t>
  </si>
  <si>
    <t>ORD0269</t>
  </si>
  <si>
    <t>CUST0131</t>
  </si>
  <si>
    <t>ORD0270</t>
  </si>
  <si>
    <t>ORD0271</t>
  </si>
  <si>
    <t>CUST0212</t>
  </si>
  <si>
    <t>ORD0272</t>
  </si>
  <si>
    <t>ORD0273</t>
  </si>
  <si>
    <t>ORD0274</t>
  </si>
  <si>
    <t>CUST0115</t>
  </si>
  <si>
    <t>ORD0275</t>
  </si>
  <si>
    <t>CUST0190</t>
  </si>
  <si>
    <t>ORD0276</t>
  </si>
  <si>
    <t>CUST0083</t>
  </si>
  <si>
    <t>ORD0277</t>
  </si>
  <si>
    <t>ORD0278</t>
  </si>
  <si>
    <t>CUST0286</t>
  </si>
  <si>
    <t>ORD0279</t>
  </si>
  <si>
    <t>CUST0222</t>
  </si>
  <si>
    <t>ORD0280</t>
  </si>
  <si>
    <t>ORD0281</t>
  </si>
  <si>
    <t>ORD0282</t>
  </si>
  <si>
    <t>CUST0216</t>
  </si>
  <si>
    <t>ORD0283</t>
  </si>
  <si>
    <t>CUST0232</t>
  </si>
  <si>
    <t>ORD0284</t>
  </si>
  <si>
    <t>CUST0260</t>
  </si>
  <si>
    <t>ORD0285</t>
  </si>
  <si>
    <t>ORD0286</t>
  </si>
  <si>
    <t>ORD0287</t>
  </si>
  <si>
    <t>ORD0288</t>
  </si>
  <si>
    <t>ORD0289</t>
  </si>
  <si>
    <t>CUST0059</t>
  </si>
  <si>
    <t>ORD0290</t>
  </si>
  <si>
    <t>CUST0046</t>
  </si>
  <si>
    <t>ORD0291</t>
  </si>
  <si>
    <t>ORD0292</t>
  </si>
  <si>
    <t>CUST0146</t>
  </si>
  <si>
    <t>ORD0293</t>
  </si>
  <si>
    <t>ORD0294</t>
  </si>
  <si>
    <t>ORD0295</t>
  </si>
  <si>
    <t>ORD0296</t>
  </si>
  <si>
    <t>ORD0297</t>
  </si>
  <si>
    <t>ORD0298</t>
  </si>
  <si>
    <t>CUST0156</t>
  </si>
  <si>
    <t>ORD0299</t>
  </si>
  <si>
    <t>ORD0300</t>
  </si>
  <si>
    <t>ORD0301</t>
  </si>
  <si>
    <t>ORD0302</t>
  </si>
  <si>
    <t>CUST0067</t>
  </si>
  <si>
    <t>ORD0303</t>
  </si>
  <si>
    <t>CUST0245</t>
  </si>
  <si>
    <t>ORD0304</t>
  </si>
  <si>
    <t>CUST0196</t>
  </si>
  <si>
    <t>ORD0305</t>
  </si>
  <si>
    <t>ORD0306</t>
  </si>
  <si>
    <t>ORD0307</t>
  </si>
  <si>
    <t>CUST0092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</si>
  <si>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</si>
  <si>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</si>
  <si>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</si>
  <si>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</si>
  <si>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</si>
  <si>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</si>
  <si>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</si>
  <si>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</si>
  <si>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</si>
  <si>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</si>
  <si>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</si>
  <si>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</si>
  <si>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</si>
  <si>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</si>
  <si>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</si>
  <si>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</si>
  <si>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</si>
  <si>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</si>
  <si>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</si>
  <si>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</si>
  <si>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CUST0088</t>
  </si>
  <si>
    <t>ORD0328</t>
  </si>
  <si>
    <t>ORD0329</t>
  </si>
  <si>
    <t>CUST0198</t>
  </si>
  <si>
    <t>ORD0330</t>
  </si>
  <si>
    <t>ORD0331</t>
  </si>
  <si>
    <t>ORD0332</t>
  </si>
  <si>
    <t>ORD0333</t>
  </si>
  <si>
    <t>ORD0334</t>
  </si>
  <si>
    <t>CUST0100</t>
  </si>
  <si>
    <t>ORD0335</t>
  </si>
  <si>
    <t>ORD0336</t>
  </si>
  <si>
    <t>ORD0337</t>
  </si>
  <si>
    <t>ORD0338</t>
  </si>
  <si>
    <t>ORD0339</t>
  </si>
  <si>
    <t>ORD0340</t>
  </si>
  <si>
    <t>ORD0341</t>
  </si>
  <si>
    <t>CUST0016</t>
  </si>
  <si>
    <t>ORD0342</t>
  </si>
  <si>
    <t>CUST0045</t>
  </si>
  <si>
    <t>ORD0343</t>
  </si>
  <si>
    <t>CUST0218</t>
  </si>
  <si>
    <t>ORD0344</t>
  </si>
  <si>
    <t>CUST0278</t>
  </si>
  <si>
    <t>ORD0345</t>
  </si>
  <si>
    <t>ORD0346</t>
  </si>
  <si>
    <t>ORD0347</t>
  </si>
  <si>
    <t>ORD0348</t>
  </si>
  <si>
    <t>CUST0294</t>
  </si>
  <si>
    <t>ORD0349</t>
  </si>
  <si>
    <t>ORD0350</t>
  </si>
  <si>
    <t>ORD0351</t>
  </si>
  <si>
    <t>ORD0352</t>
  </si>
  <si>
    <t>ORD0353</t>
  </si>
  <si>
    <t>ORD0354</t>
  </si>
  <si>
    <t>ORD0355</t>
  </si>
  <si>
    <t>CUST0091</t>
  </si>
  <si>
    <t>ORD0356</t>
  </si>
  <si>
    <t>ORD0357</t>
  </si>
  <si>
    <t>ORD0358</t>
  </si>
  <si>
    <t>ORD0359</t>
  </si>
  <si>
    <t>CUST0203</t>
  </si>
  <si>
    <t>ORD0360</t>
  </si>
  <si>
    <t>CUST0221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</si>
  <si>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</si>
  <si>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</si>
  <si>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</si>
  <si>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</si>
  <si>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</si>
  <si>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</si>
  <si>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</si>
  <si>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</si>
  <si>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CUST0228</t>
  </si>
  <si>
    <t>ORD0369</t>
  </si>
  <si>
    <t>ORD0370</t>
  </si>
  <si>
    <t>ORD0371</t>
  </si>
  <si>
    <t>ORD0372</t>
  </si>
  <si>
    <t>CUST0169</t>
  </si>
  <si>
    <t>ORD0373</t>
  </si>
  <si>
    <t>CUST0175</t>
  </si>
  <si>
    <t>ORD0374</t>
  </si>
  <si>
    <t>CUST0078</t>
  </si>
  <si>
    <t>ORD0375</t>
  </si>
  <si>
    <t>CUST0168</t>
  </si>
  <si>
    <t>ORD0376</t>
  </si>
  <si>
    <t>ORD0377</t>
  </si>
  <si>
    <t>ORD0378</t>
  </si>
  <si>
    <t>ORD0379</t>
  </si>
  <si>
    <t>CUST0005</t>
  </si>
  <si>
    <t>ORD0380</t>
  </si>
  <si>
    <t>CUST0197</t>
  </si>
  <si>
    <t>ORD0381</t>
  </si>
  <si>
    <t>ORD0382</t>
  </si>
  <si>
    <t>ORD0383</t>
  </si>
  <si>
    <t>CUST0219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</si>
  <si>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</si>
  <si>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</si>
  <si>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</si>
  <si>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</si>
  <si>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</si>
  <si>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</si>
  <si>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</si>
  <si>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</si>
  <si>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CUST0127</t>
  </si>
  <si>
    <t>ORD0392</t>
  </si>
  <si>
    <t>ORD0393</t>
  </si>
  <si>
    <t>ORD0394</t>
  </si>
  <si>
    <t>ORD0395</t>
  </si>
  <si>
    <t>CUST0174</t>
  </si>
  <si>
    <t>ORD0396</t>
  </si>
  <si>
    <t>ORD0397</t>
  </si>
  <si>
    <t>CUST0187</t>
  </si>
  <si>
    <t>ORD0398</t>
  </si>
  <si>
    <t>ORD0399</t>
  </si>
  <si>
    <t>ORD0400</t>
  </si>
  <si>
    <t>ORD0401</t>
  </si>
  <si>
    <t>CUST0109</t>
  </si>
  <si>
    <t>ORD0402</t>
  </si>
  <si>
    <t>ORD0403</t>
  </si>
  <si>
    <t>ORD0404</t>
  </si>
  <si>
    <t>ORD0405</t>
  </si>
  <si>
    <t>ORD0406</t>
  </si>
  <si>
    <t>ORD0407</t>
  </si>
  <si>
    <t>CUST0209</t>
  </si>
  <si>
    <t>ORD0408</t>
  </si>
  <si>
    <t>CUST0206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</si>
  <si>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</si>
  <si>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</si>
  <si>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</si>
  <si>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</si>
  <si>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</si>
  <si>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</si>
  <si>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</si>
  <si>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</si>
  <si>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CUST0173</t>
  </si>
  <si>
    <t>ORD0417</t>
  </si>
  <si>
    <t>CUST0003</t>
  </si>
  <si>
    <t>ORD0418</t>
  </si>
  <si>
    <t>CUST0235</t>
  </si>
  <si>
    <t>ORD0419</t>
  </si>
  <si>
    <t>ORD0420</t>
  </si>
  <si>
    <t>CUST0192</t>
  </si>
  <si>
    <t>ORD0421</t>
  </si>
  <si>
    <t>ORD0422</t>
  </si>
  <si>
    <t>CUST0104</t>
  </si>
  <si>
    <t>ORD0423</t>
  </si>
  <si>
    <t>CUST0081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</si>
  <si>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</si>
  <si>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</si>
  <si>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</si>
  <si>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</si>
  <si>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</si>
  <si>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</si>
  <si>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</si>
  <si>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</si>
  <si>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</si>
  <si>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</si>
  <si>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</si>
  <si>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CUST0155</t>
  </si>
  <si>
    <t>ORD0435</t>
  </si>
  <si>
    <t>ORD0436</t>
  </si>
  <si>
    <t>ORD0437</t>
  </si>
  <si>
    <t>ORD0438</t>
  </si>
  <si>
    <t>CUST0230</t>
  </si>
  <si>
    <t>ORD0439</t>
  </si>
  <si>
    <t>ORD0440</t>
  </si>
  <si>
    <t>ORD0441</t>
  </si>
  <si>
    <t>ORD0442</t>
  </si>
  <si>
    <t>CUST0298</t>
  </si>
  <si>
    <t>ORD0443</t>
  </si>
  <si>
    <t>ORD0444</t>
  </si>
  <si>
    <t>CUST0056</t>
  </si>
  <si>
    <t>ORD0445</t>
  </si>
  <si>
    <t>ORD0446</t>
  </si>
  <si>
    <t>ORD0447</t>
  </si>
  <si>
    <t>ORD0448</t>
  </si>
  <si>
    <t>ORD0449</t>
  </si>
  <si>
    <t>ORD0450</t>
  </si>
  <si>
    <t>ORD0451</t>
  </si>
  <si>
    <t>CUST0077</t>
  </si>
  <si>
    <t>ORD0452</t>
  </si>
  <si>
    <t>ORD0453</t>
  </si>
  <si>
    <t>CUST0200</t>
  </si>
  <si>
    <t>ORD0454</t>
  </si>
  <si>
    <t>ORD0455</t>
  </si>
  <si>
    <t>ORD0456</t>
  </si>
  <si>
    <t>ORD0457</t>
  </si>
  <si>
    <t>ORD0458</t>
  </si>
  <si>
    <t>ORD0459</t>
  </si>
  <si>
    <t>CUST0116</t>
  </si>
  <si>
    <t>ORD0460</t>
  </si>
  <si>
    <t>ORD0461</t>
  </si>
  <si>
    <t>CUST0072</t>
  </si>
  <si>
    <t>ORD0462</t>
  </si>
  <si>
    <t>ORD0463</t>
  </si>
  <si>
    <t>ORD0464</t>
  </si>
  <si>
    <t>ORD0465</t>
  </si>
  <si>
    <t>CUST0177</t>
  </si>
  <si>
    <t>ORD0466</t>
  </si>
  <si>
    <t>ORD0467</t>
  </si>
  <si>
    <t>ORD0468</t>
  </si>
  <si>
    <t>ORD0469</t>
  </si>
  <si>
    <t>ORD0470</t>
  </si>
  <si>
    <t>CUST0132</t>
  </si>
  <si>
    <t>ORD0471</t>
  </si>
  <si>
    <t>ORD0472</t>
  </si>
  <si>
    <t>ORD0473</t>
  </si>
  <si>
    <t>ORD0474</t>
  </si>
  <si>
    <t>ORD0475</t>
  </si>
  <si>
    <t>ORD0476</t>
  </si>
  <si>
    <t>ORD0477</t>
  </si>
  <si>
    <t>CUST0184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</si>
  <si>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</si>
  <si>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</si>
  <si>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</si>
  <si>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</si>
  <si>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</si>
  <si>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</si>
  <si>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</si>
  <si>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</si>
  <si>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</si>
  <si>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</si>
  <si>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</si>
  <si>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</si>
  <si>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</si>
  <si>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</si>
  <si>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</si>
  <si>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CUST0270</t>
  </si>
  <si>
    <t>ORD0493</t>
  </si>
  <si>
    <t>ORD0494</t>
  </si>
  <si>
    <t>CUST0094</t>
  </si>
  <si>
    <t>ORD0495</t>
  </si>
  <si>
    <t>CUST0011</t>
  </si>
  <si>
    <t>ORD0496</t>
  </si>
  <si>
    <t>ORD0497</t>
  </si>
  <si>
    <t>ORD0498</t>
  </si>
  <si>
    <t>CUST0191</t>
  </si>
  <si>
    <t>ORD0499</t>
  </si>
  <si>
    <t>ORD0500</t>
  </si>
  <si>
    <t>ORD0501</t>
  </si>
  <si>
    <t>ORD0502</t>
  </si>
  <si>
    <t>ORD0503</t>
  </si>
  <si>
    <t>ORD0504</t>
  </si>
  <si>
    <t>CUST0148</t>
  </si>
  <si>
    <t>ORD0505</t>
  </si>
  <si>
    <t>CUST0300</t>
  </si>
  <si>
    <t>ORD0506</t>
  </si>
  <si>
    <t>ORD0507</t>
  </si>
  <si>
    <t>CUST0194</t>
  </si>
  <si>
    <t>ORD0508</t>
  </si>
  <si>
    <t>ORD0509</t>
  </si>
  <si>
    <t>ORD0510</t>
  </si>
  <si>
    <t>ORD0511</t>
  </si>
  <si>
    <t>ORD0512</t>
  </si>
  <si>
    <t>ORD0513</t>
  </si>
  <si>
    <t>ORD0514</t>
  </si>
  <si>
    <t>CUST0060</t>
  </si>
  <si>
    <t>ORD0515</t>
  </si>
  <si>
    <t>ORD0516</t>
  </si>
  <si>
    <t>CUST0128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</si>
  <si>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</si>
  <si>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</si>
  <si>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</si>
  <si>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</si>
  <si>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</si>
  <si>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</si>
  <si>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</si>
  <si>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</si>
  <si>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</si>
  <si>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</si>
  <si>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</si>
  <si>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</si>
  <si>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</si>
  <si>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</si>
  <si>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</si>
  <si>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</si>
  <si>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</si>
  <si>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</si>
  <si>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</si>
  <si>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</si>
  <si>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</si>
  <si>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</si>
  <si>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CUST0189</t>
  </si>
  <si>
    <t>ORD0539</t>
  </si>
  <si>
    <t>ORD0540</t>
  </si>
  <si>
    <t>ORD0541</t>
  </si>
  <si>
    <t>ORD0542</t>
  </si>
  <si>
    <t>ORD0543</t>
  </si>
  <si>
    <t>ORD0544</t>
  </si>
  <si>
    <t>ORD0545</t>
  </si>
  <si>
    <t>CUST0236</t>
  </si>
  <si>
    <t>ORD0546</t>
  </si>
  <si>
    <t>ORD0547</t>
  </si>
  <si>
    <t>CUST0185</t>
  </si>
  <si>
    <t>ORD0548</t>
  </si>
  <si>
    <t>CUST0150</t>
  </si>
  <si>
    <t>ORD0549</t>
  </si>
  <si>
    <t>ORD0550</t>
  </si>
  <si>
    <t>ORD0551</t>
  </si>
  <si>
    <t>ORD0552</t>
  </si>
  <si>
    <t>ORD0553</t>
  </si>
  <si>
    <t>CUST0279</t>
  </si>
  <si>
    <t>ORD0554</t>
  </si>
  <si>
    <t>ORD0555</t>
  </si>
  <si>
    <t>ORD0556</t>
  </si>
  <si>
    <t>ORD0557</t>
  </si>
  <si>
    <t>ORD0558</t>
  </si>
  <si>
    <t>ORD0559</t>
  </si>
  <si>
    <t>ORD0560</t>
  </si>
  <si>
    <t>CUST0126</t>
  </si>
  <si>
    <t>ORD0561</t>
  </si>
  <si>
    <t>CUST0282</t>
  </si>
  <si>
    <t>ORD0562</t>
  </si>
  <si>
    <t>ORD0563</t>
  </si>
  <si>
    <t>ORD0564</t>
  </si>
  <si>
    <t>CUST0287</t>
  </si>
  <si>
    <t>ORD0565</t>
  </si>
  <si>
    <t>ORD0566</t>
  </si>
  <si>
    <t>ORD0567</t>
  </si>
  <si>
    <t>ORD0568</t>
  </si>
  <si>
    <t>ORD0569</t>
  </si>
  <si>
    <t>ORD0570</t>
  </si>
  <si>
    <t>ORD0571</t>
  </si>
  <si>
    <t>CUST0015</t>
  </si>
  <si>
    <t>ORD0572</t>
  </si>
  <si>
    <t>ORD0573</t>
  </si>
  <si>
    <t>ORD0574</t>
  </si>
  <si>
    <t>CUST0141</t>
  </si>
  <si>
    <t>ORD0575</t>
  </si>
  <si>
    <t>CUST0296</t>
  </si>
  <si>
    <t>ORD0576</t>
  </si>
  <si>
    <t>ORD0577</t>
  </si>
  <si>
    <t>ORD0578</t>
  </si>
  <si>
    <t>CUST0144</t>
  </si>
  <si>
    <t>ORD0579</t>
  </si>
  <si>
    <t>ORD0580</t>
  </si>
  <si>
    <t>ORD0581</t>
  </si>
  <si>
    <t>ORD0582</t>
  </si>
  <si>
    <t>CUST0166</t>
  </si>
  <si>
    <t>ORD0583</t>
  </si>
  <si>
    <t>ORD0584</t>
  </si>
  <si>
    <t>ORD0585</t>
  </si>
  <si>
    <t>CUST0165</t>
  </si>
  <si>
    <t>ORD0586</t>
  </si>
  <si>
    <t>ORD0587</t>
  </si>
  <si>
    <t>CUST0050</t>
  </si>
  <si>
    <t>ORD0588</t>
  </si>
  <si>
    <t>CUST0241</t>
  </si>
  <si>
    <t>ORD0589</t>
  </si>
  <si>
    <t>ORD0590</t>
  </si>
  <si>
    <t>ORD0591</t>
  </si>
  <si>
    <t>CUST0130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</si>
  <si>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</si>
  <si>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</si>
  <si>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</si>
  <si>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</si>
  <si>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</si>
  <si>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</si>
  <si>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</si>
  <si>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</si>
  <si>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</si>
  <si>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</si>
  <si>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</si>
  <si>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</si>
  <si>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</si>
  <si>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</si>
  <si>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</si>
  <si>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</si>
  <si>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</si>
  <si>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</si>
  <si>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CUST0097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</si>
  <si>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</si>
  <si>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</si>
  <si>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</si>
  <si>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</si>
  <si>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</si>
  <si>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</si>
  <si>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</si>
  <si>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</si>
  <si>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CUST0274</t>
  </si>
  <si>
    <t>ORD0618</t>
  </si>
  <si>
    <t>ORD0619</t>
  </si>
  <si>
    <t>ORD0620</t>
  </si>
  <si>
    <t>ORD0621</t>
  </si>
  <si>
    <t>ORD0622</t>
  </si>
  <si>
    <t>CUST0157</t>
  </si>
  <si>
    <t>ORD0623</t>
  </si>
  <si>
    <t>ORD0624</t>
  </si>
  <si>
    <t>ORD0625</t>
  </si>
  <si>
    <t>ORD0626</t>
  </si>
  <si>
    <t>ORD0627</t>
  </si>
  <si>
    <t>ORD0628</t>
  </si>
  <si>
    <t>CUST0135</t>
  </si>
  <si>
    <t>ORD0629</t>
  </si>
  <si>
    <t>ORD0630</t>
  </si>
  <si>
    <t>ORD0631</t>
  </si>
  <si>
    <t>CUST0122</t>
  </si>
  <si>
    <t>ORD0632</t>
  </si>
  <si>
    <t>ORD0633</t>
  </si>
  <si>
    <t>CUST0262</t>
  </si>
  <si>
    <t>ORD0634</t>
  </si>
  <si>
    <t>ORD0635</t>
  </si>
  <si>
    <t>ORD0636</t>
  </si>
  <si>
    <t>ORD0637</t>
  </si>
  <si>
    <t>ORD0638</t>
  </si>
  <si>
    <t>CUST0244</t>
  </si>
  <si>
    <t>ORD0639</t>
  </si>
  <si>
    <t>ORD0640</t>
  </si>
  <si>
    <t>CUST0084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</si>
  <si>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</si>
  <si>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</si>
  <si>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</si>
  <si>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</si>
  <si>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</si>
  <si>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</si>
  <si>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</si>
  <si>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</si>
  <si>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</si>
  <si>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</si>
  <si>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</si>
  <si>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</si>
  <si>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</si>
  <si>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</si>
  <si>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</si>
  <si>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</si>
  <si>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</si>
  <si>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</si>
  <si>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</si>
  <si>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CUST0080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</si>
  <si>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</si>
  <si>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</si>
  <si>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</si>
  <si>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</si>
  <si>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</si>
  <si>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</si>
  <si>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</si>
  <si>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</si>
  <si>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CUST0071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</si>
  <si>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</si>
  <si>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</si>
  <si>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</si>
  <si>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</si>
  <si>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</si>
  <si>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</si>
  <si>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</si>
  <si>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</si>
  <si>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</si>
  <si>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</si>
  <si>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</si>
  <si>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</si>
  <si>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CUST0167</t>
  </si>
  <si>
    <t>ORD0680</t>
  </si>
  <si>
    <t>ORD0681</t>
  </si>
  <si>
    <t>ORD0682</t>
  </si>
  <si>
    <t>ORD0683</t>
  </si>
  <si>
    <t>ORD0684</t>
  </si>
  <si>
    <t>ORD0685</t>
  </si>
  <si>
    <t>CUST0269</t>
  </si>
  <si>
    <t>ORD0686</t>
  </si>
  <si>
    <t>ORD0687</t>
  </si>
  <si>
    <t>ORD0688</t>
  </si>
  <si>
    <t>ORD0689</t>
  </si>
  <si>
    <t>CUST0171</t>
  </si>
  <si>
    <t>ORD0690</t>
  </si>
  <si>
    <t>ORD0691</t>
  </si>
  <si>
    <t>CUST0057</t>
  </si>
  <si>
    <t>ORD0692</t>
  </si>
  <si>
    <t>ORD0693</t>
  </si>
  <si>
    <t>CUST0297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</si>
  <si>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</si>
  <si>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</si>
  <si>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</si>
  <si>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</si>
  <si>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</si>
  <si>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</si>
  <si>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</si>
  <si>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</si>
  <si>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</si>
  <si>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</si>
  <si>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</si>
  <si>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</si>
  <si>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</si>
  <si>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</si>
  <si>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</si>
  <si>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</si>
  <si>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</si>
  <si>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</si>
  <si>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</si>
  <si>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</si>
  <si>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</si>
  <si>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</si>
  <si>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CUST0105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</si>
  <si>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</si>
  <si>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</si>
  <si>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</si>
  <si>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</si>
  <si>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</si>
  <si>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</si>
  <si>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</si>
  <si>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</si>
  <si>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</si>
  <si>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CUST0238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</si>
  <si>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</si>
  <si>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</si>
  <si>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</si>
  <si>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</si>
  <si>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</si>
  <si>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</si>
  <si>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</si>
  <si>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</si>
  <si>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</si>
  <si>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</si>
  <si>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</si>
  <si>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</si>
  <si>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</si>
  <si>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</si>
  <si>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</si>
  <si>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CUST0170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</si>
  <si>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</si>
  <si>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</si>
  <si>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</si>
  <si>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</si>
  <si>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</si>
  <si>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</si>
  <si>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</si>
  <si>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</si>
  <si>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</si>
  <si>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</si>
  <si>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CUST0143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</si>
  <si>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</si>
  <si>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</si>
  <si>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</si>
  <si>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</si>
  <si>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</si>
  <si>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</si>
  <si>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</si>
  <si>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</si>
  <si>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</si>
  <si>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</si>
  <si>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</si>
  <si>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</si>
  <si>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</si>
  <si>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</si>
  <si>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</si>
  <si>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</si>
  <si>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</si>
  <si>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</si>
  <si>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</si>
  <si>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</si>
  <si>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</si>
  <si>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</si>
  <si>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</si>
  <si>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</si>
  <si>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</si>
  <si>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</si>
  <si>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</si>
  <si>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</si>
  <si>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CUST0009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</si>
  <si>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</si>
  <si>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</si>
  <si>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</si>
  <si>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</si>
  <si>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</si>
  <si>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</si>
  <si>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</si>
  <si>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</si>
  <si>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</si>
  <si>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</si>
  <si>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</si>
  <si>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</si>
  <si>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</si>
  <si>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CUST0225</t>
  </si>
  <si>
    <t>ORD0791</t>
  </si>
  <si>
    <t>ORD0792</t>
  </si>
  <si>
    <t>ORD0793</t>
  </si>
  <si>
    <t>CUST0252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</si>
  <si>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</si>
  <si>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</si>
  <si>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</si>
  <si>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</si>
  <si>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</si>
  <si>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</si>
  <si>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</si>
  <si>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</si>
  <si>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</si>
  <si>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</si>
  <si>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</si>
  <si>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</si>
  <si>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</si>
  <si>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</si>
  <si>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</si>
  <si>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</si>
  <si>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</si>
  <si>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CUST0133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</si>
  <si>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</si>
  <si>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</si>
  <si>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</si>
  <si>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</si>
  <si>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</si>
  <si>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</si>
  <si>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</si>
  <si>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</si>
  <si>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</si>
  <si>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</si>
  <si>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</si>
  <si>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</si>
  <si>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</si>
  <si>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</si>
  <si>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</si>
  <si>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</si>
  <si>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</si>
  <si>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</si>
  <si>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</si>
  <si>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</si>
  <si>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</si>
  <si>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</si>
  <si>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</si>
  <si>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</si>
  <si>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</si>
  <si>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</si>
  <si>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</si>
  <si>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</si>
  <si>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</si>
  <si>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</si>
  <si>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</si>
  <si>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</si>
  <si>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</si>
  <si>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</si>
  <si>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</si>
  <si>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</si>
  <si>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</si>
  <si>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</si>
  <si>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</si>
  <si>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</si>
  <si>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</si>
  <si>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</si>
  <si>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</si>
  <si>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</si>
  <si>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</si>
  <si>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</si>
  <si>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</si>
  <si>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</si>
  <si>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</si>
  <si>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</si>
  <si>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</si>
  <si>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</si>
  <si>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</si>
  <si>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</si>
  <si>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</si>
  <si>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</si>
  <si>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</si>
  <si>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</si>
  <si>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</si>
  <si>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</si>
  <si>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</si>
  <si>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</si>
  <si>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</si>
  <si>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</si>
  <si>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CUST0102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</si>
  <si>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</si>
  <si>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</si>
  <si>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</si>
  <si>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</si>
  <si>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</si>
  <si>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</si>
  <si>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</si>
  <si>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</si>
  <si>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</si>
  <si>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</si>
  <si>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</si>
  <si>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</si>
  <si>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</si>
  <si>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</si>
  <si>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CUST0201</t>
  </si>
  <si>
    <t>ORD0889</t>
  </si>
  <si>
    <t>ORD0890</t>
  </si>
  <si>
    <t>ORD0891</t>
  </si>
  <si>
    <t>ORD0892</t>
  </si>
  <si>
    <t>ORD0893</t>
  </si>
  <si>
    <t>ORD0894</t>
  </si>
  <si>
    <t>CUST0065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</si>
  <si>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</si>
  <si>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</si>
  <si>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</si>
  <si>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</si>
  <si>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</si>
  <si>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</si>
  <si>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</si>
  <si>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</si>
  <si>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</si>
  <si>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</si>
  <si>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</si>
  <si>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</si>
  <si>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</si>
  <si>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</si>
  <si>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</si>
  <si>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</si>
  <si>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</si>
  <si>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</si>
  <si>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</si>
  <si>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</si>
  <si>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</si>
  <si>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CUST0074</t>
  </si>
  <si>
    <t>ORD0916</t>
  </si>
  <si>
    <t>ORD0917</t>
  </si>
  <si>
    <t>CUST0064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</si>
  <si>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</si>
  <si>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</si>
  <si>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</si>
  <si>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</si>
  <si>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</si>
  <si>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</si>
  <si>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</si>
  <si>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</si>
  <si>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</si>
  <si>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</si>
  <si>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</si>
  <si>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</si>
  <si>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</si>
  <si>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</si>
  <si>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</si>
  <si>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</si>
  <si>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</si>
  <si>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</si>
  <si>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CUST0068</t>
  </si>
  <si>
    <t>ORD0936</t>
  </si>
  <si>
    <t>ORD0937</t>
  </si>
  <si>
    <t>ORD0938</t>
  </si>
  <si>
    <t>ORD0939</t>
  </si>
  <si>
    <t>ORD0940</t>
  </si>
  <si>
    <t>ORD0941</t>
  </si>
  <si>
    <t>CUST0055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</si>
  <si>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</si>
  <si>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</si>
  <si>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</si>
  <si>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</si>
  <si>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</si>
  <si>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</si>
  <si>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</si>
  <si>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</si>
  <si>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</si>
  <si>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</si>
  <si>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</si>
  <si>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</si>
  <si>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</si>
  <si>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</si>
  <si>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</si>
  <si>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</si>
  <si>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</si>
  <si>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</si>
  <si>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</si>
  <si>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CUST0029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</si>
  <si>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</si>
  <si>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</si>
  <si>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</si>
  <si>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</si>
  <si>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</si>
  <si>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</si>
  <si>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</si>
  <si>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</si>
  <si>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</si>
  <si>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</si>
  <si>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</si>
  <si>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</si>
  <si>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</si>
  <si>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</si>
  <si>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</si>
  <si>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</si>
  <si>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</si>
  <si>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</si>
  <si>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</si>
  <si>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</si>
  <si>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</si>
  <si>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</si>
  <si>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</si>
  <si>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</si>
  <si>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</si>
  <si>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</si>
  <si>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</si>
  <si>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</si>
  <si>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</si>
  <si>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CUST0256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</si>
  <si>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</si>
  <si>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</si>
  <si>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</si>
  <si>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</si>
  <si>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</si>
  <si>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</si>
  <si>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</si>
  <si>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</si>
  <si>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</si>
  <si>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</si>
  <si>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</si>
  <si>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Sum of Profit_INR</t>
  </si>
  <si>
    <t>Grand Total</t>
  </si>
  <si>
    <t>Average of Profit_INR</t>
  </si>
  <si>
    <t>Sum of Net_Sales_INR</t>
  </si>
  <si>
    <t>Average of Profit_Margin_Pct</t>
  </si>
  <si>
    <t>🛒</t>
  </si>
  <si>
    <t>STORE PROFITIBILITY &amp; DISCOUNT IMPACT DASHBOARD</t>
  </si>
  <si>
    <t>💰</t>
  </si>
  <si>
    <t>TOTAL SALES</t>
  </si>
  <si>
    <t>📶</t>
  </si>
  <si>
    <t>TOTAL PROFIT</t>
  </si>
  <si>
    <t>%</t>
  </si>
  <si>
    <t>AVG. PROFIT MARGIN</t>
  </si>
  <si>
    <t>🏷️</t>
  </si>
  <si>
    <t>AVG.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</si>
</sst>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(* #,##0_);_(* \(#,##0\);_(* &quot;-&quot;??_);_(@_)"/>
    <numFmt numFmtId="166" formatCode="[$₹-4009]\ 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68"/>
      <color rgb="FF000000"/>
      <name val="Roboto"/>
    </font>
    <font>
      <sz val="3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290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pivotButton="1"/>
    <xf numFmtId="165" fontId="0" fillId="0" borderId="0" xfId="0" applyNumberFormat="1"/>
    <xf numFmtId="9" fontId="0" fillId="0" borderId="0" xfId="0" applyNumberFormat="1"/>
    <xf numFmtId="9" fontId="3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166" fontId="3" fillId="3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 indent="3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57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3" formatCode="0%"/>
    </dxf>
    <dxf>
      <numFmt numFmtId="13" formatCode="0%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62900"/>
      <color rgb="FF235427"/>
      <color rgb="FF91FA70"/>
      <color rgb="FFB3F2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[Store_Profitability_Discount_Impact_Dataset (1).xlsx]PROFIT BY CATEGORY!PivotTable1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F622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2900"/>
            </a:solidFill>
            <a:ln>
              <a:solidFill>
                <a:srgbClr val="0629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CATEGORY'!$A$4:$A$10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Beauty</c:v>
                </c:pt>
                <c:pt idx="4">
                  <c:v>Office Supplies</c:v>
                </c:pt>
                <c:pt idx="5">
                  <c:v>Grocery</c:v>
                </c:pt>
              </c:strCache>
            </c:strRef>
          </c:cat>
          <c:val>
            <c:numRef>
              <c:f>'PROFIT BY CATEGORY'!$B$4:$B$10</c:f>
              <c:numCache>
                <c:formatCode>_(* #,##0_);_(* \(#,##0\);_(* "-"??_);_(@_)</c:formatCode>
                <c:ptCount val="6"/>
                <c:pt idx="0">
                  <c:v>4252050.5239300001</c:v>
                </c:pt>
                <c:pt idx="1">
                  <c:v>2512136.6590400003</c:v>
                </c:pt>
                <c:pt idx="2">
                  <c:v>717538.18297500012</c:v>
                </c:pt>
                <c:pt idx="3">
                  <c:v>614399.82240000018</c:v>
                </c:pt>
                <c:pt idx="4">
                  <c:v>373797.40629000007</c:v>
                </c:pt>
                <c:pt idx="5">
                  <c:v>108560.88992000002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3-4E57-805D-545E9DB98E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46151"/>
        <c:axId val="57796615"/>
      </c:barChart>
      <c:catAx>
        <c:axId val="8646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6615"/>
        <c:crosses val="autoZero"/>
        <c:auto val="1"/>
        <c:lblAlgn val="ctr"/>
        <c:lblOffset val="100"/>
        <c:noMultiLvlLbl val="0"/>
      </c:catAx>
      <c:valAx>
        <c:axId val="5779661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[Store_Profitability_Discount_Impact_Dataset (1).xlsx]DISCOUNT IMPACT ON PROFIT!PivotTable3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3.DISCOUNT IMPACT ON AVERAGE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4F622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4F622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4F622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4F622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23542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35427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'DISCOUNT IMPACT ON PROFIT'!$B$3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3542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35427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'DISCOUNT IMPACT ON PROFIT'!$A$4:$A$11</c:f>
              <c:strCach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strCache>
            </c:strRef>
          </c:cat>
          <c:val>
            <c:numRef>
              <c:f>'DISCOUNT IMPACT ON PROFIT'!$B$4:$B$11</c:f>
              <c:numCache>
                <c:formatCode>_(* #,##0_);_(* \(#,##0\);_(* "-"??_);_(@_)</c:formatCode>
                <c:ptCount val="7"/>
                <c:pt idx="0">
                  <c:v>9990.4210991525451</c:v>
                </c:pt>
                <c:pt idx="1">
                  <c:v>8764.5689770270274</c:v>
                </c:pt>
                <c:pt idx="2">
                  <c:v>8862.58463142857</c:v>
                </c:pt>
                <c:pt idx="3">
                  <c:v>8495.7901982673284</c:v>
                </c:pt>
                <c:pt idx="4">
                  <c:v>6982.7519347368407</c:v>
                </c:pt>
                <c:pt idx="5">
                  <c:v>7804.9137028846162</c:v>
                </c:pt>
                <c:pt idx="6">
                  <c:v>8222.5569347727269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9-47A7-B380-40D83E54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995016"/>
        <c:axId val="2321415"/>
      </c:lineChart>
      <c:catAx>
        <c:axId val="207799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415"/>
        <c:crosses val="autoZero"/>
        <c:auto val="1"/>
        <c:lblAlgn val="ctr"/>
        <c:lblOffset val="100"/>
        <c:noMultiLvlLbl val="0"/>
      </c:catAx>
      <c:valAx>
        <c:axId val="232141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99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[Store_Profitability_Discount_Impact_Dataset (1).xlsx]PROFIT BY STATE!PivotTable4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4. PROFIT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F622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2900"/>
            </a:solidFill>
            <a:ln>
              <a:solidFill>
                <a:srgbClr val="062900"/>
              </a:solidFill>
              <a:prstDash val="solid"/>
            </a:ln>
            <a:effectLst/>
          </c:spPr>
          <c:invertIfNegative val="0"/>
          <c:cat>
            <c:strRef>
              <c:f>'PROFIT BY STATE'!$A$4:$A$14</c:f>
              <c:strCache>
                <c:ptCount val="10"/>
                <c:pt idx="0">
                  <c:v>West Bengal</c:v>
                </c:pt>
                <c:pt idx="1">
                  <c:v>Karnataka</c:v>
                </c:pt>
                <c:pt idx="2">
                  <c:v>Telangana</c:v>
                </c:pt>
                <c:pt idx="3">
                  <c:v>Madhya Pradesh</c:v>
                </c:pt>
                <c:pt idx="4">
                  <c:v>Delhi</c:v>
                </c:pt>
                <c:pt idx="5">
                  <c:v>Tamil Nadu</c:v>
                </c:pt>
                <c:pt idx="6">
                  <c:v>Rajasthan</c:v>
                </c:pt>
                <c:pt idx="7">
                  <c:v>Gujarat</c:v>
                </c:pt>
                <c:pt idx="8">
                  <c:v>Uttar Pradesh</c:v>
                </c:pt>
                <c:pt idx="9">
                  <c:v>Maharashtra</c:v>
                </c:pt>
              </c:strCache>
            </c:strRef>
          </c:cat>
          <c:val>
            <c:numRef>
              <c:f>'PROFIT BY STATE'!$B$4:$B$14</c:f>
              <c:numCache>
                <c:formatCode>_(* #,##0_);_(* \(#,##0\);_(* "-"??_);_(@_)</c:formatCode>
                <c:ptCount val="10"/>
                <c:pt idx="0">
                  <c:v>1190219.3455299998</c:v>
                </c:pt>
                <c:pt idx="1">
                  <c:v>933984.35707500065</c:v>
                </c:pt>
                <c:pt idx="2">
                  <c:v>887585.11581499991</c:v>
                </c:pt>
                <c:pt idx="3">
                  <c:v>881010.57452500018</c:v>
                </c:pt>
                <c:pt idx="4">
                  <c:v>874496.01130500028</c:v>
                </c:pt>
                <c:pt idx="5">
                  <c:v>846416.53794500022</c:v>
                </c:pt>
                <c:pt idx="6">
                  <c:v>807903.18303999957</c:v>
                </c:pt>
                <c:pt idx="7">
                  <c:v>780876.18096500041</c:v>
                </c:pt>
                <c:pt idx="8">
                  <c:v>760906.84799000015</c:v>
                </c:pt>
                <c:pt idx="9">
                  <c:v>615085.33036499971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4-46F2-BF84-EBC6775E1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8860679"/>
        <c:axId val="290807815"/>
      </c:barChart>
      <c:catAx>
        <c:axId val="288860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807815"/>
        <c:crosses val="autoZero"/>
        <c:auto val="1"/>
        <c:lblAlgn val="ctr"/>
        <c:lblOffset val="100"/>
        <c:noMultiLvlLbl val="0"/>
      </c:catAx>
      <c:valAx>
        <c:axId val="290807815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86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[Store_Profitability_Discount_Impact_Dataset (1).xlsx]PROFIT BY SALES_CHANNEL!PivotTable5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5. PROFIT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lumMod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3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 BY SALES_CHANNEL'!$B$3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11-4FA3-ABAB-08C305D7CA4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11-4FA3-ABAB-08C305D7CA47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11-4FA3-ABAB-08C305D7CA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SALES_CHANNEL'!$A$4:$A$7</c:f>
              <c:strCache>
                <c:ptCount val="3"/>
                <c:pt idx="0">
                  <c:v>Marketplace</c:v>
                </c:pt>
                <c:pt idx="1">
                  <c:v>Retail Store</c:v>
                </c:pt>
                <c:pt idx="2">
                  <c:v>Online</c:v>
                </c:pt>
              </c:strCache>
            </c:strRef>
          </c:cat>
          <c:val>
            <c:numRef>
              <c:f>'PROFIT BY SALES_CHANNEL'!$B$4:$B$7</c:f>
              <c:numCache>
                <c:formatCode>_(* #,##0_);_(* \(#,##0\);_(* "-"??_);_(@_)</c:formatCode>
                <c:ptCount val="3"/>
                <c:pt idx="0">
                  <c:v>2957432.520229998</c:v>
                </c:pt>
                <c:pt idx="1">
                  <c:v>2891928.8454450001</c:v>
                </c:pt>
                <c:pt idx="2">
                  <c:v>2729122.11888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11-4FA3-ABAB-08C305D7CA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[Store_Profitability_Discount_Impact_Dataset (1).xlsx]SALES vs PROFIT CATEGORY!PivotTable6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6. 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6933C"/>
          </a:solidFill>
          <a:ln>
            <a:solidFill>
              <a:srgbClr val="76933C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PROFIT CATEGORY'!$B$3</c:f>
              <c:strCache>
                <c:ptCount val="1"/>
                <c:pt idx="0">
                  <c:v>Sum of Net_Sales_INR</c:v>
                </c:pt>
              </c:strCache>
            </c:strRef>
          </c:tx>
          <c:spPr>
            <a:solidFill>
              <a:srgbClr val="062900"/>
            </a:solidFill>
            <a:ln>
              <a:solidFill>
                <a:srgbClr val="062900"/>
              </a:solidFill>
              <a:prstDash val="solid"/>
            </a:ln>
            <a:effectLst/>
          </c:spPr>
          <c:invertIfNegative val="0"/>
          <c:cat>
            <c:strRef>
              <c:f>'SALES vs PROFIT CATEGORY'!$A$4:$A$10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Beauty</c:v>
                </c:pt>
                <c:pt idx="4">
                  <c:v>Office Supplies</c:v>
                </c:pt>
                <c:pt idx="5">
                  <c:v>Grocery</c:v>
                </c:pt>
              </c:strCache>
            </c:strRef>
          </c:cat>
          <c:val>
            <c:numRef>
              <c:f>'SALES vs PROFIT CATEGORY'!$B$4:$B$10</c:f>
              <c:numCache>
                <c:formatCode>_(* #,##0_);_(* \(#,##0\);_(* "-"??_);_(@_)</c:formatCode>
                <c:ptCount val="6"/>
                <c:pt idx="0">
                  <c:v>19327502.381500002</c:v>
                </c:pt>
                <c:pt idx="1">
                  <c:v>7850427.0594999958</c:v>
                </c:pt>
                <c:pt idx="2">
                  <c:v>1594529.2954999991</c:v>
                </c:pt>
                <c:pt idx="3">
                  <c:v>1279999.6300000004</c:v>
                </c:pt>
                <c:pt idx="4">
                  <c:v>889993.82450000022</c:v>
                </c:pt>
                <c:pt idx="5">
                  <c:v>387717.46400000015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4-4810-B7F6-459CB1D9713C}"/>
            </c:ext>
          </c:extLst>
        </c:ser>
        <c:ser>
          <c:idx val="1"/>
          <c:order val="1"/>
          <c:tx>
            <c:strRef>
              <c:f>'SALES vs PROFIT CATEGORY'!$C$3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rgbClr val="76933C"/>
            </a:solidFill>
            <a:ln>
              <a:solidFill>
                <a:srgbClr val="76933C"/>
              </a:solidFill>
              <a:prstDash val="solid"/>
            </a:ln>
            <a:effectLst/>
          </c:spPr>
          <c:invertIfNegative val="0"/>
          <c:cat>
            <c:strRef>
              <c:f>'SALES vs PROFIT CATEGORY'!$A$4:$A$10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Beauty</c:v>
                </c:pt>
                <c:pt idx="4">
                  <c:v>Office Supplies</c:v>
                </c:pt>
                <c:pt idx="5">
                  <c:v>Grocery</c:v>
                </c:pt>
              </c:strCache>
            </c:strRef>
          </c:cat>
          <c:val>
            <c:numRef>
              <c:f>'SALES vs PROFIT CATEGORY'!$C$4:$C$10</c:f>
              <c:numCache>
                <c:formatCode>_(* #,##0_);_(* \(#,##0\);_(* "-"??_);_(@_)</c:formatCode>
                <c:ptCount val="6"/>
                <c:pt idx="0">
                  <c:v>4252050.5239300001</c:v>
                </c:pt>
                <c:pt idx="1">
                  <c:v>2512136.6590400003</c:v>
                </c:pt>
                <c:pt idx="2">
                  <c:v>717538.18297500012</c:v>
                </c:pt>
                <c:pt idx="3">
                  <c:v>614399.82240000018</c:v>
                </c:pt>
                <c:pt idx="4">
                  <c:v>373797.40629000007</c:v>
                </c:pt>
                <c:pt idx="5">
                  <c:v>108560.88992000002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4-4810-B7F6-459CB1D97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33351"/>
        <c:axId val="33311751"/>
      </c:barChart>
      <c:catAx>
        <c:axId val="31033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1751"/>
        <c:crosses val="autoZero"/>
        <c:auto val="1"/>
        <c:lblAlgn val="ctr"/>
        <c:lblOffset val="100"/>
        <c:noMultiLvlLbl val="0"/>
      </c:catAx>
      <c:valAx>
        <c:axId val="33311751"/>
        <c:scaling>
          <c:orientation val="minMax"/>
          <c:max val="20000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3351"/>
        <c:crosses val="autoZero"/>
        <c:crossBetween val="between"/>
        <c:majorUnit val="2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[Store_Profitability_Discount_Impact_Dataset (1).xlsx]PROFIT MARGIN BY CATEGORY!PivotTable7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7.  PROFIT MARGIN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629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62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2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62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2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MARGIN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2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MARGIN BY CATEGORY'!$A$4:$A$10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Grocery</c:v>
                </c:pt>
                <c:pt idx="5">
                  <c:v>Office Supplies</c:v>
                </c:pt>
              </c:strCache>
            </c:strRef>
          </c:cat>
          <c:val>
            <c:numRef>
              <c:f>'PROFIT MARGIN BY CATEGORY'!$B$4:$B$10</c:f>
              <c:numCache>
                <c:formatCode>General</c:formatCode>
                <c:ptCount val="6"/>
                <c:pt idx="0">
                  <c:v>48</c:v>
                </c:pt>
                <c:pt idx="1">
                  <c:v>45</c:v>
                </c:pt>
                <c:pt idx="2">
                  <c:v>22</c:v>
                </c:pt>
                <c:pt idx="3">
                  <c:v>32</c:v>
                </c:pt>
                <c:pt idx="4">
                  <c:v>28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4-4A3C-A549-873E41D280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5503624"/>
        <c:axId val="2077980680"/>
      </c:barChart>
      <c:catAx>
        <c:axId val="207550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980680"/>
        <c:crosses val="autoZero"/>
        <c:auto val="1"/>
        <c:lblAlgn val="ctr"/>
        <c:lblOffset val="100"/>
        <c:noMultiLvlLbl val="0"/>
      </c:catAx>
      <c:valAx>
        <c:axId val="2077980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0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[Store_Profitability_Discount_Impact_Dataset (1).xlsx]MONTHLY SALES &amp; PROFIT!PivotTable8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8. MONTHALY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629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629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76933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&amp; PROFIT'!$B$3</c:f>
              <c:strCache>
                <c:ptCount val="1"/>
                <c:pt idx="0">
                  <c:v>Sum of Net_Sales_INR</c:v>
                </c:pt>
              </c:strCache>
            </c:strRef>
          </c:tx>
          <c:spPr>
            <a:ln w="28575" cap="rnd">
              <a:solidFill>
                <a:srgbClr val="0629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629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&amp; PROFIT'!$A$4:$A$16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&amp; PROFIT'!$B$4:$B$16</c:f>
              <c:numCache>
                <c:formatCode>_(* #,##0_);_(* \(#,##0\);_(* "-"??_);_(@_)</c:formatCode>
                <c:ptCount val="12"/>
                <c:pt idx="0">
                  <c:v>2817014.0855000005</c:v>
                </c:pt>
                <c:pt idx="1">
                  <c:v>2881857.0065000011</c:v>
                </c:pt>
                <c:pt idx="2">
                  <c:v>2854900.5294999997</c:v>
                </c:pt>
                <c:pt idx="3">
                  <c:v>2763409.7479999987</c:v>
                </c:pt>
                <c:pt idx="4">
                  <c:v>2223538.193</c:v>
                </c:pt>
                <c:pt idx="5">
                  <c:v>2471384.0664999997</c:v>
                </c:pt>
                <c:pt idx="6">
                  <c:v>3593567.3205000013</c:v>
                </c:pt>
                <c:pt idx="7">
                  <c:v>2249882.3775000004</c:v>
                </c:pt>
                <c:pt idx="8">
                  <c:v>1415102.5415000001</c:v>
                </c:pt>
                <c:pt idx="9">
                  <c:v>2883355.5605000006</c:v>
                </c:pt>
                <c:pt idx="10">
                  <c:v>2431361.0274999999</c:v>
                </c:pt>
                <c:pt idx="11">
                  <c:v>2744797.1984999985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6-4654-B3D9-A14BB5540ADB}"/>
            </c:ext>
          </c:extLst>
        </c:ser>
        <c:ser>
          <c:idx val="1"/>
          <c:order val="1"/>
          <c:tx>
            <c:strRef>
              <c:f>'MONTHLY SALES &amp; PROFIT'!$C$3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rgbClr val="76933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6933C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SALES &amp; PROFIT'!$A$4:$A$16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&amp; PROFIT'!$C$4:$C$16</c:f>
              <c:numCache>
                <c:formatCode>_(* #,##0_);_(* \(#,##0\);_(* "-"??_);_(@_)</c:formatCode>
                <c:ptCount val="12"/>
                <c:pt idx="0">
                  <c:v>737601.65944500011</c:v>
                </c:pt>
                <c:pt idx="1">
                  <c:v>770824.14930000005</c:v>
                </c:pt>
                <c:pt idx="2">
                  <c:v>750420.53313999984</c:v>
                </c:pt>
                <c:pt idx="3">
                  <c:v>782862.43199999968</c:v>
                </c:pt>
                <c:pt idx="4">
                  <c:v>608936.40209499991</c:v>
                </c:pt>
                <c:pt idx="5">
                  <c:v>704319.77663000009</c:v>
                </c:pt>
                <c:pt idx="6">
                  <c:v>923183.026235</c:v>
                </c:pt>
                <c:pt idx="7">
                  <c:v>642022.95866500004</c:v>
                </c:pt>
                <c:pt idx="8">
                  <c:v>435549.0559449998</c:v>
                </c:pt>
                <c:pt idx="9">
                  <c:v>807774.70534999971</c:v>
                </c:pt>
                <c:pt idx="10">
                  <c:v>649628.97640000004</c:v>
                </c:pt>
                <c:pt idx="11">
                  <c:v>765359.80935000035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6-4654-B3D9-A14BB554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138567"/>
        <c:axId val="1923140615"/>
      </c:lineChart>
      <c:catAx>
        <c:axId val="1923138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40615"/>
        <c:crosses val="autoZero"/>
        <c:auto val="1"/>
        <c:lblAlgn val="ctr"/>
        <c:lblOffset val="100"/>
        <c:noMultiLvlLbl val="0"/>
      </c:catAx>
      <c:valAx>
        <c:axId val="192314061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38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[Store_Profitability_Discount_Impact_Dataset (1).xlsx]PROFIT BY PRODUCT!PivotTable2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 TOP PRODUCT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2900"/>
          </a:solidFill>
          <a:ln>
            <a:solidFill>
              <a:srgbClr val="0629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2900"/>
            </a:solidFill>
            <a:ln>
              <a:solidFill>
                <a:srgbClr val="062900"/>
              </a:solidFill>
              <a:prstDash val="solid"/>
            </a:ln>
            <a:effectLst/>
          </c:spPr>
          <c:invertIfNegative val="0"/>
          <c:cat>
            <c:strRef>
              <c:f>'PROFIT BY PRODUCT'!$A$4:$A$34</c:f>
              <c:strCache>
                <c:ptCount val="3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</c:v>
                </c:pt>
                <c:pt idx="6">
                  <c:v>Desk</c:v>
                </c:pt>
                <c:pt idx="7">
                  <c:v>Cabinet</c:v>
                </c:pt>
                <c:pt idx="8">
                  <c:v>Office Chair</c:v>
                </c:pt>
                <c:pt idx="9">
                  <c:v>Bookshelf</c:v>
                </c:pt>
                <c:pt idx="10">
                  <c:v>Formal Shirt</c:v>
                </c:pt>
                <c:pt idx="11">
                  <c:v>Perfume</c:v>
                </c:pt>
                <c:pt idx="12">
                  <c:v>T-Shirt</c:v>
                </c:pt>
                <c:pt idx="13">
                  <c:v>Jeans</c:v>
                </c:pt>
                <c:pt idx="14">
                  <c:v>Sneakers</c:v>
                </c:pt>
                <c:pt idx="15">
                  <c:v>Jacket</c:v>
                </c:pt>
                <c:pt idx="16">
                  <c:v>Moisturizer</c:v>
                </c:pt>
                <c:pt idx="17">
                  <c:v>Shampoo</c:v>
                </c:pt>
                <c:pt idx="18">
                  <c:v>Face Wash</c:v>
                </c:pt>
                <c:pt idx="19">
                  <c:v>Stapler</c:v>
                </c:pt>
                <c:pt idx="20">
                  <c:v>Sunscreen</c:v>
                </c:pt>
                <c:pt idx="21">
                  <c:v>Printer Paper</c:v>
                </c:pt>
                <c:pt idx="22">
                  <c:v>File Folder</c:v>
                </c:pt>
                <c:pt idx="23">
                  <c:v>Notebook</c:v>
                </c:pt>
                <c:pt idx="24">
                  <c:v>Pen Set</c:v>
                </c:pt>
                <c:pt idx="25">
                  <c:v>Coffee</c:v>
                </c:pt>
                <c:pt idx="26">
                  <c:v>Tea</c:v>
                </c:pt>
                <c:pt idx="27">
                  <c:v>Cooking Oil</c:v>
                </c:pt>
                <c:pt idx="28">
                  <c:v>Rice</c:v>
                </c:pt>
                <c:pt idx="29">
                  <c:v>Biscuits</c:v>
                </c:pt>
              </c:strCache>
            </c:strRef>
          </c:cat>
          <c:val>
            <c:numRef>
              <c:f>'PROFIT BY PRODUCT'!$B$4:$B$34</c:f>
              <c:numCache>
                <c:formatCode>_(* #,##0_);_(* \(#,##0\);_(* "-"??_);_(@_)</c:formatCode>
                <c:ptCount val="30"/>
                <c:pt idx="0">
                  <c:v>1046865.4797700001</c:v>
                </c:pt>
                <c:pt idx="1">
                  <c:v>903959.32044000039</c:v>
                </c:pt>
                <c:pt idx="2">
                  <c:v>877098.82062000001</c:v>
                </c:pt>
                <c:pt idx="3">
                  <c:v>719601.58270000003</c:v>
                </c:pt>
                <c:pt idx="4">
                  <c:v>704525.32039999997</c:v>
                </c:pt>
                <c:pt idx="5">
                  <c:v>581308.11503999995</c:v>
                </c:pt>
                <c:pt idx="6">
                  <c:v>536929.79231999989</c:v>
                </c:pt>
                <c:pt idx="7">
                  <c:v>520334.17680000002</c:v>
                </c:pt>
                <c:pt idx="8">
                  <c:v>454588.82831999986</c:v>
                </c:pt>
                <c:pt idx="9">
                  <c:v>418975.74655999988</c:v>
                </c:pt>
                <c:pt idx="10">
                  <c:v>167703.17040000003</c:v>
                </c:pt>
                <c:pt idx="11">
                  <c:v>154268.46648000003</c:v>
                </c:pt>
                <c:pt idx="12">
                  <c:v>150825.74040000001</c:v>
                </c:pt>
                <c:pt idx="13">
                  <c:v>139934.63070000001</c:v>
                </c:pt>
                <c:pt idx="14">
                  <c:v>130608.29182500001</c:v>
                </c:pt>
                <c:pt idx="15">
                  <c:v>128466.34964999999</c:v>
                </c:pt>
                <c:pt idx="16">
                  <c:v>125602.73280000003</c:v>
                </c:pt>
                <c:pt idx="17">
                  <c:v>120138.68928000001</c:v>
                </c:pt>
                <c:pt idx="18">
                  <c:v>119276.43023999999</c:v>
                </c:pt>
                <c:pt idx="19">
                  <c:v>100874.93136</c:v>
                </c:pt>
                <c:pt idx="20">
                  <c:v>95113.503599999996</c:v>
                </c:pt>
                <c:pt idx="21">
                  <c:v>81391.187639999975</c:v>
                </c:pt>
                <c:pt idx="22">
                  <c:v>71410.614870000019</c:v>
                </c:pt>
                <c:pt idx="23">
                  <c:v>69910.048740000013</c:v>
                </c:pt>
                <c:pt idx="24">
                  <c:v>50210.623679999997</c:v>
                </c:pt>
                <c:pt idx="25">
                  <c:v>28366.630319999997</c:v>
                </c:pt>
                <c:pt idx="26">
                  <c:v>25842.976320000002</c:v>
                </c:pt>
                <c:pt idx="27">
                  <c:v>19066.682180000003</c:v>
                </c:pt>
                <c:pt idx="28">
                  <c:v>17806.402880000001</c:v>
                </c:pt>
                <c:pt idx="29">
                  <c:v>17478.198220000002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0-406F-834B-8D3195B0F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972615"/>
        <c:axId val="1860765703"/>
      </c:barChart>
      <c:catAx>
        <c:axId val="185997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65703"/>
        <c:crosses val="autoZero"/>
        <c:auto val="1"/>
        <c:lblAlgn val="ctr"/>
        <c:lblOffset val="100"/>
        <c:noMultiLvlLbl val="0"/>
      </c:catAx>
      <c:valAx>
        <c:axId val="1860765703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7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629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ustomXml" Target="../ink/ink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ustomXml" Target="../ink/ink2.xml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ustomXml" Target="../ink/ink1.xml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9</xdr:col>
      <xdr:colOff>266700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85D49-0270-457D-AD60-75B775071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228600</xdr:colOff>
      <xdr:row>9</xdr:row>
      <xdr:rowOff>0</xdr:rowOff>
    </xdr:from>
    <xdr:to>
      <xdr:col>24</xdr:col>
      <xdr:colOff>581025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D738EE-3302-4DB3-8469-C34CFDA93EF7}"/>
            </a:ext>
            <a:ext uri="{147F2762-F138-4A5C-976F-8EAC2B608ADB}">
              <a16:predDERef xmlns:a16="http://schemas.microsoft.com/office/drawing/2014/main" pred="{74385D49-0270-457D-AD60-75B775071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57150</xdr:rowOff>
    </xdr:from>
    <xdr:to>
      <xdr:col>7</xdr:col>
      <xdr:colOff>0</xdr:colOff>
      <xdr:row>39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B6006-3A6D-4EDF-97D3-CE4F45C1A6C8}"/>
            </a:ext>
            <a:ext uri="{147F2762-F138-4A5C-976F-8EAC2B608ADB}">
              <a16:predDERef xmlns:a16="http://schemas.microsoft.com/office/drawing/2014/main" pred="{FDD738EE-3302-4DB3-8469-C34CFDA93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47625</xdr:colOff>
      <xdr:row>25</xdr:row>
      <xdr:rowOff>66675</xdr:rowOff>
    </xdr:from>
    <xdr:to>
      <xdr:col>15</xdr:col>
      <xdr:colOff>438150</xdr:colOff>
      <xdr:row>39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A56B88-4F9E-4C64-88CC-2A0D8CAE43AF}"/>
            </a:ext>
            <a:ext uri="{147F2762-F138-4A5C-976F-8EAC2B608ADB}">
              <a16:predDERef xmlns:a16="http://schemas.microsoft.com/office/drawing/2014/main" pred="{A75B6006-3A6D-4EDF-97D3-CE4F45C1A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514350</xdr:colOff>
      <xdr:row>25</xdr:row>
      <xdr:rowOff>66675</xdr:rowOff>
    </xdr:from>
    <xdr:to>
      <xdr:col>24</xdr:col>
      <xdr:colOff>600075</xdr:colOff>
      <xdr:row>39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C38C32-BA08-4690-BBF2-A0FBF404C0F7}"/>
            </a:ext>
            <a:ext uri="{147F2762-F138-4A5C-976F-8EAC2B608ADB}">
              <a16:predDERef xmlns:a16="http://schemas.microsoft.com/office/drawing/2014/main" pred="{FDA56B88-4F9E-4C64-88CC-2A0D8CAE4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40</xdr:row>
      <xdr:rowOff>38100</xdr:rowOff>
    </xdr:from>
    <xdr:to>
      <xdr:col>11</xdr:col>
      <xdr:colOff>514350</xdr:colOff>
      <xdr:row>59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C64ADD-3AE0-478A-864F-A773B69892F0}"/>
            </a:ext>
            <a:ext uri="{147F2762-F138-4A5C-976F-8EAC2B608ADB}">
              <a16:predDERef xmlns:a16="http://schemas.microsoft.com/office/drawing/2014/main" pred="{9FC38C32-BA08-4690-BBF2-A0FBF404C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40</xdr:row>
      <xdr:rowOff>47625</xdr:rowOff>
    </xdr:from>
    <xdr:to>
      <xdr:col>29</xdr:col>
      <xdr:colOff>0</xdr:colOff>
      <xdr:row>59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01D8A9-7700-4587-AE66-9D166CCAFB19}"/>
            </a:ext>
            <a:ext uri="{147F2762-F138-4A5C-976F-8EAC2B608ADB}">
              <a16:predDERef xmlns:a16="http://schemas.microsoft.com/office/drawing/2014/main" pred="{40C64ADD-3AE0-478A-864F-A773B6989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2</xdr:row>
      <xdr:rowOff>38100</xdr:rowOff>
    </xdr:from>
    <xdr:to>
      <xdr:col>1</xdr:col>
      <xdr:colOff>542925</xdr:colOff>
      <xdr:row>25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onth 1">
              <a:extLst>
                <a:ext uri="{FF2B5EF4-FFF2-40B4-BE49-F238E27FC236}">
                  <a16:creationId xmlns:a16="http://schemas.microsoft.com/office/drawing/2014/main" id="{172008B2-3F67-CC70-10F4-50AAB0C17933}"/>
                </a:ext>
                <a:ext uri="{147F2762-F138-4A5C-976F-8EAC2B608ADB}">
                  <a16:predDERef xmlns:a16="http://schemas.microsoft.com/office/drawing/2014/main" pred="{9201D8A9-7700-4587-AE66-9D166CCAFB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19100"/>
              <a:ext cx="1152525" cy="4124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26</xdr:col>
      <xdr:colOff>0</xdr:colOff>
      <xdr:row>3</xdr:row>
      <xdr:rowOff>0</xdr:rowOff>
    </xdr:from>
    <xdr:to>
      <xdr:col>29</xdr:col>
      <xdr:colOff>0</xdr:colOff>
      <xdr:row>12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y 1">
              <a:extLst>
                <a:ext uri="{FF2B5EF4-FFF2-40B4-BE49-F238E27FC236}">
                  <a16:creationId xmlns:a16="http://schemas.microsoft.com/office/drawing/2014/main" id="{9C53D4B9-79AA-A576-0B2E-BD286D6A2E01}"/>
                </a:ext>
                <a:ext uri="{147F2762-F138-4A5C-976F-8EAC2B608ADB}">
                  <a16:predDERef xmlns:a16="http://schemas.microsoft.com/office/drawing/2014/main" pred="{172008B2-3F67-CC70-10F4-50AAB0C179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00" y="447675"/>
              <a:ext cx="1828800" cy="1781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25</xdr:col>
      <xdr:colOff>47625</xdr:colOff>
      <xdr:row>13</xdr:row>
      <xdr:rowOff>57150</xdr:rowOff>
    </xdr:from>
    <xdr:to>
      <xdr:col>28</xdr:col>
      <xdr:colOff>581025</xdr:colOff>
      <xdr:row>20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Sales_Channel">
              <a:extLst>
                <a:ext uri="{FF2B5EF4-FFF2-40B4-BE49-F238E27FC236}">
                  <a16:creationId xmlns:a16="http://schemas.microsoft.com/office/drawing/2014/main" id="{4673ACCF-1C60-461E-EBDF-77BF570CCF38}"/>
                </a:ext>
                <a:ext uri="{147F2762-F138-4A5C-976F-8EAC2B608ADB}">
                  <a16:predDERef xmlns:a16="http://schemas.microsoft.com/office/drawing/2014/main" pred="{9C53D4B9-79AA-A576-0B2E-BD286D6A2E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7425" y="2305050"/>
              <a:ext cx="18288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25</xdr:col>
      <xdr:colOff>38100</xdr:colOff>
      <xdr:row>20</xdr:row>
      <xdr:rowOff>104775</xdr:rowOff>
    </xdr:from>
    <xdr:to>
      <xdr:col>28</xdr:col>
      <xdr:colOff>571500</xdr:colOff>
      <xdr:row>39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tate">
              <a:extLst>
                <a:ext uri="{FF2B5EF4-FFF2-40B4-BE49-F238E27FC236}">
                  <a16:creationId xmlns:a16="http://schemas.microsoft.com/office/drawing/2014/main" id="{17B4559B-C580-CC57-EAC7-2A065335E478}"/>
                </a:ext>
                <a:ext uri="{147F2762-F138-4A5C-976F-8EAC2B608ADB}">
                  <a16:predDERef xmlns:a16="http://schemas.microsoft.com/office/drawing/2014/main" pred="{4673ACCF-1C60-461E-EBDF-77BF570CCF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7900" y="3686175"/>
              <a:ext cx="1828800" cy="367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304800</xdr:colOff>
      <xdr:row>9</xdr:row>
      <xdr:rowOff>0</xdr:rowOff>
    </xdr:from>
    <xdr:to>
      <xdr:col>17</xdr:col>
      <xdr:colOff>152400</xdr:colOff>
      <xdr:row>25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D7E755A-ECB6-454E-9607-881426F17589}"/>
            </a:ext>
            <a:ext uri="{147F2762-F138-4A5C-976F-8EAC2B608ADB}">
              <a16:predDERef xmlns:a16="http://schemas.microsoft.com/office/drawing/2014/main" pred="{17B4559B-C580-CC57-EAC7-2A065335E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33</xdr:col>
      <xdr:colOff>565840</xdr:colOff>
      <xdr:row>5</xdr:row>
      <xdr:rowOff>40215</xdr:rowOff>
    </xdr:from>
    <xdr:to>
      <xdr:col>39</xdr:col>
      <xdr:colOff>89500</xdr:colOff>
      <xdr:row>20</xdr:row>
      <xdr:rowOff>131360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1393AB6-A081-713A-9891-ABDB86DF4517}"/>
                </a:ext>
              </a:extLst>
            </xdr14:cNvPr>
            <xdr14:cNvContentPartPr/>
          </xdr14:nvContentPartPr>
          <xdr14:nvPr macro=""/>
          <xdr14:xfrm>
            <a:off x="19869840" y="1230840"/>
            <a:ext cx="3143160" cy="283752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1393AB6-A081-713A-9891-ABDB86DF451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9863720" y="1224720"/>
              <a:ext cx="3155400" cy="28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584920</xdr:colOff>
      <xdr:row>0</xdr:row>
      <xdr:rowOff>268560</xdr:rowOff>
    </xdr:from>
    <xdr:to>
      <xdr:col>40</xdr:col>
      <xdr:colOff>132090</xdr:colOff>
      <xdr:row>39</xdr:row>
      <xdr:rowOff>132380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EE7EB1D1-B6C7-734E-B03F-014E6F630ED4}"/>
                </a:ext>
              </a:extLst>
            </xdr14:cNvPr>
            <xdr14:cNvContentPartPr/>
          </xdr14:nvContentPartPr>
          <xdr14:nvPr macro=""/>
          <xdr14:xfrm>
            <a:off x="19888920" y="268560"/>
            <a:ext cx="3769920" cy="742032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EE7EB1D1-B6C7-734E-B03F-014E6F630ED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9882800" y="262440"/>
              <a:ext cx="3782160" cy="74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176180</xdr:colOff>
      <xdr:row>24</xdr:row>
      <xdr:rowOff>9080</xdr:rowOff>
    </xdr:from>
    <xdr:to>
      <xdr:col>35</xdr:col>
      <xdr:colOff>573980</xdr:colOff>
      <xdr:row>39</xdr:row>
      <xdr:rowOff>170180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3033E01-1732-86C8-782C-9323E9703DC7}"/>
                </a:ext>
              </a:extLst>
            </xdr14:cNvPr>
            <xdr14:cNvContentPartPr/>
          </xdr14:nvContentPartPr>
          <xdr14:nvPr macro=""/>
          <xdr14:xfrm>
            <a:off x="20686680" y="4708080"/>
            <a:ext cx="397800" cy="301860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3033E01-1732-86C8-782C-9323E9703DC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0680560" y="4701960"/>
              <a:ext cx="410040" cy="3030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6T12:52:13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2235 2504 9192 0 0,'0'0'0'0'0</inkml:trace>
  <inkml:trace contextRef="#ctx0" brushRef="#br0" timeOffset="11665.81">2120 2394 9096 0 0,'0'0'4177'0'0,"-2"13"-4204"0"0,-5 88-13 0 0,7-98 37 0 0,0 0 0 0 0,-1 0-1 0 0,0 0 1 0 0,0 0 0 0 0,0 0-1 0 0,0 0 1 0 0,0-1 0 0 0,-1 1-1 0 0,1 0 1 0 0,-4 3 0 0 0,4-4 1 0 0,-3 3-5 0 0,-11 2 6 0 0,-1 0 2 0 0,13-6 14 0 0,1 2-6 0 0,-37 37 356 0 0,35-38 446 0 0,8-3-820 0 0,31-18-87 0 0,-32 17 72 0 0,16 2-12 0 0,-15 0 72 0 0,-1 0 12 0 0,0 0-26 0 0,0 1 1 0 0,0-1-1 0 0,0 1 1 0 0,0 0-1 0 0,0 0 1 0 0,0 0-1 0 0,0 0 1 0 0,-1 1-1 0 0,1-1 1 0 0,3 4 0 0 0,-2-3 23 0 0,-1 1-4 0 0,1 0-20 0 0,-1 0 1 0 0,1 0 0 0 0,-1 1 0 0 0,0 0 0 0 0,0-1 0 0 0,3 7 0 0 0,17 29 129 0 0,10 22 76 0 0,-13-12 56 0 0,-19-46-228 0 0,-1 0 1 0 0,0 8 16 0 0,0-8 173 0 0,1 1-118 0 0,3 11 0 0 0,-3-12 128 0 0,0 1-129 0 0,0 0-128 0 0,0 0 0 0 0,0-1 0 0 0,0 1 0 0 0,-1 0 0 0 0,0 0 0 0 0,0 0 0 0 0,0-1 0 0 0,0 1 0 0 0,0 0 0 0 0,-1 0 0 0 0,0 0 0 0 0,0-1 0 0 0,0 1 0 0 0,-2 4-1 0 0,-8 16 100 0 0,1-1 0 0 0,-15 50 0 0 0,13-32 48 0 0,4-20-21 0 0,3-3-40 0 0,4 2-12 0 0,0-17-64 0 0,1 1 0 0 0,-1-1 0 0 0,1 0 0 0 0,0 0 0 0 0,0 1 1 0 0,0-1-1 0 0,1 0 0 0 0,-1 0 0 0 0,1 0 0 0 0,-1 1 0 0 0,3 3 0 0 0,9 28 57 0 0,-11-30-52 0 0,0-1 0 0 0,0 1-1 0 0,1-1 1 0 0,0 0 0 0 0,4 7 0 0 0,-3-5-9 0 0,33 108 99 0 0,-25-78-113 0 0,16 33 0 0 0,-14-33-12 0 0,11 8 44 0 0,-2 7 15 0 0,-18-42-31 0 0,9 22-5 0 0,-13-31-3 0 0,19 62 11 0 0,10 55 72 0 0,-18-66-63 0 0,-5-7-11 0 0,-4-28-6 0 0,0 0 1 0 0,1 0-1 0 0,0-1 0 0 0,7 19 0 0 0,-8-24 3 0 0,-2-3-3 0 0,1 0 0 0 0,0 0 0 0 0,0 0 0 0 0,0-1 0 0 0,1 1 0 0 0,4 11 0 0 0,-3-8 3 0 0,11 43 43 0 0,-9-38-30 0 0,3 25 2 0 0,2 18-12 0 0,-1-6 0 0 0,3 17 0 0 0,16 114 6 0 0,2-23-108 0 0,-4-30 24 0 0,-15-49-47 0 0,0 145 0 0 0,-7-164 170 0 0,0 30 6 0 0,-4-19-59 0 0,-3 133-121 0 0,-2-62 241 0 0,4-132-118 0 0,0-6-1 0 0,1 0 0 0 0,0-1 1 0 0,0 1-1 0 0,0 0 0 0 0,3 9 0 0 0,1 8 27 0 0,12 38-1 0 0,-12-50-22 0 0,20 74 23 0 0,-20-58-28 0 0,-5-16 28 0 0,2-1 0 0 0,-1 1 0 0 0,2-1 0 0 0,-1 1 0 0 0,1-1-1 0 0,4 12 1 0 0,-4-16-16 0 0,-1-6-8 0 0,-1 1 0 0 0,0 0 0 0 0,1-1 0 0 0,-1 1-1 0 0,0 0 1 0 0,0 0 0 0 0,0-1 0 0 0,0 1 0 0 0,1 0 0 0 0,-1 0-1 0 0,0-1 1 0 0,0 1 0 0 0,0 0 0 0 0,0 0 0 0 0,-1-1 0 0 0,1 1 0 0 0,0 0-1 0 0,0 1 1 0 0,-1-2 1 0 0,1 1-1 0 0,0 0 0 0 0,0 1 1 0 0,-1-1-1 0 0,1 0 0 0 0,0 0 1 0 0,0 0-1 0 0,0 0 0 0 0,0 0 1 0 0,0 0-1 0 0,1 0 0 0 0,-1 0 0 0 0,0 0 1 0 0,0 0-1 0 0,1 0 0 0 0,0 1 1 0 0,11 50 124 0 0,-6-25-56 0 0,1 0 1 0 0,21 52-1 0 0,18 1-1 0 0,-17-33-8 0 0,-21-31-54 0 0,1-2 0 0 0,1 1 0 0 0,1-1 0 0 0,13 14-1 0 0,13 14-33 0 0,-22-26 17 0 0,-1 2-8 0 0,19 26-20 0 0,-7-10-2 0 0,0 8 18 0 0,-26-41 19 0 0,0 0-1 0 0,1 0 1 0 0,-1 0-1 0 0,1 0 1 0 0,-1 0 0 0 0,1 0-1 0 0,-1 0 1 0 0,1 0-1 0 0,0 0 1 0 0,0 0 0 0 0,-1 0-1 0 0,1-1 1 0 0,0 1-1 0 0,0 0 1 0 0,1 0-1 0 0,12 13-5 0 0,16 28 6 0 0,-22-29 11 0 0,2-1 1 0 0,-1 1 0 0 0,2-1-1 0 0,-1-1 1 0 0,2 0 0 0 0,0 0-1 0 0,25 16 1 0 0,38 23 63 0 0,-31-24 5 0 0,-37-23-63 0 0,-1 1 1 0 0,0 0-1 0 0,0 1 0 0 0,10 8 1 0 0,10 6 25 0 0,-24-18-41 0 0,-1 0-1 0 0,1 0 0 0 0,0 0 1 0 0,0 0-1 0 0,0 0 0 0 0,-1 0 1 0 0,1 0-1 0 0,-1 0 0 0 0,1 1 1 0 0,-1-1-1 0 0,1 1 0 0 0,0 1 1 0 0,11 12 8 0 0,-7-8-7 0 0,24 23 7 0 0,-13-18 1 0 0,27 23 29 0 0,-1 2 16 0 0,-41-36-54 0 0,-1 0 1 0 0,1 0-1 0 0,-1 0 0 0 0,0 0 0 0 0,1 0 0 0 0,-1 0 0 0 0,0 0 0 0 0,0 1 0 0 0,0-1 0 0 0,0 0 0 0 0,2 3 0 0 0,6 12 29 0 0,59 57 147 0 0,-18-15-202 0 0,-36-41 22 0 0,0 0 4 0 0,0 3 3 0 0,8 11-2 0 0,-10-18-29 0 0,16 27-39 0 0,8 10-23 0 0,-33-46 81 0 0,1 0 1 0 0,-1 0-1 0 0,0 0 0 0 0,1-1 1 0 0,0 1-1 0 0,0-1 0 0 0,0 0 1 0 0,0 0-1 0 0,5 3 1 0 0,-4-4 1 0 0,31 27-43 0 0,8-1-8 0 0,-27-18 25 0 0,0-1 0 0 0,0 0 0 0 0,1-2 0 0 0,30 10 0 0 0,-32-12 10 0 0,28 11-23 0 0,8 5 64 0 0,21 7 4 0 0,-26-10 8 0 0,1-2 0 0 0,77 15 0 0 0,-48-13-8 0 0,8 0 48 0 0,-79-16-63 0 0,1-1 0 0 0,-1 0-1 0 0,1 0 1 0 0,9 0 0 0 0,7 1 11 0 0,42 5-398 0 0,94-2 0 0 0,-147-4 523 0 0,1 1-1 0 0,-1-1 1 0 0,18 6-1 0 0,-12-3 36 0 0,61 13 66 0 0,-43-13-161 0 0,70-3 0 0 0,-72-1-56 0 0,17-6 30 0 0,-39 6-47 0 0,5-2-8 0 0,0 1 1 0 0,16 1-6 0 0,-30 0-11 0 0,0-1 1 0 0,69-13-68 0 0,-36 0 73 0 0,9-2 52 0 0,-41 14-38 0 0,-4 1-7 0 0,0 1 0 0 0,0 0-1 0 0,0-1 1 0 0,1 1-1 0 0,-1 0 1 0 0,0-1 0 0 0,0 1-1 0 0,1 0 1 0 0,-1-1-1 0 0,0 1 1 0 0,0 0-1 0 0,1-1 1 0 0,-1 1 0 0 0,0 0-1 0 0,1 0 1 0 0,-1-1-1 0 0,0 1 1 0 0,1 0 0 0 0,-1 0-1 0 0,0 0 1 0 0,1-1-1 0 0,-1 1 1 0 0,1 0 0 0 0,-1 0-1 0 0,0 0 1 0 0,1 0-1 0 0,0 0 1 0 0,-1 0 0 0 0,1 0-1 0 0,-1 0 1 0 0,0-1 0 0 0,1 1-1 0 0,-1 0 1 0 0,0 0-1 0 0,1 0 1 0 0,-1 0 0 0 0,1-1-1 0 0,-1 1 1 0 0,0 0 0 0 0,1 0-1 0 0,-1-1 1 0 0,0 1 0 0 0,0 0-1 0 0,1 0 1 0 0,-1-1 0 0 0,0 1-1 0 0,0 0 1 0 0,1-1 0 0 0,-1 1-1 0 0,0 0 1 0 0,0-1-1 0 0,0 1 1 0 0,1-1 0 0 0,2-2 12 0 0,47-36 46 0 0,-47 36-48 0 0,0 0 0 0 0,1 0 0 0 0,-1 1 0 0 0,1-1 0 0 0,-1 1 0 0 0,1-1 0 0 0,6-1 1 0 0,-5 1-5 0 0,6-5 27 0 0,19-13 64 0 0,52-47 0 0 0,-81 67-96 0 0,0 0 0 0 0,0-1 0 0 0,0 1 0 0 0,0 0 0 0 0,1 0 0 0 0,-1 0 0 0 0,0 0 0 0 0,1 1 0 0 0,-1-1 0 0 0,0 0 0 0 0,3-1 0 0 0,14-8 30 0 0,34-24 99 0 0,16-11-78 0 0,-52 35-85 0 0,7-7-9 0 0,-13 5 24 0 0,0 1 0 0 0,0-2 0 0 0,-1 1 0 0 0,-1-1 0 0 0,13-28-1 0 0,-5 12-12 0 0,1 4-4 0 0,25-45-30 0 0,-25 45 56 0 0,5-2 0 0 0,19-24-6 0 0,4-3-2 0 0,169-164 14 0 0,-54 46 36 0 0,-120 122 6 0 0,-23 25-6 0 0,24-48 1 0 0,-17 25-2 0 0,-13 26-25 0 0,0 0 0 0 0,-2 0-1 0 0,0-1 1 0 0,8-36 0 0 0,-6 6 1 0 0,-4 27-5 0 0,-2 1 0 0 0,-1 0 0 0 0,0-31 0 0 0,-4 12 3 0 0,2 0-1 0 0,2 1 1 0 0,2 0-1 0 0,1 0 1 0 0,22-67-1 0 0,-17 72 9 0 0,-1 4 3 0 0,19-43 0 0 0,49-103 40 0 0,-18 38-447 0 0,-45 102-50 0 0,17-69-1 0 0,-23 74 282 0 0,55-286 923 0 0,-54 261-550 0 0,-5 34-75 0 0,-2 0 0 0 0,3-42 0 0 0,1-175 90 0 0,-24 0-250 0 0,2 65 99 0 0,12 145-43 0 0,-3-71 117 0 0,10-129-1 0 0,0 184-101 0 0,2 0 0 0 0,25-91-1 0 0,1 28 8 0 0,-9 8-35 0 0,-6 23 2 0 0,4-26 36 0 0,-11 52-37 0 0,-2 0 0 0 0,2-75 0 0 0,-5-274 102 0 0,-6 377-124 0 0,2-10 36 0 0,2-1 0 0 0,1 1 0 0 0,14-48 0 0 0,-7 31 3 0 0,-7 35-53 0 0,14-34 0 0 0,2-8-2 0 0,-15 41 42 0 0,12-28 0 0 0,4-11 4 0 0,15-49-74 0 0,-30 93 67 0 0,4-20 5 0 0,-7 21-27 0 0,-2 8 2 0 0,0-24 4 0 0,-2 27 14 0 0,0-30 42 0 0,0 29-29 0 0,3 8-33 0 0,6 9 0 0 0,-7-10 39 0 0,1-6-188 0 0,8-10 143 0 0,-5 9-2 0 0,9 2 3 0 0,-1 2 2 0 0,1 0 3 0 0,-12 0 109 0 0,0 0-121 0 0,-2 0 7 0 0,-1 1 0 0 0,1-1 0 0 0,0 0 0 0 0,-1 0 0 0 0,1 0-1 0 0,-1 1 1 0 0,1-1 0 0 0,0 0 0 0 0,-1 0 0 0 0,1 0 0 0 0,0 0 0 0 0,-1 0 0 0 0,1 0 0 0 0,-1 0-1 0 0,1 0 1 0 0,0 0 0 0 0,-1-1 0 0 0,1 1 0 0 0,-1 0 0 0 0,1 0 0 0 0,0-1 0 0 0,0 1 0 0 0,3-12-9 0 0,-3 10-2 0 0,-1-1-83 0 0,1 1 74 0 0,0 0 0 0 0,0 0 1 0 0,0 1-1 0 0,-1-1 0 0 0,2 0 0 0 0,-1 1 1 0 0,0-1-1 0 0,0 0 0 0 0,0 1 0 0 0,1 0 1 0 0,-1-1-1 0 0,1 1 0 0 0,-1 0 1 0 0,1 0-1 0 0,0 0 0 0 0,-1 0 0 0 0,1 0 1 0 0,0 0-1 0 0,0 0 0 0 0,-1 0 1 0 0,1 1-1 0 0,0-1 0 0 0,2 0 0 0 0,-1 1-10 0 0,0 0-65 0 0,8 0 76 0 0,-8 0 2 0 0,0-1-36 0 0,27-4-55 0 0,-27 5 92 0 0,17-5-38 0 0,-9 5 48 0 0,26-3-16 0 0,-31 2 18 0 0,12-3 4 0 0,0 3 2 0 0,-1-1 0 0 0,13-1 1 0 0,-27 1 0 0 0,0 1 7 0 0,1 1 5 0 0,11 0-2 0 0,-12 0 2 0 0,28-2 14 0 0,-28 1-37 0 0,31-9-30 0 0,-31 9 30 0 0,27-9-108 0 0,-27 9 94 0 0,1-1-17 0 0,33-16-46 0 0,-33 15 71 0 0,-1 2 0 0 0,10-5-1 0 0,-9 5-4 0 0,10-11-13 0 0,-12 10 17 0 0,1 1-4 0 0,8-5 3 0 0,-8 5 2 0 0,0-2 0 0 0,0 1 11 0 0,0 0 0 0 0,-1 1-1 0 0,1-1 1 0 0,0 1 0 0 0,0-1-1 0 0,0 1 1 0 0,0 0 0 0 0,4-1-1 0 0,-3 2-10 0 0,-1-2 0 0 0,74-29-64 0 0,5-2 128 0 0,-60 23 3 0 0,41-14 0 0 0,-55 21-39 0 0,-4 2 4 0 0,0 0 0 0 0,0 0 0 0 0,0 1 1 0 0,0-1-1 0 0,8 1 0 0 0,-8 0-4 0 0,-1 0 13 0 0,0-1-1 0 0,30-6 64 0 0,-30 7-70 0 0,1-1 3 0 0,0-1-14 0 0,24-3 57 0 0,14-9-30 0 0,-38 14-26 0 0,-2-2 1 0 0,0 0 0 0 0,1 0 0 0 0,-1 0 1 0 0,1 1-1 0 0,-1-1 0 0 0,1 1 0 0 0,0 0 0 0 0,4-2 0 0 0,-3 2 21 0 0,-4 0-29 0 0,0 1 0 0 0,0 0-1 0 0,0-1 1 0 0,0 1 0 0 0,1 0-1 0 0,-1-1 1 0 0,0 1-1 0 0,0 0 1 0 0,1 0 0 0 0,-1-1-1 0 0,0 1 1 0 0,1 0 0 0 0,-1 0-1 0 0,0-1 1 0 0,1 1-1 0 0,-1 0 1 0 0,0 0 0 0 0,1 0-1 0 0,-1 0 1 0 0,0-1 0 0 0,1 1-1 0 0,-1 0 1 0 0,1 0 0 0 0,-1 0-1 0 0,1 0 1 0 0,-1 0-1 0 0,1 0 0 0 0,-1 0 1 0 0,0 0-1 0 0,1 0 0 0 0,-1 0 1 0 0,1 0-1 0 0,-1 0 0 0 0,0 0 0 0 0,1-1 1 0 0,-1 1-1 0 0,0 0 0 0 0,1 0 1 0 0,-1 0-1 0 0,0-1 0 0 0,1 1 0 0 0,-1 0 1 0 0,0 0-1 0 0,1-1 0 0 0,-1 1 1 0 0,0 0-1 0 0,0-1 0 0 0,1 1 1 0 0,-1 0-1 0 0,0-1 0 0 0,0 1 0 0 0,3-2 7 0 0,8-3-4 0 0,-8 3 58 0 0,9-12-37 0 0,-10 11 9 0 0,0 1-26 0 0,8-10-4 0 0,-7 6 3 0 0,-1-7 2 0 0,-2 10 71 0 0,1 0-68 0 0,5-8 2 0 0,-5 8-4 0 0,0 0-2 0 0,3-8-4 0 0,4-25-65 0 0,-7 33 396 0 0,-1-16-353 0 0,0-7-204 0 0,0 23 231 0 0,0 1 0 0 0,0-10 0 0 0,0 10 56 0 0,0-32 320 0 0,0 31-408 0 0,0-16-232 0 0,-4-12 344 0 0,3 28-53 0 0,-2-13-46 0 0,-2-4-5 0 0,4 17 8 0 0,1-11-19 0 0,0 12 23 0 0,0 1 0 0 0,0 0 0 0 0,0-1 0 0 0,0 1 0 0 0,0 0 0 0 0,0-1 0 0 0,0 1 1 0 0,0 0-1 0 0,0-1 0 0 0,-1 1 0 0 0,1 0 0 0 0,-1-3 0 0 0,0 1-7 0 0,-6-27-28 0 0,6 24 33 0 0,1-5 6 0 0,0-25 38 0 0,0 33-35 0 0,-5-17-118 0 0,0-10 133 0 0,4 26 20 0 0,-7-12 9 0 0,5-1-12 0 0,1 13-22 0 0,-3-11-2 0 0,3 11 2 0 0,0 2-2 0 0,-28-55 74 0 0,8 4-21 0 0,6 23-34 0 0,9 20-25 0 0,2 0 1 0 0,-1-1 0 0 0,2 0 0 0 0,-6-17 0 0 0,8 22-1 0 0,0-5-2 0 0,1 5 2 0 0,-6-25-6 0 0,6 29-13 0 0,0-1-16 0 0,-6-44-100 0 0,7 43 121 0 0,-10-26-278 0 0,9 27 375 0 0,-1 0-80 0 0,-6-10 0 0 0,7 9-2 0 0,-2 1-10 0 0,-6-8-4 0 0,7 8-24 0 0,1 3-69 0 0,1-1 98 0 0,0 0-1 0 0,-1 0 1 0 0,1 0 0 0 0,-1 0 0 0 0,1 0-1 0 0,-1 1 1 0 0,1-1 0 0 0,-1 0-1 0 0,1 1 1 0 0,-1-1 0 0 0,0 0-1 0 0,1 1 1 0 0,-1-1 0 0 0,-1 0-1 0 0,-5-6 65 0 0,-27-35-11 0 0,31 39-38 0 0,0 0-26 0 0,-8-10 6 0 0,6 7 0 0 0,-4-6 3 0 0,6 10 12 0 0,3 1-7 0 0,0 1 1 0 0,0-1 0 0 0,0 1-1 0 0,0 0 1 0 0,0-1 0 0 0,-1 1 0 0 0,1-1-1 0 0,0 1 1 0 0,0 0 0 0 0,0-1-1 0 0,-1 1 1 0 0,1 0 0 0 0,0-1-1 0 0,-1 1 1 0 0,1 0 0 0 0,0-1-1 0 0,-1 1 1 0 0,1 0 0 0 0,0 0 0 0 0,-1-1-1 0 0,1 1 1 0 0,-1 0 0 0 0,1 0-1 0 0,0 0 1 0 0,-1 0 0 0 0,0-1-1 0 0,1 1 1 0 0,-1 0 0 0 0,1 0-1 0 0,-1 0 1 0 0,1 0 0 0 0,-1 0 0 0 0,1-1-1 0 0,0 1 1 0 0,-1 0 0 0 0,1 0-1 0 0,0-1 1 0 0,-1 1 0 0 0,1 0-1 0 0,0 0 1 0 0,-1-1 0 0 0,1 1-1 0 0,0 0 1 0 0,-1-1 0 0 0,1 1 0 0 0,0-1-1 0 0,0 1 1 0 0,0 0 0 0 0,-1-1-1 0 0,1 1 1 0 0,0-1 0 0 0,0 1-1 0 0,0-1 1 0 0,-1-1 2 0 0,0 1 0 0 0,1 0 0 0 0,-1-1 0 0 0,0 1 0 0 0,0 0 0 0 0,0-1 0 0 0,0 1 0 0 0,0 0-1 0 0,0 0 1 0 0,0 0 0 0 0,-1 0 0 0 0,1 0 0 0 0,-2-1 0 0 0,2 1 4 0 0,-32-25 41 0 0,29 23-39 0 0,-10-8 9 0 0,8 6-5 0 0,-9-4-4 0 0,7 4-2 0 0,-22-16 2 0 0,28 19-1 0 0,1 2-7 0 0,1 0-1 0 0,-1 0 1 0 0,0 0-1 0 0,1 1 1 0 0,-1-1-1 0 0,1-1 1 0 0,-1 1 0 0 0,1 0-1 0 0,-1 0 1 0 0,1 0-1 0 0,-1 0 1 0 0,1 0-1 0 0,-1 0 1 0 0,1 0-1 0 0,-1-1 1 0 0,1 1-1 0 0,-1 0 1 0 0,1-1-1 0 0,-1 1 1 0 0,0-1-1 0 0,-14-5 29 0 0,-45-8 18 0 0,-3 0 16 0 0,10-2-45 0 0,-114-20 13 0 0,130 31-24 0 0,23 3-3 0 0,-1 1 0 0 0,-27-8 0 0 0,17 4 1 0 0,-5 4-4 0 0,2-1-1 0 0,3 1 0 0 0,2 1 0 0 0,15 1-5 0 0,1-1 0 0 0,-1 0 0 0 0,1-1 0 0 0,-14-2 0 0 0,1 1-42 0 0,-213 2-193 0 0,222 1 235 0 0,0 0 0 0 0,1 1 0 0 0,-20 6 0 0 0,3-1 1 0 0,-31 2 0 0 0,-100 4 0 0 0,35-5 30 0 0,61-2 1 0 0,8-2-61 0 0,1 2 0 0 0,-71 18 0 0 0,36-2-48 0 0,45-12 143 0 0,-66 24 0 0 0,-37 15 91 0 0,120-41-151 0 0,-58 14 17 0 0,37-8-3 0 0,-77 13 0 0 0,67-16-5 0 0,-157 14-8 0 0,39-6-30 0 0,-2 0 5 0 0,15-2 20 0 0,93-8-23 0 0,34-6 9 0 0,1 2 0 0 0,-63 18 1 0 0,25-4 11 0 0,-14 4 0 0 0,62-16 3 0 0,1 0 1 0 0,-45 4-1 0 0,3 0-1 0 0,-120 12-88 0 0,104-16 62 0 0,36-3 19 0 0,-18 3 0 0 0,-85 18 0 0 0,6 1 2 0 0,55-12-10 0 0,-37 3-6 0 0,75-11 21 0 0,1 1 1 0 0,-54 16-1 0 0,-386 134-37 0 0,428-136 40 0 0,-84 21 0 0 0,39-11 8 0 0,42-15 7 0 0,37-8-10 0 0,-35 5 1 0 0,-34 5 0 0 0,27-3 1 0 0,-39 8-6 0 0,-78 11 7 0 0,46-26 2 0 0,93-5-7 0 0,32-3-2 0 0,1 0 0 0 0,-1 2 0 0 0,-14 2-1 0 0,-28 6 4 0 0,38-7-3 0 0,0 0 1 0 0,-19 6-1 0 0,-54 26-1 0 0,-12 4 0 0 0,79-30 0 0 0,-28 14 0 0 0,-9 4 0 0 0,-80 35-9 0 0,32-13 2 0 0,57-28-9 0 0,0 3 0 0 0,-87 54 0 0 0,73-32 6 0 0,-53 35 44 0 0,99-67-42 0 0,-25 22-1 0 0,-6 4-46 0 0,0 1-1 0 0,6-13 32 0 0,-8 8-1 0 0,37-27 18 0 0,1 3 3 0 0,12-10 2 0 0,-37 31-8 0 0,-11 0-54 0 0,51-33 63 0 0,-1 0 0 0 0,1 0 0 0 0,-1 0 1 0 0,1 0-1 0 0,-1 0 0 0 0,1 0 0 0 0,-1 1 0 0 0,1-1 0 0 0,0 0 0 0 0,-1 0 0 0 0,1 1 0 0 0,-1-1 0 0 0,1 0 0 0 0,0 1 0 0 0,-1-1 0 0 0,1 0 0 0 0,0 1 0 0 0,-1-1 0 0 0,1 1 0 0 0,0-1 0 0 0,0 0 0 0 0,-1 1 0 0 0,1-1 0 0 0,0 1 0 0 0,-9 9-21 0 0,-17 11-20 0 0,4-2 6 0 0,-46 31 0 0 0,49-36 28 0 0,-38 31-24 0 0,48-38 24 0 0,5-3 5 0 0,-23 28-20 0 0,-8 11-67 0 0,-12 17 13 0 0,44-55 72 0 0,-3 4 1 0 0,-7 7-26 0 0,11-13 16 0 0,0 1-10 0 0,-3 11 13 0 0,3-11-2 0 0,-1 12-13 0 0,3-12 20 0 0,3 13 5 0 0,0 0 1 0 0,7 20-1 0 0,-6-20 13 0 0,4 2 0 0 0,5 3-21 0 0,1 0-1 0 0,1-1 0 0 0,1 0 0 0 0,28 27 0 0 0,2 6-70 0 0,-44-51 76 0 0,21 23-72 0 0,42 36 0 0 0,-57-56 70 0 0,0 1-1 0 0,-1 0 1 0 0,0 0-1 0 0,8 11 1 0 0,-10-12 3 0 0,31 28-19 0 0,4 3-5 0 0,-7-11-13 0 0,30 16 12 0 0,-47-29 32 0 0,39 28 5 0 0,-39-30 0 0 0,1 0-1 0 0,0-1 0 0 0,35 15 1 0 0,-36-23 11 0 0,0 0-1 0 0,0 0 1 0 0,1-2 0 0 0,-1 0 0 0 0,19-3-1 0 0,-1-2-1 0 0,0-1 0 0 0,-1-2 0 0 0,38-13-1 0 0,-50 14-24 0 0,76-29 2 0 0,-59 21 4 0 0,65-17-1 0 0,-72 24 7 0 0,-1-1-1 0 0,0-1 0 0 0,56-29 1 0 0,-25 5 7 0 0,49-24 13 0 0,14-4 104 0 0,-40 13 10 0 0,53-29-30 0 0,-106 61-120 0 0,45-32 0 0 0,-76 48 11 0 0,1 1 1 0 0,-1 0-1 0 0,0-1 1 0 0,1 1 0 0 0,-1 0-1 0 0,0 0 1 0 0,1-1-1 0 0,-1 1 1 0 0,1 0 0 0 0,-1 0-1 0 0,0-1 1 0 0,1 1-1 0 0,-1 0 1 0 0,1 0-1 0 0,-1 0 1 0 0,0 0 0 0 0,1 0-1 0 0,-1 0 1 0 0,1 0-1 0 0,-1 0 1 0 0,1 0 0 0 0,-1 0-1 0 0,0 0 1 0 0,2 0-1 0 0,9-2 18 0 0,27-22 22 0 0,-20 14-28 0 0,4-1-8 0 0,-1-1 1 0 0,12-3-4 0 0,-22 11 9 0 0,34-11 66 0 0,-42 15-114 0 0,0 0-10 0 0,10 0 2 0 0,-10 0 3 0 0,0 0-4 0 0,30 7-105 0 0,-29-6 136 0 0,-1 0 0 0 0,52 6-96 0 0,-52-7 80 0 0,31 0-146 0 0,-31 1 142 0 0,10 3 2 0 0,-9-3 2 0 0,-2 0-32 0 0,46 1 248 0 0,-45-2-162 0 0,17 0-517 0 0,8 0 378 0 0,-26 0 98 0 0,2 0-17 0 0,9 0 35 0 0,-7 1 6 0 0,5 3-2 0 0,42 10 585 0 0,-50-14-539 0 0,30 3-48 0 0,-29-3-57 0 0,-2 1 79 0 0,-1-1-16 0 0,-1 0 0 0 0,1 0 1 0 0,-1 0-1 0 0,1 0 0 0 0,-1 0 0 0 0,1 1 0 0 0,-1-1 0 0 0,0 0 1 0 0,1 0-1 0 0,-1 0 0 0 0,1 0 0 0 0,-1 1 0 0 0,0-1 1 0 0,1 0-1 0 0,-1 1 0 0 0,1-1 0 0 0,-1 0 0 0 0,0 0 0 0 0,0 1 1 0 0,1-1-1 0 0,-1 1 0 0 0,0-1 0 0 0,1 0 0 0 0,-1 1 0 0 0,0-1 1 0 0,0 1-1 0 0,0-1 0 0 0,1 0 0 0 0,-1 1 0 0 0,0-1 1 0 0,0 1-1 0 0,0-1 0 0 0,0 1 0 0 0,0-1 0 0 0,0 1 0 0 0,0-1 1 0 0,0 0-1 0 0,0 1 0 0 0,0-1 0 0 0,0 1 0 0 0,0-1 0 0 0,0 1 1 0 0,0-1-1 0 0,-1 1 0 0 0,1-1 0 0 0,0 0 0 0 0,0 1 0 0 0,0-1 1 0 0,-1 1-1 0 0,1-1 0 0 0,0 0 0 0 0,-1 1 0 0 0,1-1 1 0 0,-1 1-1 0 0,0 2 111 0 0,-2-1-100 0 0,-45 33-1788 0 0,46-33 1722 0 0,-32 6 48 0 0,31-8 34 0 0,0 1-21 0 0,-8 3-4 0 0,8-3 49 0 0,1-1 86 0 0,-10 2 30 0 0,10-1 348 0 0,-2 0-349 0 0,-9 2-2 0 0,10-2-41 0 0,0 0-262 0 0,-8 3 46 0 0,8-3 3 0 0,0 0-237 0 0,-8 5 313 0 0,8-5 38 0 0,0 0-22 0 0,-44 7 679 0 0,44-8-576 0 0,-32 0 183 0 0,-51 0 289 0 0,84 0-517 0 0,-2 0-38 0 0,-50 0-1044 0 0,50 0 839 0 0,0 0 22 0 0,-11 0 84 0 0,12 0 22 0 0,-31 2-216 0 0,31-2 224 0 0,-45 0-384 0 0,46 0 463 0 0,-2 0-30 0 0,1 1-5 0 0,-2-1-5 0 0,-17-10 40 0 0,19 8-9 0 0,3 2-29 0 0,-1 0 0 0 0,1 0 0 0 0,0 0 0 0 0,-1 0-1 0 0,1 0 1 0 0,0 0 0 0 0,-1 0 0 0 0,1 0 0 0 0,0 0 0 0 0,-1-1-1 0 0,1 1 1 0 0,0 0 0 0 0,-1 0 0 0 0,1 0 0 0 0,0-1-1 0 0,-1 1 1 0 0,1 0 0 0 0,0 0 0 0 0,0-1 0 0 0,-1 1-1 0 0,1 0 1 0 0,0-1 0 0 0,0 1 0 0 0,-1 0 0 0 0,1-1 0 0 0,-12-9 56 0 0,-1 4-48 0 0,10 5-1 0 0,1 0 6 0 0,1 1 0 0 0,0-1-1 0 0,-1 1 1 0 0,1-1 0 0 0,0 0-1 0 0,-1 1 1 0 0,1-1 0 0 0,0 0-1 0 0,0 0 1 0 0,0 0 0 0 0,0 0 0 0 0,0 0-1 0 0,0 0 1 0 0,0 0 0 0 0,0-1-1 0 0,0 1 1 0 0,1 0 0 0 0,-1 0-1 0 0,0-1 1 0 0,1 1 0 0 0,-2-3-1 0 0,2 3-40 0 0,-1-2 265 0 0,1-12 50 0 0,0 2-256 0 0,0 10 58 0 0,0 0-90 0 0,0-8-6 0 0,0 8-12 0 0,0 0-41 0 0,1 1 49 0 0,0 0-1 0 0,0 0 0 0 0,0-1 1 0 0,0 1-1 0 0,0 0 1 0 0,0 0-1 0 0,1 0 1 0 0,-1 0-1 0 0,1 0 1 0 0,-1 0-1 0 0,5-3 0 0 0,-3 3-5 0 0,-1-2-16 0 0,24-26-62 0 0,-23 27 75 0 0,-2 2-5 0 0,1 1 21 0 0,-1-1 0 0 0,0 0 0 0 0,0 0 0 0 0,1-1 0 0 0,-1 1 0 0 0,0 0 0 0 0,0 0-1 0 0,0-1 1 0 0,1-1 0 0 0,1 0-11 0 0,-1 1-4 0 0,10-7 10 0 0,-7 4 0 0 0,4-7 3 0 0,-7 10 18 0 0,1-2-3 0 0,6-9 3 0 0,-7 10 43 0 0,1 0-45 0 0,-2 2-65 0 0,1-1 0 0 0,-1 1 1 0 0,1-1-1 0 0,-1 1 1 0 0,1 0-1 0 0,0-1 0 0 0,-1 1 1 0 0,1 0-1 0 0,0 0 0 0 0,0 0 1 0 0,0 1-1 0 0,4-2 0 0 0,-4 1 40 0 0,-1 1-93 0 0,-1-1 97 0 0,0 0 0 0 0,0 0-1 0 0,1 0 1 0 0,-1 1-1 0 0,1-1 1 0 0,-1 0 0 0 0,0 0-1 0 0,1 1 1 0 0,0-1-1 0 0,-1 0 1 0 0,1 1 0 0 0,-1-1-1 0 0,1 0 1 0 0,0 1-1 0 0,-1-1 1 0 0,1 1 0 0 0,0-1-1 0 0,1 0 1 0 0,9 1 7 0 0,-8 0 6 0 0,0 2 10 0 0,10 3-2 0 0,-10-3 29 0 0,0-1-28 0 0,8 3-8 0 0,6 3 48 0 0,-14-5 374 0 0,14 6 734 0 0,-17-8-1153 0 0,0 1 0 0 0,1-1 0 0 0,-1 0 0 0 0,1 0 0 0 0,-1 0 0 0 0,0 0 0 0 0,1 1 0 0 0,-1-1 0 0 0,0 0-1 0 0,1 0 1 0 0,-1 1 0 0 0,0-1 0 0 0,0 0 0 0 0,1 1 0 0 0,-1-1 0 0 0,0 0 0 0 0,0 1 0 0 0,1-1 0 0 0,-1 0-1 0 0,0 1 1 0 0,0-1 0 0 0,0 0 0 0 0,0 1 0 0 0,0-1 0 0 0,1 1 0 0 0,-1 0 0 0 0,0-1-23 0 0,0 0 0 0 0,0 1 0 0 0,0-1 0 0 0,0 1 0 0 0,0-1 0 0 0,0 0-1 0 0,0 1 1 0 0,1-1 0 0 0,-1 1 0 0 0,0-1 0 0 0,0 0 0 0 0,1 1 0 0 0,-1-1 0 0 0,0 0 0 0 0,0 1 0 0 0,1-1 0 0 0,-1 0 0 0 0,0 0 0 0 0,1 1 0 0 0,-1-1 0 0 0,0 0 0 0 0,1 0 0 0 0,-1 0 0 0 0,0 1 0 0 0,1-1 0 0 0,0 0 0 0 0,10 14-298 0 0,-8-11 154 0 0,-1 0-126 0 0,9 14 260 0 0,-1 4 26 0 0,-1 0-1 0 0,-4-10-11 0 0,-2 0 0 0 0,1-1-2 0 0,-1-1 2 0 0,1-1 1 0 0,-2 1-1 0 0,1 0 1 0 0,1 16-1 0 0,0 8 1 0 0,-4-30-7 0 0,6 14-41 0 0,-2 2 20 0 0,-3-16 23 0 0,0 0 4 0 0,6 28 40 0 0,-6-28-12 0 0,-1 0-8 0 0,7 25-49 0 0,-6-26 37 0 0,-1 2 171 0 0,0 5-222 0 0,1 0 0 0 0,-1 0 1 0 0,1 0-1 0 0,5 16 0 0 0,-5-22 39 0 0,0-1-32 0 0,13 26 674 0 0,-13-25-405 0 0,0 0-4 0 0,17 50-23 0 0,-17-50-341 0 0,1 16-149 0 0,0-13 147 0 0,2 8 27 0 0,-1 3 100 0 0,-2 2 27 0 0,1-11-25 0 0,-1 0 1 0 0,0 1-1 0 0,0-1 1 0 0,-1 0-1 0 0,0 1 0 0 0,0-1 1 0 0,-1 0-1 0 0,0 0 0 0 0,0 0 1 0 0,-1 1-1 0 0,-6 14 0 0 0,5-15 1 0 0,-7 17 57 0 0,-1 0-1 0 0,-26 39 1 0 0,7-10 657 0 0,24-45-519 0 0,-24 24-80 0 0,-35 30-1 0 0,40-40-78 0 0,-76 55-225 0 0,-70 63-438 0 0,163-135 648 0 0,1-1 0 0 0,-1 1 0 0 0,-11 5 0 0 0,16-10-1 0 0,0 0 0 0 0,0 0 0 0 0,0 1 0 0 0,1-1 0 0 0,-1 1 0 0 0,0 0 0 0 0,0 0 0 0 0,1 0 0 0 0,-1 0 0 0 0,-3 5 0 0 0,-1 0 1 0 0,-58 30 33 0 0,40-23-27 0 0,-9 2 43 0 0,27-13-6 0 0,0 0 0 0 0,-1 0 1 0 0,1 1-1 0 0,-7 6 0 0 0,-28 20 140 0 0,-46 24-394 0 0,73-43 163 0 0,9-6 73 0 0,0-1-1 0 0,0 1 1 0 0,-1-1-1 0 0,1 0 1 0 0,-1 0 0 0 0,0-1-1 0 0,0 0 1 0 0,-14 4-1 0 0,1-3 13 0 0,-1 1-1 0 0,-24 10 0 0 0,39-13-80 0 0,1 1 0 0 0,-1-1 1 0 0,1 1-1 0 0,0 1 0 0 0,0-1 0 0 0,0 1 0 0 0,1 0 1 0 0,-1 0-1 0 0,1 0 0 0 0,-6 7 0 0 0,1 3 95 0 0,-1 0 1 0 0,-9 20-1 0 0,12-20-19 0 0,1 0 0 0 0,0 1 0 0 0,1-1 0 0 0,1 1-1 0 0,1 0 1 0 0,-3 20 0 0 0,3-6-107 0 0,2 0 1 0 0,2 39-1 0 0,4-24-343 0 0,14 61 1 0 0,-5-39 214 0 0,43 211 215 0 0,-38-200 318 0 0,4-1-1 0 0,50 113 0 0 0,-62-164-358 0 0,0 0 0 0 0,2-1-1 0 0,1 0 1 0 0,1-1 0 0 0,32 37 0 0 0,-43-54 2 0 0,-3-4 12 0 0,0 0 1 0 0,1 0-1 0 0,0 0 1 0 0,-1 0-1 0 0,1 0 1 0 0,0 0-1 0 0,0-1 1 0 0,0 1-1 0 0,4 2 0 0 0,22 15-119 0 0,1 3 120 0 0,-22-19 12 0 0,10 2 7 0 0,3 3-6 0 0,9-5-3 0 0,-7-4-12 0 0,-1-1 0 0 0,1 0 0 0 0,-1-2 0 0 0,28-9 0 0 0,0-2 0 0 0,0-1 0 0 0,-1-3 0 0 0,71-40 0 0 0,-92 43 16 0 0,-1-2-1 0 0,0-1 0 0 0,-1-1 1 0 0,-2-1-1 0 0,31-34 0 0 0,-36 37-1 0 0,12-13 0 0 0,1-12 0 0 0,-18 26 0 0 0,0 0 0 0 0,-1-1 0 0 0,16-35 0 0 0,-16 27 0 0 0,-5 11 0 0 0,-1 0 0 0 0,0 0 0 0 0,-2-1 0 0 0,1 0 0 0 0,-2 0 0 0 0,3-26 0 0 0,-1 6 37 0 0,-5 32-19 0 0,0-10 103 0 0,-1-8 67 0 0,-6-41 0 0 0,4 53-246 0 0,0 1 0 0 0,0 0-1 0 0,-9-14 1 0 0,11 20 67 0 0,0 1-1 0 0,-2-2 2 0 0,-6-11 3 0 0,7 11-4 0 0,1 4-8 0 0,1 0-1 0 0,0 0 1 0 0,-1 0-1 0 0,1-1 0 0 0,-1 1 1 0 0,1 0-1 0 0,0 0 1 0 0,-1 0-1 0 0,1-1 0 0 0,0 1 1 0 0,-1 0-1 0 0,1 0 1 0 0,0-1-1 0 0,0 1 0 0 0,-1 0 1 0 0,1-1-1 0 0,0 1 1 0 0,0 0-1 0 0,0-1 0 0 0,-1 1 1 0 0,1-1-1 0 0,0 1 1 0 0,0 0-1 0 0,0-1 0 0 0,0 1 1 0 0,0-1-1 0 0,0 0 1 0 0,0 1 0 0 0,0 0 1 0 0,-1-1-1 0 0,1 1 0 0 0,0-1 0 0 0,0 1 0 0 0,0 0 0 0 0,0-1 0 0 0,0 1 0 0 0,-1 0 1 0 0,1-1-1 0 0,0 1 0 0 0,0 0 0 0 0,-1-1 0 0 0,1 1 0 0 0,0 0 0 0 0,-1-1 1 0 0,1 1-1 0 0,0 0 0 0 0,-1 0 0 0 0,1-1 0 0 0,0 1 0 0 0,-1 0 0 0 0,1 0 0 0 0,0 0 1 0 0,-1-1-1 0 0,-2-2 12 0 0,-8-10-2 0 0,8 10 26 0 0,3 2-36 0 0,0 1-1 0 0,-1 0 1 0 0,1-1-1 0 0,0 1 1 0 0,0 0-1 0 0,-1 0 1 0 0,1-1 0 0 0,0 1-1 0 0,0 0 1 0 0,-1-1-1 0 0,1 1 1 0 0,0 0-1 0 0,-1 0 1 0 0,1 0-1 0 0,0-1 1 0 0,-1 1 0 0 0,1 0-1 0 0,0 0 1 0 0,-1 0-1 0 0,1 0 1 0 0,0 0-1 0 0,-1-1 1 0 0,1 1-1 0 0,-1 0 1 0 0,0 0 2 0 0,1 0-1 0 0,-1 0 1 0 0,1 0-1 0 0,-1 0 1 0 0,1 0-1 0 0,0 0 1 0 0,-1 0 0 0 0,1-1-1 0 0,-1 1 1 0 0,1 0-1 0 0,0 0 1 0 0,-1-1 0 0 0,1 1-1 0 0,0 0 1 0 0,-1 0-1 0 0,1-1 1 0 0,0 1-1 0 0,-1 0 1 0 0,1-1 0 0 0,0 1-1 0 0,0-1 1 0 0,-1 1-1 0 0,1-1-1 0 0,0 1-1 0 0,0 0 0 0 0,-1-1 1 0 0,1 1-1 0 0,0 0 0 0 0,0-1 1 0 0,-1 1-1 0 0,1 0 0 0 0,0-1 0 0 0,0 1 1 0 0,-1 0-1 0 0,1 0 0 0 0,0-1 1 0 0,-1 1-1 0 0,1 0 0 0 0,0 0 1 0 0,-1 0-1 0 0,1 0 0 0 0,-1-1 1 0 0,1 1-1 0 0,0 0 0 0 0,-1 0 1 0 0,1 0-1 0 0,0 0 0 0 0,-1 0 0 0 0,0 0 3 0 0,1 0-1 0 0,-1 0 1 0 0,1 0-1 0 0,0 0 1 0 0,-1 0-1 0 0,1 0 1 0 0,0 0-1 0 0,-1-1 1 0 0,1 1-1 0 0,-1 0 1 0 0,1 0-1 0 0,0 0 0 0 0,-1-1 1 0 0,1 1-1 0 0,0 0 1 0 0,0 0-1 0 0,-1-1 1 0 0,1 1-1 0 0,0 0 1 0 0,-1 0-1 0 0,1-1 1 0 0,0 1-1 0 0,0 0 0 0 0,0-1 1 0 0,-1 0-1 0 0,-18 1 78 0 0,16 0-64 0 0,-8 0-1 0 0,5 0-6 0 0,-19 0 7 0 0,22 0 8 0 0,-1 0-8 0 0,-11 0-1 0 0,12 0 9 0 0,-31 12-47 0 0,14-12-31 0 0,20-1 53 0 0,0 1 1 0 0,0 0-1 0 0,0 0 1 0 0,0-1-1 0 0,0 1 1 0 0,0 0-1 0 0,0 0 0 0 0,-1-1 1 0 0,1 1-1 0 0,0 0 1 0 0,0 0-1 0 0,0 0 1 0 0,0-1-1 0 0,-1 1 1 0 0,1 0-1 0 0,0 0 1 0 0,0 0-1 0 0,0 0 1 0 0,-1-1-1 0 0,1 1 1 0 0,0 0-1 0 0,0 0 1 0 0,-1 0-1 0 0,1 0 0 0 0,0 0 1 0 0,0 0-1 0 0,-1 0 1 0 0,1 0-1 0 0,0 0 1 0 0,0 0-1 0 0,-1 0 1 0 0,0-1-1 0 0,1 1 0 0 0,-1 0 1 0 0,1 0-1 0 0,-1 0 0 0 0,0 0 0 0 0,1-1 1 0 0,-1 1-1 0 0,1 0 0 0 0,-1 0 0 0 0,1-1 1 0 0,-1 1-1 0 0,1 0 0 0 0,-1-1 0 0 0,1 1 1 0 0,0-1-1 0 0,-1 1 0 0 0,1 0 0 0 0,-1-1 1 0 0,1 1-1 0 0,0-1 0 0 0,-1 1 1 0 0,1-1-1 0 0,-1 0 0 0 0,-1-12-6 0 0,-1 0 1 0 0,2 0-1 0 0,-1 0 0 0 0,2 0 0 0 0,1-20 0 0 0,-1 5 3 0 0,0-44 2 0 0,2-56-2480 0 0,-1 98-9931 0 0</inkml:trace>
  <inkml:trace contextRef="#ctx0" brushRef="#br0" timeOffset="12850.5">7231 2436 9816 0 0,'0'0'1877'0'0,"4"13"-1609"0"0,15 37-37 0 0,-16-42-112 0 0,0-1 1 0 0,1-1-1 0 0,0 1 1 0 0,0 0-1 0 0,1-1 0 0 0,0 0 1 0 0,8 8-1 0 0,-5-4-2 0 0,-6-8-80 0 0,0-1 0 0 0,-1 1-1 0 0,1-1 1 0 0,0 0 0 0 0,0 1 0 0 0,0-1 0 0 0,0 0 0 0 0,0 0 0 0 0,0 0 0 0 0,0 0 0 0 0,0-1 0 0 0,0 1 0 0 0,1-1 0 0 0,-1 1 0 0 0,3-1 0 0 0,-4 1-15 0 0,3 0 723 0 0,0-1-485 0 0,-3 0-233 0 0,-1 0-1 0 0,1 0 0 0 0,-1 0 0 0 0,1 0 0 0 0,-1 0 0 0 0,1 0 1 0 0,-1 0-1 0 0,1 0 0 0 0,-1 0 0 0 0,1 0 0 0 0,-1 0 1 0 0,1 0-1 0 0,-1 0 0 0 0,1 0 0 0 0,-1 0 0 0 0,1 0 0 0 0,-1 0 1 0 0,1-1-1 0 0,-1 1 0 0 0,1 0 0 0 0,-1 0 0 0 0,1-1 1 0 0,-1 1-1 0 0,1-1 0 0 0,-1-3 1 0 0,-1 0 1 0 0,1 0 0 0 0,-1 0-1 0 0,0 0 1 0 0,0 0-1 0 0,0 0 1 0 0,0 0-1 0 0,-1 1 1 0 0,0-1 0 0 0,0 0-1 0 0,0 1 1 0 0,0-1-1 0 0,-3-3 1 0 0,-16-31 239 0 0,17 30-223 0 0,1 0-1 0 0,0 0 1 0 0,1 0-1 0 0,0 0 0 0 0,0-1 1 0 0,0 1-1 0 0,1-1 1 0 0,1 1-1 0 0,-1-10 1 0 0,3 2 39 0 0,1 0 0 0 0,0 0 0 0 0,1 0 0 0 0,1 0 0 0 0,0 1 0 0 0,1 0 0 0 0,14-25 0 0 0,-9 23-23 0 0,-1 1 1 0 0,2 1-1 0 0,0 0 1 0 0,1 0-1 0 0,0 2 0 0 0,1-1 1 0 0,1 2-1 0 0,0 0 1 0 0,1 0-1 0 0,0 2 1 0 0,18-10-1 0 0,-10 7-10 0 0,1-1-5 0 0,1 1 0 0 0,0 1-1 0 0,0 1 1 0 0,36-9-1 0 0,9 6 48 0 0,104-7 0 0 0,-161 20-77 0 0,1 1 0 0 0,21 3 0 0 0,1 0 6 0 0,-18-2-11 0 0,1 2 1 0 0,-1 0 0 0 0,0 1-1 0 0,0 1 1 0 0,0 1-1 0 0,-1 1 1 0 0,1 0-1 0 0,-2 2 1 0 0,1 0 0 0 0,-1 0-1 0 0,-1 2 1 0 0,0 0-1 0 0,0 1 1 0 0,14 14-1 0 0,-11-7 15 0 0,0 0-1 0 0,-1 1 0 0 0,-2 2 0 0 0,0-1 0 0 0,-1 2 1 0 0,23 46-1 0 0,-33-58-13 0 0,17 43 51 0 0,18 66 1 0 0,-26-65 24 0 0,12 107 0 0 0,-23-119-10 0 0,-1 1-1 0 0,-8 75 0 0 0,4-97-55 0 0,-2 0-1 0 0,-1-1 0 0 0,-1 1 1 0 0,0-1-1 0 0,-2 0 1 0 0,0 0-1 0 0,-15 25 0 0 0,14-30 0 0 0,-1-1 0 0 0,-1 0 0 0 0,0 0 0 0 0,-1-1 0 0 0,0 0 0 0 0,-1-1 0 0 0,-1-1 0 0 0,0 0 0 0 0,-1-1 0 0 0,0 0 0 0 0,-17 8 0 0 0,-5 2 15 0 0,-2-2 0 0 0,0-1-1 0 0,-1-2 1 0 0,0-2 0 0 0,-80 16-1 0 0,76-21 30 0 0,-59 18 0 0 0,68-21-10 0 0,28-6-40 0 0,1 1 0 0 0,0 0 0 0 0,0 0 0 0 0,0 0 1 0 0,0 1-1 0 0,0 0 0 0 0,-8 3 0 0 0,-49 22 67 0 0,44-18-71 0 0,16-8-4 0 0,0 1 2 0 0,-10 8-2 0 0,9-8-12 0 0,1 1-10 0 0,-10 8 8 0 0,10-8 0 0 0,0-1 0 0 0,-15 9-5 0 0,13-11 10 0 0,-6 2-14 0 0,-163 86-140 0 0,157-80 130 0 0,0 0 0 0 0,0-2 0 0 0,-33 9 1 0 0,43-14 14 0 0,-1 0 1 0 0,1 0 0 0 0,-1-1 0 0 0,1 0 0 0 0,-1 0 0 0 0,1 0 0 0 0,-1-1 0 0 0,1-1 0 0 0,-1 1 0 0 0,1-1 0 0 0,-14-5 0 0 0,-3-4-815 0 0,8-2-3164 0 0,-14-17-2082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6T12:52:29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2636 5037 9280 0 0,'0'0'2432'0'0,"-12"6"-2072"0"0,-34 20 0 0 0,26-16 51 0 0,14-10-367 0 0,-10 1 205 0 0,9 1-192 0 0,4-1-27 0 0,-1 0-1 0 0,0-1 1 0 0,0 1 0 0 0,0-1-1 0 0,0 0 1 0 0,0 0-1 0 0,0 0 1 0 0,-6-1 0 0 0,-31 2 168 0 0,-53 6 0 0 0,93-7-196 0 0,1 0 0 0 0,-1 0 0 0 0,1 0 0 0 0,-1 0 0 0 0,1 1 0 0 0,-1-1 0 0 0,0 0 0 0 0,1 0 1 0 0,-1 0-1 0 0,1 0 0 0 0,-1 1 0 0 0,1-1 0 0 0,-1 0 0 0 0,1 1 0 0 0,0-1 0 0 0,-1 0 0 0 0,1 1 0 0 0,-1-1 1 0 0,1 1-1 0 0,0-1 0 0 0,-1 0 0 0 0,1 1 0 0 0,0-1 0 0 0,-1 1 0 0 0,1 0 0 0 0,-12 11-16 0 0,-31 15 60 0 0,41-26-39 0 0,1-1 0 0 0,-1 1 0 0 0,0-1 0 0 0,0 1 0 0 0,0-1 0 0 0,1 1 0 0 0,-1-1 0 0 0,0 0 0 0 0,0 0 0 0 0,0 0 0 0 0,0 0 1 0 0,1 0-1 0 0,-1-1 0 0 0,-3 0 0 0 0,1 0 18 0 0,-10-6-10 0 0,7 4-11 0 0,1-1 0 0 0,0 0 0 0 0,-11-9 0 0 0,14 11 44 0 0,2 2-47 0 0,1-1 1 0 0,-1 1 0 0 0,0 0-1 0 0,1 0 1 0 0,-1 0 0 0 0,1-1-1 0 0,-1 1 1 0 0,1 0 0 0 0,-1 0-1 0 0,1-1 1 0 0,0 1 0 0 0,-1-1-1 0 0,1 1 1 0 0,-1 0 0 0 0,1-1-1 0 0,0 1 1 0 0,-1-1 0 0 0,1 1-1 0 0,0-1 1 0 0,-1 0 0 0 0,-10-11 51 0 0,-22-12-29 0 0,31 23-16 0 0,-1 1 2 0 0,-1-1 5 0 0,-1 1 0 0 0,1-1 0 0 0,0 0 0 0 0,0 0 0 0 0,0 0 0 0 0,0 0 0 0 0,0-1 0 0 0,0 0 0 0 0,1 0 0 0 0,-1 0 0 0 0,0 0 0 0 0,1 0 0 0 0,0-1 0 0 0,-1 0 0 0 0,-3-3 0 0 0,5 2 8 0 0,2 4-22 0 0,0-1 1 0 0,0 1 0 0 0,0-1-1 0 0,0 1 1 0 0,-1 0 0 0 0,1-1-1 0 0,0 1 1 0 0,0-1-1 0 0,0 1 1 0 0,0-1 0 0 0,0 1-1 0 0,0-1 1 0 0,-1 1-1 0 0,1 0 1 0 0,0-1 0 0 0,0 1-1 0 0,-1 0 1 0 0,1-1-1 0 0,0 1 1 0 0,-1 0 0 0 0,1-1-1 0 0,0 1 1 0 0,-1 0-1 0 0,1-1 1 0 0,0 1 0 0 0,-1 0-1 0 0,0-1 1 0 0,0 1-1 0 0,1-1 0 0 0,-1 1 1 0 0,1-1-1 0 0,-1 1 1 0 0,1-1-1 0 0,-1 1 1 0 0,1-1-1 0 0,-1 0 0 0 0,1 1 1 0 0,-1-1-1 0 0,1 0 1 0 0,0 1-1 0 0,-1-1 1 0 0,1 0-1 0 0,0 0 0 0 0,0 1 1 0 0,-1-1-1 0 0,1 0 1 0 0,0 0-1 0 0,0 0 1 0 0,-2-4-29 0 0,1 0 1 0 0,-1 0 0 0 0,-1 1 0 0 0,1-1-1 0 0,-1 1 1 0 0,0-1 0 0 0,0 1 0 0 0,-6-7 0 0 0,7 9-6 0 0,1-1-154 0 0,0-1 177 0 0,1 1 0 0 0,0 0 0 0 0,0 0 0 0 0,0-1-1 0 0,0 1 1 0 0,0 0 0 0 0,1-4 0 0 0,-1 7 20 0 0,1-4-3 0 0,7-13 20 0 0,-7 17-29 0 0,-1 0 0 0 0,1 0 1 0 0,-1 0-1 0 0,0 0 1 0 0,1 0-1 0 0,-1 0 0 0 0,1 0 1 0 0,-1-1-1 0 0,1 1 0 0 0,-1 0 1 0 0,1 0-1 0 0,-1-1 1 0 0,0 1-1 0 0,1 0 0 0 0,-1-1 1 0 0,0 1-1 0 0,1 0 1 0 0,-1-1-1 0 0,0 1 0 0 0,1 0 1 0 0,-1-1-1 0 0,0 1 1 0 0,0-1-1 0 0,1 1 0 0 0,-1-1 1 0 0,0 0-1 0 0,1 0 0 0 0,-1 1 0 0 0,0-1 0 0 0,1 1 0 0 0,-1-1 0 0 0,0 1 0 0 0,1-1 0 0 0,-1 1 0 0 0,1-1 0 0 0,-1 1 0 0 0,1-1 0 0 0,-1 1 0 0 0,1 0 0 0 0,-1-1 0 0 0,1 1 0 0 0,0 0 0 0 0,-1-1 0 0 0,2 1 0 0 0,-1-1-1 0 0,0-1 0 0 0,0 1-1 0 0,0 0 1 0 0,0 0 0 0 0,-1-1 0 0 0,1 1 0 0 0,0-1-1 0 0,-1 1 1 0 0,1-1 0 0 0,0-1 0 0 0,1 0-7 0 0,-1 0-7 0 0,3-8 8 0 0,-3 8-2 0 0,-16-11-12 0 0,13 17 28 0 0,-7 6 10 0 0,6-7 59 0 0,-7 3 43 0 0,1 0 393 0 0,-22 14-212 0 0,28-17-270 0 0,1 2-156 0 0,0 0 86 0 0,0 1 1 0 0,-1-2-1 0 0,0 1 1 0 0,1 0-1 0 0,-7 5 1 0 0,7-6 84 0 0,-6 14 74 0 0,2 0 52 0 0,5-14-114 0 0,-5 10-2 0 0,5-9 52 0 0,-8 29 183 0 0,9 0-338 0 0,0-29 41 0 0,-1-3 6 0 0,0 0 5 0 0,1 1 1 0 0,-1-1 0 0 0,0 0-1 0 0,0 1 1 0 0,1-1 0 0 0,-1 1-1 0 0,1-1 1 0 0,-1 1-1 0 0,1-1 1 0 0,0 1 0 0 0,0-1-1 0 0,0 1 1 0 0,0-1-1 0 0,0 3 1 0 0,-2 8 17 0 0,-1-1-12 0 0,1 1 8 0 0,-1-1 1 0 0,0 0-1 0 0,-6 13 1 0 0,6-17-9 0 0,-2 10 3 0 0,-3 2-8 0 0,0 2 1 0 0,5-11 6 0 0,0-1-1 0 0,0-1 1 0 0,-1 1 0 0 0,0 0-1 0 0,-1-1 1 0 0,-8 11 0 0 0,6-9-3 0 0,-20 37 63 0 0,26-44-55 0 0,-2 0-2 0 0,0 1-14 0 0,-16 24 71 0 0,18-26-64 0 0,0-1 0 0 0,0 1 0 0 0,0-1 0 0 0,0 1 0 0 0,0-1 0 0 0,-1 0 0 0 0,1 1 0 0 0,-1-1 0 0 0,1 0 0 0 0,-1 0 0 0 0,1 0 0 0 0,-4 1 0 0 0,-3 15 33 0 0,8-14-32 0 0,0 10 0 0 0,0-9 8 0 0,0-4-16 0 0,1 1 1 0 0,0 0 0 0 0,-1 0-1 0 0,1 0 1 0 0,0 0 0 0 0,-1 0-1 0 0,1 0 1 0 0,-1 0 0 0 0,0 0-1 0 0,1 0 1 0 0,-1 0 0 0 0,0 0-1 0 0,1 0 1 0 0,-1 0 0 0 0,0 2-1 0 0,0-2-7 0 0,0 0-1 0 0,0 0 0 0 0,0 0 1 0 0,1 0-1 0 0,-1 0 0 0 0,0 0 1 0 0,1 0-1 0 0,-1 0 0 0 0,0 0 1 0 0,1 0-1 0 0,-1 0 1 0 0,1 0-1 0 0,0 0 0 0 0,1 1 1 0 0,0-5 0 0 0,12-11 6 0 0,-9 10 2 0 0,0 0 1 0 0,-1-1 0 0 0,1 0 0 0 0,-1 0 0 0 0,0 0 0 0 0,-1 0 0 0 0,5-8 0 0 0,-1 2 5 0 0,131-174 60 0 0,-127 173-63 0 0,21-29 0 0 0,-22 28-39 0 0,1 1 1 0 0,22-20-1 0 0,-29 29 16 0 0,-2 1-26 0 0,-1 1 39 0 0,1 1-1 0 0,-1-1 1 0 0,0 1 0 0 0,0-1 0 0 0,1 1 0 0 0,-1-1-1 0 0,0 1 1 0 0,1 0 0 0 0,-1 0 0 0 0,0-1 0 0 0,1 1-1 0 0,-1 0 1 0 0,0 0 0 0 0,1 1 0 0 0,-1-1-1 0 0,0 0 1 0 0,1 0 0 0 0,-1 1 0 0 0,0-1 0 0 0,0 0-1 0 0,1 1 1 0 0,-1-1 0 0 0,0 1 0 0 0,0 0 0 0 0,0-1-1 0 0,0 1 1 0 0,1 0 0 0 0,-1 0 0 0 0,0 0 0 0 0,0 0-1 0 0,-1 0 1 0 0,1 0 0 0 0,0 0 0 0 0,1 1 0 0 0,0 1 222 0 0,15 5-42 0 0,-19-4-156 0 0,-5 9-2 0 0,5-10 12 0 0,0 0-32 0 0,-3 8-4 0 0,2-5 1 0 0,0 5 7 0 0,2-8 55 0 0,-1 0-46 0 0,-1 8 139 0 0,13-17-88 0 0,-7 3-29 0 0,1 2-20 0 0,-1 0 0 0 0,0-1 0 0 0,0 1 0 0 0,1-1 0 0 0,-1 0 0 0 0,0 0 1 0 0,-1 0-1 0 0,6-4 0 0 0,-8 5-16 0 0,4-1 37 0 0,0 0-18 0 0,0 1 0 0 0,1-1-1 0 0,-1 0 1 0 0,0-1-1 0 0,0 1 1 0 0,0-1 0 0 0,0 1-1 0 0,-1-1 1 0 0,6-5-1 0 0,-7 5 51 0 0,-1 3-62 0 0,-1-1 0 0 0,1 1 0 0 0,-1-1 0 0 0,0 1 0 0 0,1-1 0 0 0,-1 1 0 0 0,0-1 0 0 0,1 1-1 0 0,-1-1 1 0 0,0 1 0 0 0,1-1 0 0 0,-1 1 0 0 0,0-1 0 0 0,0 1 0 0 0,0-1 0 0 0,0 0 0 0 0,0 1-1 0 0,0-1 1 0 0,1 1 0 0 0,-1-1 0 0 0,-1 0 0 0 0,1 1 0 0 0,0-1 0 0 0,0 1 0 0 0,0-1-1 0 0,0 1 1 0 0,0-1 0 0 0,-1 0 0 0 0,-2-16 71 0 0,3 17-72 0 0,0 0-2 0 0,-1-3 163 0 0,0 1-145 0 0,0 1 1 0 0,0-1-1 0 0,0 1 1 0 0,1-1-1 0 0,-1 1 1 0 0,0-1-1 0 0,0 0 1 0 0,1 1-1 0 0,-1-4 0 0 0,-4-23 71 0 0,4 24-57 0 0,1-15 2 0 0,0 15-26 0 0,0 1 0 0 0,0-1 0 0 0,1 0 0 0 0,-1 1 0 0 0,1-1 0 0 0,0 1 0 0 0,2-6 0 0 0,0 8 0 0 0,8-3-4 0 0,-6 3 2 0 0,7 1 3 0 0,-10 0 25 0 0,52 0 542 0 0,-49-19-548 0 0,-1-81-2036 0 0,0 38-77 0 0,-3 47-7900 0 0</inkml:trace>
  <inkml:trace contextRef="#ctx0" brushRef="#br0" timeOffset="516.93">2412 4468 10264 0 0,'0'0'1144'0'0,"6"13"-568"0"0,20 40-31 0 0,-24-50-456 0 0,0 1-1 0 0,-1-1 1 0 0,1 1 0 0 0,1-1 0 0 0,-1 0 0 0 0,0 0-1 0 0,1 0 1 0 0,3 3 0 0 0,-5-5-12 0 0,1 1 0 0 0,-1 0 1 0 0,1-1-1 0 0,-1 1 0 0 0,0 0 1 0 0,0 0-1 0 0,0 0 0 0 0,0 0 1 0 0,2 3-1 0 0,23 35 534 0 0,-17-29-491 0 0,15 20 50 0 0,7 33-142 0 0,-27-51-17 0 0,0 0 0 0 0,-1 0-1 0 0,-1 1 1 0 0,0-1 0 0 0,0 27-1 0 0,-2-31 6 0 0,0-9-16 0 0,0 0 0 0 0,0 1 0 0 0,0-1 0 0 0,0 0 0 0 0,-1 0 0 0 0,1 0 0 0 0,0 0 0 0 0,0 0 0 0 0,0 0 0 0 0,0 0 0 0 0,0 0 1 0 0,0 0-1 0 0,0 0 0 0 0,0 0 0 0 0,0 0 0 0 0,0 0 0 0 0,0 0 0 0 0,0 0 0 0 0,0 0 0 0 0,0 0 0 0 0,-1 1 0 0 0,1-1 0 0 0,0 0 0 0 0,0 0 0 0 0,0 0 0 0 0,0 0 0 0 0,0 0 0 0 0,0 0 0 0 0,0 0 0 0 0,0 0 0 0 0,0 0 0 0 0,0 0 0 0 0,0 0 0 0 0,-1 0 0 0 0,1 0 0 0 0,0 0 0 0 0,0-1 0 0 0,0 1 1 0 0,0 0-1 0 0,0 0 0 0 0,0 0 0 0 0,0 0 0 0 0,0 0 0 0 0,0 0 0 0 0,0 0 0 0 0,0 0 0 0 0,0 0 0 0 0,-1 0 0 0 0,1 0 0 0 0,0 0 0 0 0,0 0 0 0 0,0 0 0 0 0,0 0 0 0 0,0 0 0 0 0,0 0 0 0 0,0-1 0 0 0,-9 47 40 0 0,8-27-34 0 0,-1 31-60 0 0,2-46 42 0 0,2-21-94 0 0,-2 14 56 0 0,3 0-61 0 0,27-22 30 0 0,-26 22 73 0 0,-2 2 0 0 0,5-5-2 0 0,-1 6-4 0 0,78 12-50 0 0,-21 2 312 0 0,-56-12-237 0 0,-3-1-22 0 0,-1 0 0 0 0,1 0-1 0 0,-1 1 1 0 0,0-1 0 0 0,0 1 0 0 0,1-1-1 0 0,2 3 1 0 0,-6-3 8 0 0,1-1 1 0 0,-1 1-1 0 0,1 0 0 0 0,-1-1 1 0 0,1 0-1 0 0,0 1 0 0 0,-1-1 1 0 0,1 1-1 0 0,0-1 0 0 0,-1 0 1 0 0,1 1-1 0 0,0-1 0 0 0,-1 0 1 0 0,1 0-1 0 0,0 1 0 0 0,0-1 1 0 0,-1 0-1 0 0,1 0 0 0 0,1 0 1 0 0,-1 0-1 0 0,-1 0 0 0 0,1 0 1 0 0,0 0-1 0 0,0 0 0 0 0,-1 0 1 0 0,1 0-1 0 0,0 1 0 0 0,-1-1 1 0 0,1 0-1 0 0,0 1 0 0 0,-1-1 1 0 0,1 0-1 0 0,0 1 0 0 0,-1-1 1 0 0,1 1-1 0 0,0-1 0 0 0,-1 0 1 0 0,1 1-1 0 0,0 0 0 0 0,10 9-34 0 0,-8-8 8 0 0,0 1 17 0 0,8 8 4 0 0,-8-8 0 0 0,0-1 1 0 0,9 5-38 0 0,-12-7 40 0 0,0-1-1 0 0,0 1 0 0 0,0-1 1 0 0,0 1-1 0 0,0 0 1 0 0,0-1-1 0 0,0 1 1 0 0,0-1-1 0 0,1 1 1 0 0,-2-1-1 0 0,1 1 1 0 0,0 0-1 0 0,0-1 1 0 0,0 1-1 0 0,0-1 0 0 0,0 1 1 0 0,0 0-1 0 0,0-1 1 0 0,0 1-1 0 0,-1-1 1 0 0,1 1-1 0 0,0 0 1 0 0,0-1-1 0 0,0 1 1 0 0,-1 0-1 0 0,1-1 0 0 0,-1 1 1 0 0,0-4-44 0 0,-2 1 1 0 0,-11-6-46 0 0,0 0 0 0 0,-23-10 0 0 0,31 17 75 0 0,0 0 1 0 0,0-1-1 0 0,1 0 0 0 0,-1 0 0 0 0,0-1 1 0 0,1 1-1 0 0,0-1 0 0 0,-5-5 0 0 0,-32-24-1848 0 0</inkml:trace>
  <inkml:trace contextRef="#ctx0" brushRef="#br0" timeOffset="881.02">2451 4275 10448 0 0,'0'0'2152'0'0</inkml:trace>
  <inkml:trace contextRef="#ctx0" brushRef="#br0" timeOffset="2387.26">2274 4222 10264 0 0,'0'0'2569'0'0,"-13"-4"-2202"0"0,-39-11 1 0 0,48 14-264 0 0,0 0 0 0 0,0 0 0 0 0,0 0 0 0 0,0 0 0 0 0,0 1 1 0 0,0-1-1 0 0,-8 2 0 0 0,-10-3 232 0 0,-23-3-232 0 0,45 5-102 0 0,-1 0 0 0 0,0 1 0 0 0,0-1-1 0 0,0 0 1 0 0,0 0 0 0 0,0 0 0 0 0,0-1 0 0 0,0 1 0 0 0,0 0 0 0 0,1 0 0 0 0,-1 0-1 0 0,0-1 1 0 0,0 1 0 0 0,0 0 0 0 0,0-1 0 0 0,1 1 0 0 0,-1-1 0 0 0,-1 0 0 0 0,1 0-2 0 0,1 1 1 0 0,-1-1-1 0 0,0 1 1 0 0,1 0 0 0 0,-1-1-1 0 0,0 1 1 0 0,0 0-1 0 0,0-1 1 0 0,1 1-1 0 0,-1 0 1 0 0,0 0 0 0 0,0 0-1 0 0,0-1 1 0 0,1 1-1 0 0,-1 0 1 0 0,0 0-1 0 0,0 0 1 0 0,-1 1 0 0 0,-8-2 23 0 0,1 1 0 0 0,0-1 1 0 0,-15-4-1 0 0,21 3-1 0 0,-5 1-38 0 0,1-2 0 0 0,0 1 0 0 0,0-1 0 0 0,0 0 0 0 0,0 0 0 0 0,-10-7 0 0 0,7 5-8 0 0,1 0 12 0 0,-6-4 27 0 0,-2 2 0 0 0,-28-9 0 0 0,22 5-13 0 0,5 0-3 0 0,2 4-4 0 0,15 6-1 0 0,0 1 1 0 0,0 0 0 0 0,0 0 0 0 0,-1 0 0 0 0,1-1-1 0 0,0 1 1 0 0,0 0 0 0 0,0 0 0 0 0,0 1 0 0 0,0-1 0 0 0,-1 0-1 0 0,1 0 1 0 0,0 1 0 0 0,0-1 0 0 0,0 0 0 0 0,0 1-1 0 0,0-1 1 0 0,0 1 0 0 0,0-1 0 0 0,0 1 0 0 0,0 0 0 0 0,0-1-1 0 0,0 1 1 0 0,0 0 0 0 0,0 0 0 0 0,1 0 0 0 0,-1-1-1 0 0,0 1 1 0 0,1 0 0 0 0,-1 0 0 0 0,0 0 0 0 0,0 2-1 0 0,0-1 12 0 0,-2 2-30 0 0,2-1 3 0 0,-1 1 9 0 0,1-1-1 0 0,-1 0 1 0 0,1 1 0 0 0,-1-1 0 0 0,0 0-1 0 0,0 0 1 0 0,-1 0 0 0 0,1-1 0 0 0,-1 1 0 0 0,1-1-1 0 0,-1 1 1 0 0,0-1 0 0 0,-4 3 0 0 0,4-4-13 0 0,-1-1-4 0 0,1 1-1 0 0,-1-1 1 0 0,1 0 0 0 0,-1-1-1 0 0,1 1 1 0 0,-1-1 0 0 0,1 1 0 0 0,-1-1-1 0 0,1 0 1 0 0,0 0 0 0 0,-1-1-1 0 0,1 1 1 0 0,0-1 0 0 0,-5-3 0 0 0,5 3-28 0 0,1-2 0 0 0,-2-2 23 0 0,1 0 0 0 0,0 0 0 0 0,0 0 0 0 0,1-1 0 0 0,-1 1 1 0 0,1-1-1 0 0,-1-7 0 0 0,-10-28 222 0 0,12 39-139 0 0,0 1-37 0 0,0 0 0 0 0,0 0 1 0 0,0 0-1 0 0,0 0 0 0 0,0 0 1 0 0,1 0-1 0 0,-1 0 0 0 0,1 0 1 0 0,-1 0-1 0 0,1-1 0 0 0,0-1 1 0 0,-1 0-6 0 0,0 1-2 0 0,0-6-1 0 0,-1-1-1 0 0,2 1 0 0 0,-1-1 1 0 0,1 0-1 0 0,0 1 1 0 0,1-1-1 0 0,1 1 0 0 0,-1-1 1 0 0,5-13-1 0 0,4-35 18 0 0,-9 49-3 0 0,1 0 1 0 0,0 1 0 0 0,4-12 0 0 0,2-13 54 0 0,20-72 177 0 0,-21 71-187 0 0,-1 7 18 0 0,6-49 0 0 0,-6-21 84 0 0,-2 73-99 0 0,7-33 0 0 0,-5 35 2 0 0,4-45 0 0 0,-8 50-31 0 0,1-1-1 0 0,9-30 1 0 0,-7 32-11 0 0,-1-1 0 0 0,3-29 0 0 0,-4 16 10 0 0,2 1 0 0 0,10-37 0 0 0,4-18-11 0 0,-11 46-2 0 0,15-41 0 0 0,-12 42-1 0 0,4-3 17 0 0,1 1 0 0 0,22-38 0 0 0,-5 11 70 0 0,22-34 32 0 0,-16 32-81 0 0,25-39 24 0 0,-32 55-98 0 0,97-138-147 0 0,-64 99 159 0 0,32-33 29 0 0,-12 18 9 0 0,92-140 187 0 0,-173 240-217 0 0,132-203 247 0 0,-120 184-204 0 0,25-30-1 0 0,8-11 37 0 0,-34 44-53 0 0,1 0 0 0 0,1 2 0 0 0,22-22 0 0 0,64-50 94 0 0,-51 46-59 0 0,70-58 76 0 0,-42 37-59 0 0,84-90-1 0 0,-119 106-51 0 0,3 3-1 0 0,58-46 1 0 0,-31 29 125 0 0,-56 47-102 0 0,0 0 0 0 0,1 2 0 0 0,1 0-1 0 0,1 1 1 0 0,40-21 0 0 0,-24 20 7 0 0,1 2 0 0 0,0 2 0 0 0,1 1 0 0 0,43-6 0 0 0,-49 12-15 0 0,20-3 36 0 0,83-2 0 0 0,-107 11-76 0 0,0 1 0 0 0,0 1 0 0 0,0 1 0 0 0,-1 2 0 0 0,1 1 0 0 0,-1 2 0 0 0,-1 0 0 0 0,0 2 0 0 0,0 1 0 0 0,-1 2 0 0 0,-1 0 0 0 0,43 31 0 0 0,-50-30-6 0 0,-9-8-1 0 0,-1 1 0 0 0,0 0 0 0 0,10 10 0 0 0,34 41-79 0 0,-18-21-80 0 0,-1 1 0 0 0,47 72 0 0 0,-62-78 122 0 0,9 12 198 0 0,37 81 0 0 0,6 29 75 0 0,-21-48-192 0 0,44 95-38 0 0,208 327 0 0 0,-43-76-122 0 0,-248-432 152 0 0,73 123 266 0 0,-46-81-161 0 0,107 174 275 0 0,-103-170-358 0 0,-3 1-1 0 0,-3 2 0 0 0,38 104 1 0 0,-30-59 37 0 0,-43-112-82 0 0,-1-3-14 0 0,1 0 1 0 0,-1-1-1 0 0,0 1 0 0 0,0 0 0 0 0,1 0 0 0 0,-1 0 0 0 0,0 0 0 0 0,0 0 0 0 0,1 0 0 0 0,-1 0 0 0 0,0 1 1 0 0,1-1-1 0 0,-1 0 0 0 0,0 0 0 0 0,0 0 0 0 0,1 0 0 0 0,-1 0 0 0 0,0 0 0 0 0,0 0 0 0 0,0 1 0 0 0,1-1 0 0 0,-1 0 1 0 0,0 0-1 0 0,0 0 0 0 0,1 0 0 0 0,-1 1 0 0 0,0-1 0 0 0,0 0 0 0 0,0 0 0 0 0,1 1 0 0 0,-1-1-1 0 0,0 1-1 0 0,0-1 1 0 0,1 0-1 0 0,-1 1 1 0 0,0-1-1 0 0,1 0 1 0 0,-1 1-1 0 0,0-1 1 0 0,1 0-1 0 0,-1 1 1 0 0,0-1-1 0 0,1 0 1 0 0,-1 0-1 0 0,1 0 0 0 0,-1 0 1 0 0,1 1-1 0 0,-1-1 1 0 0,0 0-1 0 0,1 0 1 0 0,-1 0-1 0 0,1 0 1 0 0,-1 0-1 0 0,1 0 1 0 0,-1 0-1 0 0,1 0 1 0 0,-1 0-1 0 0,1 0 1 0 0,0 0-1 0 0,8-4-19 0 0,0-1 0 0 0,-1 1 0 0 0,1-1 0 0 0,-1-1 0 0 0,10-7 0 0 0,-3 2-18 0 0,26-20-105 0 0,-36 24 116 0 0,9-30 38 0 0,-13 34-2436 0 0</inkml:trace>
  <inkml:trace contextRef="#ctx0" brushRef="#br0" timeOffset="3962.98">2518 4731 9280 0 0,'0'0'1216'0'0,"-12"10"-828"0"0,-36 29-80 0 0,47-38-292 0 0,0 0 0 0 0,1 0 0 0 0,-1 0 0 0 0,0-1 0 0 0,0 1 0 0 0,1 0 0 0 0,-1-1 0 0 0,0 1 0 0 0,0-1 0 0 0,0 1 0 0 0,0-1 0 0 0,0 1 0 0 0,0-1 0 0 0,1 0 0 0 0,-1 1 0 0 0,0-1 0 0 0,-2 0 0 0 0,-84 0 1273 0 0,72-3-1403 0 0,12 2 92 0 0,0 0-35 0 0,0-1 34 0 0,-10-6 14 0 0,10 6 1 0 0,2 1-9 0 0,0-1 13 0 0,0 1-1 0 0,0 0 1 0 0,0-1-1 0 0,0 1 1 0 0,0 0 0 0 0,0-1-1 0 0,0 1 1 0 0,0 0-1 0 0,-1 0 1 0 0,0-1-1 0 0,-1-1-24 0 0,1 6-43 0 0,1 1 76 0 0,0 0 0 0 0,0-1 1 0 0,0 1-1 0 0,0 0 0 0 0,1 0 0 0 0,0 0 0 0 0,-1 0 1 0 0,1-1-1 0 0,1 1 0 0 0,-1 0 0 0 0,0 0 0 0 0,2 4 1 0 0,16 41 121 0 0,-17-46-36 0 0,2 0-58 0 0,8 10 28 0 0,-10-12-53 0 0,-1 0-1 0 0,1 0 1 0 0,0 0-1 0 0,0 0 1 0 0,-1 0-1 0 0,1-1 1 0 0,0 1-1 0 0,0 0 1 0 0,0-1-1 0 0,0 1 1 0 0,0-1-1 0 0,0 1 1 0 0,0-1-1 0 0,0 1 1 0 0,0-1-1 0 0,0 0 1 0 0,0 1-1 0 0,2-1 1 0 0,-2 3-1 0 0,2 12-3 0 0,-6 5 2 0 0,3-1-3 0 0,7 30-89 0 0,-6-46 78 0 0,8 1-5 0 0,-9-4 15 0 0,1 1 0 0 0,-1-1 0 0 0,1 1 0 0 0,-1-1 0 0 0,1 0 0 0 0,-1 1 0 0 0,1-1 0 0 0,0 0 0 0 0,-1 1 0 0 0,1-1 0 0 0,-1 0 1 0 0,1 0-1 0 0,0 1 0 0 0,-1-1 0 0 0,1 0 0 0 0,0 0 0 0 0,-1 0 0 0 0,1 0 0 0 0,0 0 0 0 0,-1 0 0 0 0,2 0 0 0 0,66 6 43 0 0,6 2 15 0 0,67-3 51 0 0,-73-1-58 0 0,-12 0-1678 0 0,-43-3-6534 0 0</inkml:trace>
  <inkml:trace contextRef="#ctx0" brushRef="#br0" timeOffset="4725.97">3258 6147 8912 0 0,'0'0'1297'0'0,"-4"12"-884"0"0,-32 82 477 0 0,34-87-832 0 0,-1-1 0 0 0,0 1 0 0 0,0-1 0 0 0,-1 0 0 0 0,0 0 0 0 0,0-1 0 0 0,0 1 1 0 0,0-1-1 0 0,-10 9 0 0 0,4-6-2 0 0,0 0 1 0 0,0-1-1 0 0,-1 0 1 0 0,-22 10 0 0 0,-86 42-163 0 0,116-57 102 0 0,0-1-1 0 0,0 0 1 0 0,0 1-1 0 0,0-2 0 0 0,0 1 1 0 0,0 0-1 0 0,0 0 1 0 0,0-1-1 0 0,0 0 1 0 0,0 1-1 0 0,0-1 1 0 0,0-1-1 0 0,0 1 0 0 0,0 0 1 0 0,-1-1-1 0 0,1 1 1 0 0,0-1-1 0 0,-5-2 1 0 0,5 2-11 0 0,-1-2 30 0 0,1 2-1 0 0,-25-17 501 0 0,27 17-425 0 0,-1 0 0 0 0,1 0-1 0 0,0 0 1 0 0,-1 0 0 0 0,1 0-1 0 0,0 0 1 0 0,-1-1 0 0 0,1 1-1 0 0,0-1 1 0 0,0 1-1 0 0,0-1 1 0 0,0 1 0 0 0,0-1-1 0 0,1 1 1 0 0,-2-3 0 0 0,-1 18 101 0 0,-2 11 182 0 0,5-24-374 0 0,0-1 1 0 0,-1 0 0 0 0,1 1 0 0 0,0-1 0 0 0,0 1-1 0 0,0-1 1 0 0,0 1 0 0 0,0-1 0 0 0,0 1 0 0 0,0-1-1 0 0,0 0 1 0 0,0 1 0 0 0,1-1 0 0 0,-1 1 0 0 0,0-1-1 0 0,0 1 1 0 0,0-1 0 0 0,0 0 0 0 0,1 1 0 0 0,-1-1-1 0 0,0 1 1 0 0,0-1 0 0 0,1 0 0 0 0,0 1 0 0 0,5-9 81 0 0,7-24 170 0 0,-13 30-226 0 0,17-39 473 0 0,28-51 0 0 0,-22 46-358 0 0,-8 19-56 0 0,1 1 1 0 0,31-40 0 0 0,47-43 147 0 0,-90 104-221 0 0,44-48 177 0 0,3 2 1 0 0,110-86-1 0 0,-101 91-58 0 0,-32 24-34 0 0,47-28-1 0 0,1 2 20 0 0,-55 33-114 0 0,1 1 0 0 0,0 2 0 0 0,1 0 0 0 0,1 1 0 0 0,29-10-1 0 0,16 6-405 0 0,0 2 0 0 0,77-3-1 0 0,-131 15 514 0 0,0 1 0 0 0,1 1-1 0 0,-1 0 1 0 0,1 1-1 0 0,-1 0 1 0 0,0 1-1 0 0,0 1 1 0 0,0 0-1 0 0,0 2 1 0 0,22 10-1 0 0,-22-7-98 0 0,-1 1 0 0 0,0 0 0 0 0,0 1 0 0 0,-1 0-1 0 0,-1 1 1 0 0,0 1 0 0 0,0 0 0 0 0,-1 1 0 0 0,-1 0 0 0 0,13 23-1 0 0,1 7 10 0 0,-12-25-2 0 0,-1 1 0 0 0,-1 0 0 0 0,-1 1 0 0 0,10 35 0 0 0,-15-41-152 0 0,-4-11-27 0 0,4 15-493 0 0,-4-19 658 0 0,0 1-1 0 0,0-1 1 0 0,0 0 0 0 0,0 0-1 0 0,0 0 1 0 0,0 1 0 0 0,0-1-1 0 0,1 0 1 0 0,-1 0 0 0 0,0 0-1 0 0,0 0 1 0 0,0 1 0 0 0,0-1-1 0 0,0 0 1 0 0,0 0 0 0 0,0 0-1 0 0,0 0 1 0 0,1 0 0 0 0,-1 0-1 0 0,0 1 1 0 0,0-1 0 0 0,0 0-1 0 0,0 0 1 0 0,0 0 0 0 0,1 0-1 0 0,-1 0 1 0 0,0 0 0 0 0,0 0-1 0 0,0 0 1 0 0,0 0 0 0 0,1 0-1 0 0,-1 0 1 0 0,0 0 0 0 0,0 1-1 0 0,0-1 1 0 0,0 0 0 0 0,1 0-1 0 0,-1-1 1 0 0,0 1 0 0 0,0 0-1 0 0,0 0 1 0 0,1 0 0 0 0,-1 0-1 0 0,0 0 1 0 0,0 0 0 0 0,0 0-1 0 0,0 0 1 0 0,1 0 0 0 0,-1 0-1 0 0,0 0 1 0 0,0 0 0 0 0,0-1-1 0 0,0 1 1 0 0,0 0 0 0 0,0 0-1 0 0,1 0 1 0 0,-1 0 0 0 0,0 0-1 0 0,0-1 1 0 0,10-17 121 0 0,8-36 110 0 0,-15 42-184 0 0,7-19 11 0 0,46-127 37 0 0,-46 136-94 0 0,0 2 0 0 0,1-1 1 0 0,1 2-1 0 0,1-1 0 0 0,20-22 0 0 0,-4 8-2196 0 0</inkml:trace>
  <inkml:trace contextRef="#ctx0" brushRef="#br0" timeOffset="5258.96">6381 4905 11168 0 0,'-3'24'191'0'0,"-47"242"2232"0"0,42-237-2230 0 0,-1 0 1 0 0,-23 52-1 0 0,24-65-136 0 0,-1-1-1 0 0,0 0 1 0 0,-1-1 0 0 0,0 0 0 0 0,-1-1 0 0 0,-20 19 0 0 0,-5 5 123 0 0,14-13-175 0 0,0 2-6 0 0,-4-3 1 0 0,-19 13 97 0 0,44-34-83 0 0,0-1 0 0 0,-1 0 0 0 0,1 0 0 0 0,-1 0 0 0 0,0 0 0 0 0,1 0 0 0 0,-1-1 0 0 0,0 1 0 0 0,1 0 0 0 0,-1-1 0 0 0,-3 1 0 0 0,0 1 18 0 0,3-2-10 0 0,1 0 0 0 0,-1 1-1 0 0,0-1 1 0 0,0 0 0 0 0,0 0 0 0 0,0 1 0 0 0,0-2 0 0 0,0 1 0 0 0,0 0-1 0 0,1 0 1 0 0,-1-1 0 0 0,0 1 0 0 0,0-1 0 0 0,0 1 0 0 0,1-1-1 0 0,-1 0 1 0 0,0 1 0 0 0,0-1 0 0 0,1 0 0 0 0,-1 0 0 0 0,1-1 0 0 0,-1 1-1 0 0,1 0 1 0 0,-1 0 0 0 0,1-1 0 0 0,0 1 0 0 0,-2-3 0 0 0,-1-1 18 0 0,1 0 0 0 0,-1 1 0 0 0,1-2 1 0 0,0 1-1 0 0,-4-10 0 0 0,6 8-10 0 0,0-1 0 0 0,0 1 0 0 0,0 0-1 0 0,1 0 1 0 0,0 0 0 0 0,1 0 0 0 0,0-1 0 0 0,0 1-1 0 0,0 0 1 0 0,1 0 0 0 0,0 0 0 0 0,0 0 0 0 0,6-12-1 0 0,4-17 83 0 0,-6 19-68 0 0,1-1 0 0 0,1 1-1 0 0,0 0 1 0 0,1 1 0 0 0,0 0-1 0 0,2 0 1 0 0,0 1 0 0 0,0 1-1 0 0,1 0 1 0 0,1 0 0 0 0,1 1-1 0 0,0 1 1 0 0,0 0 0 0 0,1 1-1 0 0,1 1 1 0 0,0 0 0 0 0,0 1-1 0 0,1 0 1 0 0,24-7 0 0 0,-16 9 60 0 0,46-6 0 0 0,-64 13-88 0 0,-1 0 1 0 0,1 0-1 0 0,-1 1 1 0 0,1 0-1 0 0,-1 0 0 0 0,0 0 1 0 0,10 4-1 0 0,44 19 108 0 0,-43-16-91 0 0,23 12 41 0 0,-1 2 0 0 0,-1 2 0 0 0,35 29 0 0 0,-47-32-32 0 0,-1 1 1 0 0,-1 1-1 0 0,-1 2 1 0 0,-1 0-1 0 0,22 33 0 0 0,-30-41-18 0 0,22 21 0 0 0,-33-36-1 0 0,-3-1-22 0 0,1 0 0 0 0,-1-1-1 0 0,0 1 1 0 0,1-1 0 0 0,-1 1-1 0 0,1 0 1 0 0,-1-1 0 0 0,1 1 0 0 0,-1-1-1 0 0,1 1 1 0 0,0-1 0 0 0,-1 0-1 0 0,1 1 1 0 0,0-1 0 0 0,-1 0 0 0 0,1 1-1 0 0,0-1 1 0 0,-1 0 0 0 0,1 0-1 0 0,1 1 1 0 0,1 0 8 0 0,-8-20-5 0 0,0-5 1 0 0,-1 1-1 0 0,-2 0 1 0 0,0 0-1 0 0,-16-30 1 0 0,-21-39-2333 0 0,40 81-9345 0 0</inkml:trace>
  <inkml:trace contextRef="#ctx0" brushRef="#br0" timeOffset="6036.82">4012 6708 9728 0 0,'0'0'1489'0'0,"-12"-6"-1014"0"0,-56-27 233 0 0,67 33-695 0 0,-23-10 202 0 0,0-1 0 0 0,1-2 0 0 0,1 0 1 0 0,-24-18-1 0 0,42 28-256 0 0,1 0 1 0 0,-27-25-120 0 0,27 25 120 0 0,4 0 9 0 0,2-10 44 0 0,-2 9 21 0 0,4 5-18 0 0,-1-1 0 0 0,1 1 0 0 0,-1-1 0 0 0,1 1 0 0 0,-1 0 1 0 0,0 1-1 0 0,1-1 0 0 0,-1 1 0 0 0,0 0 0 0 0,6 4 0 0 0,37 30 102 0 0,-23-16-84 0 0,6 7 8 0 0,-1 1 0 0 0,-1 2 0 0 0,28 38 0 0 0,10 10 37 0 0,2 0 73 0 0,-32-40 32 0 0,-33-35-55 0 0,-3-2-127 0 0,0-1 0 0 0,0 0 0 0 0,0 1 0 0 0,0-1 0 0 0,0 0 0 0 0,1 1-1 0 0,-1-1 1 0 0,0 1 0 0 0,0-1 0 0 0,1 0 0 0 0,-1 0 0 0 0,0 1 0 0 0,1-1 0 0 0,-1 0 0 0 0,0 1 0 0 0,1-1 0 0 0,-1 0 0 0 0,0 0 0 0 0,1 0 0 0 0,-1 1 0 0 0,0-1 0 0 0,1 0-1 0 0,-1 0 1 0 0,1 0 0 0 0,-1 0 0 0 0,1 0 0 0 0,-1 0 3 0 0,1 0 0 0 0,-1 0 0 0 0,1 0 1 0 0,-1 1-1 0 0,0-1 0 0 0,1 0 0 0 0,-1 0 0 0 0,0 0 0 0 0,1 0 0 0 0,-1 1 0 0 0,1-1 0 0 0,-1 0 0 0 0,0 0 0 0 0,0 1 0 0 0,1-1 0 0 0,-1 0 0 0 0,0 0 1 0 0,1 1-1 0 0,-1-1 0 0 0,0 0 0 0 0,0 1 0 0 0,1-1 0 0 0,-1 1 0 0 0,0-1 0 0 0,0 0 0 0 0,0 1 0 0 0,-1 3 18 0 0,-1-1 1 0 0,0 1-1 0 0,0-1 0 0 0,-1 0 0 0 0,1 0 0 0 0,0 0 0 0 0,-7 5 1 0 0,1 1 20 0 0,-1 0 0 0 0,-1-1 1 0 0,1 0-1 0 0,-19 10 1 0 0,-8 8 45 0 0,25-18-172 0 0,-1-1 0 0 0,1 0 0 0 0,-14 5 0 0 0,21-10 52 0 0,0-1 1 0 0,1 0 0 0 0,-1-1 0 0 0,0 1 0 0 0,1-1-1 0 0,-1 0 1 0 0,0 0 0 0 0,0 0 0 0 0,1 0 0 0 0,-8-2 0 0 0,8 2 34 0 0,-1 0 24 0 0,1-1 1 0 0,0 1 0 0 0,-1-1-1 0 0,1 1 1 0 0,0-1 0 0 0,0 0 0 0 0,0 0-1 0 0,-1-1 1 0 0,-4-2 0 0 0,5 2 3 0 0,2 2-24 0 0,-1-1-1 0 0,1 0 0 0 0,0 0 1 0 0,0 1-1 0 0,1-1 0 0 0,-1 0 1 0 0,0 0-1 0 0,0 0 0 0 0,0 0 1 0 0,1 0-1 0 0,-1 0 0 0 0,0 0 1 0 0,1 0-1 0 0,-1 0 1 0 0,1 0-1 0 0,-1-1 0 0 0,0 0 1 0 0,0-3 18 0 0,-4-5 3 0 0,1-1 1 0 0,0 0-1 0 0,0 0 1 0 0,1 0-1 0 0,1-1 1 0 0,0 1-1 0 0,1-1 1 0 0,0 1-1 0 0,1-13 1 0 0,0 6-5 0 0,2 0 1 0 0,0 0-1 0 0,1 0 1 0 0,1 1-1 0 0,1-1 1 0 0,0 1-1 0 0,2 0 1 0 0,10-22-1 0 0,-5 16-3 0 0,0 1 0 0 0,2 1-1 0 0,1 1 1 0 0,0 0 0 0 0,26-26 0 0 0,-25 31-4 0 0,0 2 0 0 0,1 1 0 0 0,1 0 1 0 0,-1 1-1 0 0,2 0 0 0 0,0 2 1 0 0,0 0-1 0 0,1 1 0 0 0,-1 1 0 0 0,2 1 1 0 0,-1 1-1 0 0,1 1 0 0 0,0 0 1 0 0,30 0-1 0 0,24-4 157 0 0,-72 8-96 0 0,-2 1-78 0 0,0-1 1 0 0,-1 1-1 0 0,1 0 1 0 0,-1 0-1 0 0,1 0 1 0 0,0 0-1 0 0,-1 0 1 0 0,0 0-1 0 0,1 0 1 0 0,-1 0-1 0 0,0 0 1 0 0,1 0-1 0 0,-1 0 1 0 0,0 0-1 0 0,0 0 1 0 0,0 0-1 0 0,0 0 1 0 0,0 0-1 0 0,0 0 1 0 0,0 0-1 0 0,0 0 1 0 0,0 0-1 0 0,-1 0 1 0 0,1 0-1 0 0,0 0 1 0 0,-1 2-1 0 0,-1 2 4 0 0,1-1 0 0 0,-1 1 0 0 0,0-1 0 0 0,0 0 0 0 0,-5 8 0 0 0,-16 21 11 0 0,21-30-2 0 0,-1-3-6 0 0,2 0-8 0 0,0-1 1 0 0,0 1-1 0 0,0 0 1 0 0,0-1-1 0 0,0 1 1 0 0,0-1-1 0 0,0 1 1 0 0,1-1-1 0 0,-1 1 1 0 0,0-1-1 0 0,0 0 1 0 0,1 1-1 0 0,-1-1 0 0 0,0 0 1 0 0,1 0-1 0 0,-1 0 1 0 0,0 1-1 0 0,1-1 1 0 0,-1 0-1 0 0,1 0 1 0 0,-1 0-1 0 0,1 0 1 0 0,0 0-1 0 0,0 0 1 0 0,-1 0-1 0 0,1 0 1 0 0,0 0-1 0 0,0 0 1 0 0,0 0-1 0 0,0 0 1 0 0,0 0-1 0 0,0 0 1 0 0,0-2-1 0 0,3-46 17 0 0,-2 41-14 0 0,42-221-1996 0 0,-38 213-8201 0 0</inkml:trace>
  <inkml:trace contextRef="#ctx0" brushRef="#br0" timeOffset="6734.05">6836 5305 10904 0 0,'5'13'584'0'0,"5"9"-285"0"0,-1 0 0 0 0,-2 0 0 0 0,0 1 1 0 0,-1 0-1 0 0,-1 0 0 0 0,2 31 0 0 0,-7-35-167 0 0,-1 0 1 0 0,-5 32-1 0 0,5-44-90 0 0,-1 0 0 0 0,0 0 0 0 0,-1 0 0 0 0,0 0 0 0 0,0 0 0 0 0,0-1 0 0 0,-1 1 0 0 0,0-1 0 0 0,0 0 0 0 0,-6 6 0 0 0,-116 150 541 0 0,114-147-545 0 0,-1 0 1 0 0,-1-1 0 0 0,0 0 0 0 0,0-1 0 0 0,-2-1 0 0 0,1 0-1 0 0,-21 11 1 0 0,16-13 9 0 0,-34 11 1 0 0,36-14-8 0 0,-11-2 43 0 0,22-4-72 0 0,-32 7 69 0 0,-26 6 39 0 0,49-12-68 0 0,12-3-41 0 0,1 1 19 0 0,-17-5 60 0 0,17 4-78 0 0,-1 1 0 0 0,1-1 1 0 0,-1 0-1 0 0,1 0 1 0 0,-1 0-1 0 0,1 0 0 0 0,-1 0 1 0 0,1-1-1 0 0,0 0 1 0 0,0 0-1 0 0,0 0 0 0 0,-4-3 1 0 0,4 2 8 0 0,3 0-3 0 0,0-2-10 0 0,1-1 1 0 0,0 1 0 0 0,1-1 0 0 0,-1 1 0 0 0,1 0 0 0 0,0 0-1 0 0,0-1 1 0 0,0 1 0 0 0,5-5 0 0 0,2-10 8 0 0,-2 12 2 0 0,4-2-16 0 0,0 0 1 0 0,1 1 0 0 0,0 1-1 0 0,1-1 1 0 0,-1 2 0 0 0,2 0-1 0 0,16-6 1 0 0,6 2 36 0 0,1 2 0 0 0,61-7 0 0 0,-86 17-21 0 0,1 0 1 0 0,-1 0-1 0 0,1 1 1 0 0,-1 1-1 0 0,0 0 1 0 0,0 1-1 0 0,0 0 1 0 0,0 0-1 0 0,-1 2 1 0 0,13 6-1 0 0,-20-9-10 0 0,0-1-1 0 0,0 1 0 0 0,0 0 0 0 0,-1 0 0 0 0,1 1 0 0 0,-1-1 0 0 0,0 1 0 0 0,0 0 0 0 0,0-1 0 0 0,0 1 0 0 0,-1 1 0 0 0,1-1 0 0 0,-1 0 1 0 0,0 0-1 0 0,0 1 0 0 0,-1-1 0 0 0,1 1 0 0 0,-1 0 0 0 0,0-1 0 0 0,-1 1 0 0 0,1 5 0 0 0,0 8 35 0 0,-2-1-1 0 0,0 1 1 0 0,0-1 0 0 0,-7 24-1 0 0,5-30-17 0 0,-1 0 0 0 0,0 1 1 0 0,-1-2-1 0 0,0 1 0 0 0,-1-1 0 0 0,0 0 0 0 0,0 0 0 0 0,-1 0 1 0 0,-1-1-1 0 0,0 0 0 0 0,0-1 0 0 0,0 1 0 0 0,-1-2 0 0 0,0 1 1 0 0,-16 8-1 0 0,19-12-7 0 0,-1 0-1 0 0,0-1 1 0 0,-1 0 0 0 0,1-1 0 0 0,0 0-1 0 0,-1 0 1 0 0,1 0 0 0 0,-1-1 0 0 0,0 0 0 0 0,1 0-1 0 0,-1-1 1 0 0,0 0 0 0 0,0-1 0 0 0,1 1-1 0 0,-1-2 1 0 0,0 1 0 0 0,-8-3 0 0 0,14 3-14 0 0,0 1 0 0 0,1-1 0 0 0,-1 0 0 0 0,0 1 0 0 0,1-1 0 0 0,-1 0 0 0 0,1 0 0 0 0,-1 0 0 0 0,1 0 0 0 0,-1 0 0 0 0,1 0 0 0 0,0-1 0 0 0,0 1 1 0 0,-2-2-1 0 0,-1-1 7 0 0,-2-3 21 0 0,-7-24-25 0 0,12 25-6 0 0,0-3 4 0 0,3-13-4 0 0,1 13-3 0 0,1 0 0 0 0,-1 0 0 0 0,2 1 0 0 0,-1-1 0 0 0,1 1 0 0 0,0 0-1 0 0,1 0 1 0 0,0 1 0 0 0,0 0 0 0 0,1 0 0 0 0,13-12 0 0 0,10-4-26 0 0,53-33 0 0 0,-65 45 15 0 0,8-5-12 0 0,-4 3-5 0 0,-1-1 0 0 0,0-1 0 0 0,30-29-1 0 0,-36 31-189 0 0,0-2 0 0 0,-2 0-1 0 0,0-1 1 0 0,-1 0 0 0 0,0 0-1 0 0,-1-2 1 0 0,-1 1 0 0 0,-1-1-1 0 0,-1-1 1 0 0,12-36 0 0 0</inkml:trace>
  <inkml:trace contextRef="#ctx0" brushRef="#br0" timeOffset="7496">5266 7234 10088 0 0,'0'0'4112'0'0,"10"8"-4079"0"0,33 22-18 0 0,-33-24-7 0 0,-6-7 0 0 0,0-1-3 0 0,25-23-2 0 0,-17 14-30 0 0,-1-1 1 0 0,17-24 0 0 0,-14 18 18 0 0,4-5 5 0 0,-4 3-2 0 0,4 6 0 0 0,-11 9-12 0 0,0 1 1 0 0,1 0 0 0 0,0 0-1 0 0,0 0 1 0 0,0 1-1 0 0,0 0 1 0 0,0 1 0 0 0,0-1-1 0 0,1 2 1 0 0,-1-1 0 0 0,1 1-1 0 0,0 1 1 0 0,-1-1 0 0 0,10 2-1 0 0,-14 0 4 0 0,1 0 0 0 0,-1 0 0 0 0,1 0 0 0 0,-1 1-1 0 0,0 0 1 0 0,5 2 0 0 0,-1 0-7 0 0,-7-4 18 0 0,-1 1 0 0 0,1-1 0 0 0,0 1 0 0 0,-1-1 0 0 0,1 1 0 0 0,0 0 0 0 0,-1-1 0 0 0,1 1 0 0 0,-1 0 0 0 0,1-1 0 0 0,-1 1 0 0 0,1 0 0 0 0,-1 0 1 0 0,1 0-1 0 0,-1-1 0 0 0,0 1 0 0 0,0 0 0 0 0,1 0 0 0 0,-1 0 0 0 0,0 0 0 0 0,0 1 0 0 0,0-1 0 0 0,0 0 5 0 0,1 0-1 0 0,-1 0 1 0 0,0 0 0 0 0,1 0-1 0 0,-1 0 1 0 0,0 1 0 0 0,0-1 0 0 0,0 0-1 0 0,0 0 1 0 0,0 0 0 0 0,-1 0-1 0 0,1 1 1 0 0,0-1 0 0 0,0 0 0 0 0,-1 0-1 0 0,1 0 1 0 0,-1 0 0 0 0,0 1-1 0 0,-1 3 10 0 0,-2 13 26 0 0,-2 0 0 0 0,0-1 0 0 0,-16 32 0 0 0,8-18-5 0 0,-15 26 57 0 0,-3-1-1 0 0,-52 69 1 0 0,73-109-72 0 0,-79 119 124 0 0,-34 47 108 0 0,108-162-188 0 0,0-1 1 0 0,-1-1 0 0 0,-1 0-1 0 0,0-1 1 0 0,-26 17 0 0 0,7-3 50 0 0,33-29-76 0 0,3-1-32 0 0,0-1 0 0 0,0 1 0 0 0,-1-1 0 0 0,1 1 0 0 0,0 0 0 0 0,0-1-1 0 0,0 1 1 0 0,0 0 0 0 0,0 0 0 0 0,0 0 0 0 0,0 0 0 0 0,-1 1 0 0 0,1-1 3 0 0,-2 1 64 0 0,-7 0-14 0 0,4-3-81 0 0,162-84 54 0 0,67-38 234 0 0,-63 33-226 0 0,-122 67-41 0 0,-2-1 0 0 0,0-2 0 0 0,42-41 0 0 0,-71 59-11 0 0,0-1 0 0 0,-1 0 1 0 0,-1 0-1 0 0,1 0 1 0 0,-1-1-1 0 0,3-10 1 0 0,-8 19 13 0 0,1 0 0 0 0,-1 0 0 0 0,0 0 0 0 0,0 0 0 0 0,0 0 0 0 0,-1 0 0 0 0,1 0 0 0 0,0 0 0 0 0,0 0 0 0 0,0 0 0 0 0,-1 1 0 0 0,1-1 0 0 0,0 0 0 0 0,-1 0 0 0 0,1 0 0 0 0,-1 0 0 0 0,1 0 0 0 0,-1 0 0 0 0,0 1 0 0 0,1-1 0 0 0,-2-1 0 0 0,-10-7 23 0 0,12 8-12 0 0,-1 0-1 0 0,0 0 0 0 0,0 0 1 0 0,0 0-1 0 0,0 0 1 0 0,-1 0-1 0 0,1 1 0 0 0,0-1 1 0 0,0 0-1 0 0,0 1 0 0 0,-1-1 1 0 0,1 1-1 0 0,0-1 0 0 0,0 1 1 0 0,-1 0-1 0 0,-1-1 1 0 0,-6 0 12 0 0,0 0 0 0 0,0 0 1 0 0,0 1-1 0 0,0 0 1 0 0,0 0-1 0 0,0 1 0 0 0,0 0 1 0 0,0 1-1 0 0,1 0 1 0 0,-1 0-1 0 0,0 1 0 0 0,1 0 1 0 0,-10 5-1 0 0,-18 9 105 0 0,-55 38 0 0 0,89-55-128 0 0,-27 19-2061 0 0</inkml:trace>
  <inkml:trace contextRef="#ctx0" brushRef="#br0" timeOffset="7985.33">5053 7772 11168 0 0,'-17'9'529'0'0,"-3"1"-346"0"0,-6 5 258 0 0,-37 24-1 0 0,-46 23 666 0 0,39-26-660 0 0,-294 175 154 0 0,314-177-752 0 0,-69 62-1 0 0,71-56-41 0 0,-67 45 0 0 0,43-32-66 0 0,53-37 156 0 0,0-2-1 0 0,0-1 1 0 0,-28 15-1 0 0,32-21 36 0 0,-4 2 27 0 0,-1 0 0 0 0,-27 8 0 0 0,39-15 46 0 0,0 0 1 0 0,0-1-1 0 0,1 0 1 0 0,-1-1-1 0 0,0 1 1 0 0,0-2-1 0 0,0 1 1 0 0,0-1-1 0 0,-14-3 1 0 0,-46-7 35 0 0,66 10-32 0 0,-2-1 0 0 0,-26-14-48 0 0,27 15 328 0 0,6 2-186 0 0,7 2-15 0 0,0 2 0 0 0,0-1-1 0 0,-1 1 1 0 0,0 1 0 0 0,1 0-1 0 0,14 13 1 0 0,44 49 54 0 0,-28-25-15 0 0,72 60 98 0 0,-37-36-111 0 0,-56-51-81 0 0,0-1 1 0 0,1-1-1 0 0,1-1 1 0 0,0-1 0 0 0,29 13-1 0 0,120 39 147 0 0,-160-61-170 0 0,60 18 60 0 0,0-3 0 0 0,1-3 1 0 0,1-3-1 0 0,0-3 0 0 0,100-1 1 0 0,-106-11-36 0 0,0-2 1 0 0,-1-3 0 0 0,0-3-1 0 0,0-3 1 0 0,-2-3 0 0 0,0-2-1 0 0,-1-3 1 0 0,0-3 0 0 0,-2-2-1 0 0,-2-3 1 0 0,59-40 0 0 0,-32 15 10 0 0,-2-4 0 0 0,113-103 1 0 0,-113 81 21 0 0,124-158 1 0 0,80-197 132 0 0,-232 346-145 0 0,-22 37 30 0 0,29-62-1 0 0,-41 68 46 0 0,-20 43-81 0 0,-3 4-82 0 0,1 0 21 0 0,0 0 9 0 0,1 0 0 0 0,-1-1 0 0 0,0 1-1 0 0,1 0 1 0 0,-1 0 0 0 0,1 0 0 0 0,-1 0 0 0 0,0 0 0 0 0,1 0-1 0 0,-1 0 1 0 0,0 0 0 0 0,1 0 0 0 0,-1 0 0 0 0,0 0 0 0 0,1 0-1 0 0,-1 1 1 0 0,1-1 0 0 0,-1 0 0 0 0,0 0 0 0 0,1 1 0 0 0,-1-1-1 0 0,1 0 1 0 0,-1 1 0 0 0,1-1 0 0 0,-1 0 0 0 0,0 2-1 0 0,-14 11-2151 0 0</inkml:trace>
  <inkml:trace contextRef="#ctx0" brushRef="#br0" timeOffset="9651.32">3872 10244 9728 0 0,'0'0'3246'0'0,"12"-2"-3052"0"0,81-15 276 0 0,-36 16-546 0 0,-34 2 66 0 0,2 3 2 0 0,-2-2 1 0 0,-2 2 3 0 0,-11 0-9 0 0,-1 1 0 0 0,-1 1 0 0 0,1-1 0 0 0,-1 1 0 0 0,0 1 0 0 0,0 0 0 0 0,-1 0 0 0 0,12 13 0 0 0,-2 9-72 0 0,-14-24 83 0 0,-1-2 227 0 0,-2-3-183 0 0,-1-1-28 0 0,1 0 1 0 0,-1-1-1 0 0,0 1 1 0 0,1 0 0 0 0,0 0-1 0 0,-1 0 1 0 0,1-1-1 0 0,0 1 1 0 0,0 0-1 0 0,0 0 1 0 0,-1-1-1 0 0,1 1 1 0 0,1-2 0 0 0,0 0-75 0 0,11-20 670 0 0,-7 21-255 0 0,-2 16-310 0 0,-2-13-38 0 0,0 0 0 0 0,-1 1-1 0 0,1-1 1 0 0,1 0 0 0 0,-1 0-1 0 0,0 1 1 0 0,0-1 0 0 0,0 0-1 0 0,1 0 1 0 0,1 1 0 0 0,-3-2-6 0 0,0 0 1 0 0,0 1 0 0 0,1-1 0 0 0,-1 0 0 0 0,0 0 0 0 0,0 1 0 0 0,0-1 0 0 0,1 0-1 0 0,-1 0 1 0 0,0 1 0 0 0,1-1 0 0 0,-1 0 0 0 0,0 0 0 0 0,0 0 0 0 0,1 0 0 0 0,-1 1 0 0 0,0-1-1 0 0,1 0 1 0 0,-1 0 0 0 0,0 0 0 0 0,1 0 0 0 0,-1 0 0 0 0,0 0 0 0 0,1 0 0 0 0,-1 0-1 0 0,0 0 1 0 0,1 0 0 0 0,-1 0 0 0 0,1 0 0 0 0,-1 0 0 0 0,1 0 0 0 0,-1 0-1 0 0,0-1 1 0 0,1 1-1 0 0,-1 0 1 0 0,0 0-1 0 0,1 0 1 0 0,-1 0-1 0 0,0 0 1 0 0,1 0-1 0 0,-1 0 1 0 0,0 0-1 0 0,1 0 1 0 0,-1 0-1 0 0,0 1 1 0 0,1-1 0 0 0,-1 0-1 0 0,0 0 1 0 0,1 0-1 0 0,-1 0 1 0 0,0 0-1 0 0,0 1 1 0 0,1-1-1 0 0,-1 0 1 0 0,0 0-1 0 0,0 0 1 0 0,1 1-1 0 0,-1-1 1 0 0,0 0-1 0 0,0 0 1 0 0,0 1-1 0 0,1-1 1 0 0,-1 0-1 0 0,0 0 1 0 0,0 1-1 0 0,0 0 1 0 0,28 24 105 0 0,-27-25-106 0 0,0 1 1 0 0,-1-1-1 0 0,1 0 1 0 0,0 1-1 0 0,-1-1 1 0 0,1 1-1 0 0,-1-1 1 0 0,1 1-1 0 0,-1-1 1 0 0,1 1-1 0 0,-1-1 1 0 0,1 1-1 0 0,-1-1 1 0 0,0 1-1 0 0,1-1 1 0 0,-1 1-1 0 0,0 0 1 0 0,1-1-1 0 0,-1 1 1 0 0,0 1-1 0 0,0-1 1 0 0,1-1 0 0 0,-1 1 0 0 0,0 0-1 0 0,0-1 1 0 0,1 1 0 0 0,-1-1-1 0 0,0 1 1 0 0,1 0 0 0 0,-1-1 0 0 0,1 1-1 0 0,-1-1 1 0 0,0 1 0 0 0,1-1 0 0 0,0 1-1 0 0,-1-1 1 0 0,1 1 0 0 0,-1-1-1 0 0,1 0 1 0 0,-1 1 0 0 0,2-1 0 0 0,2 4 7 0 0,0-1 0 0 0,0 1 0 0 0,0 0 1 0 0,0 0-1 0 0,-1 0 0 0 0,0 0 0 0 0,0 1 1 0 0,0-1-1 0 0,-1 1 0 0 0,1 0 1 0 0,-1 0-1 0 0,0 0 0 0 0,0 0 0 0 0,-1 0 1 0 0,1 0-1 0 0,-1 1 0 0 0,0-1 0 0 0,0 6 1 0 0,0 14 35 0 0,0 0 0 0 0,-5 42 1 0 0,1-31-8 0 0,0 17 20 0 0,0-10 32 0 0,2 0 0 0 0,5 58 0 0 0,5 35 200 0 0,-7-110-236 0 0,0 1 0 0 0,-4 39 0 0 0,1-8 39 0 0,1 10 59 0 0,0-62-129 0 0,0-1 0 0 0,1 1 0 0 0,0 0 0 0 0,3 9 0 0 0,-3-7-11 0 0,-1-7-9 0 0,0 0-1 0 0,0 0 1 0 0,1 0-1 0 0,-1 0 1 0 0,0 0-1 0 0,0 0 1 0 0,0 1-1 0 0,1-1 1 0 0,-1 0-1 0 0,0 0 1 0 0,1 0-1 0 0,-1 0 1 0 0,1 0-1 0 0,0 0 1 0 0,-1 0-1 0 0,2 1 1 0 0,9 13 43 0 0,-5-3-32 0 0,6 12 9 0 0,2-1 0 0 0,0 0 0 0 0,34 40 0 0 0,-1-14 23 0 0,3 5 17 0 0,-29-29-22 0 0,30 25-1 0 0,-22-24-5 0 0,-19-16-31 0 0,1 0 1 0 0,16 11-1 0 0,-5-7-12 0 0,-1-1 0 0 0,45 19 0 0 0,95 33 128 0 0,-154-62-120 0 0,1-2 0 0 0,-1 1 0 0 0,1-1 0 0 0,9 1 0 0 0,-4-1 7 0 0,2 1 3 0 0,0 0 0 0 0,-1-1 0 0 0,1-1 0 0 0,0 0-1 0 0,0-1 1 0 0,-1 0 0 0 0,1-1 0 0 0,0-1 0 0 0,-1 0 0 0 0,0-1-1 0 0,0-1 1 0 0,25-12 0 0 0,-27 11-6 0 0,16-7 11 0 0,0-2 0 0 0,35-26-1 0 0,-25 13 3 0 0,-1-3-1 0 0,-1 0 1 0 0,39-47 0 0 0,-28 23-7 0 0,-3-2 0 0 0,49-82 0 0 0,124-320 13 0 0,-104 203 148 0 0,-80 185-121 0 0,16-34 32 0 0,73-119-1 0 0,-43 106-1 0 0,-69 103-57 0 0,0 0-1 0 0,-1 0 1 0 0,-1 0 0 0 0,8-20-1 0 0,-15 30-23 0 0,0 0 0 0 0,-1 0-1 0 0,1 0 1 0 0,-1 0-1 0 0,0 0 1 0 0,0 0-1 0 0,-2-7 1 0 0,2 8-4 0 0,-5-35-55 0 0,4 33 44 0 0,0 0 0 0 0,0 0 0 0 0,1 0-1 0 0,-1 0 1 0 0,2-10 0 0 0,2-9-265 0 0,0 9-9 0 0,-2 0 0 0 0,0 0 0 0 0,0 0 0 0 0,-2 0 0 0 0,0 0 0 0 0,-1 0-1 0 0,0 0 1 0 0,-6-19 0 0 0</inkml:trace>
  <inkml:trace contextRef="#ctx0" brushRef="#br0" timeOffset="12280.15">7259 8564 8376 0 0,'0'0'1766'0'0,"-9"11"-1443"0"0,-1 2-223 0 0,3-3 67 0 0,0-1-1 0 0,-17 16 1 0 0,15-16-61 0 0,-1 0-1 0 0,0-1 1 0 0,0 0-1 0 0,-12 6 1 0 0,21-13-100 0 0,1-1-1 0 0,-1 0 1 0 0,0 0 0 0 0,1 1 0 0 0,-1-1-1 0 0,1 1 1 0 0,-1-1 0 0 0,0 0-1 0 0,1 1 1 0 0,-1-1 0 0 0,1 1 0 0 0,-1-1-1 0 0,1 1 1 0 0,-1 0 0 0 0,1-1-1 0 0,0 1 1 0 0,-1-1 0 0 0,1 1-1 0 0,-1 0 1 0 0,1 0-1 0 0,0 0 0 0 0,-1-1 0 0 0,1 1 0 0 0,0-1 0 0 0,-1 1 0 0 0,1 0 0 0 0,-1-1 0 0 0,1 1 0 0 0,0-1 0 0 0,-1 0 0 0 0,1 1 0 0 0,-1-1 0 0 0,0 1 0 0 0,1-1 0 0 0,-1 0 0 0 0,1 1 0 0 0,-1-1 0 0 0,0 0 0 0 0,1 0 0 0 0,-1 1 0 0 0,0-1 0 0 0,0 0 0 0 0,-21 8 135 0 0,7-4-126 0 0,-13-1-10 0 0,23-4 10 0 0,0 0 9 0 0,2 1 110 0 0,2 2-90 0 0,-5 10 2 0 0,5-10 77 0 0,-2 0-90 0 0,-8 3 0 0 0,8-3 32 0 0,-1-2-32 0 0,-11 0 0 0 0,12 0 4 0 0,-1-1 16 0 0,-11-1 4 0 0,11 2 0 0 0,1-1 0 0 0,-29-15 176 0 0,28 13-135 0 0,0 2-8 0 0,0-1 0 0 0,0 0 0 0 0,0 0 0 0 0,0 0 0 0 0,-4-4 1 0 0,5 5 15 0 0,-1-1 0 0 0,-3-1-20 0 0,0 1 0 0 0,-1 0-1 0 0,1 0 1 0 0,-1 1 0 0 0,-10-1-1 0 0,-13 6 167 0 0,29-3-166 0 0,-3 0-13 0 0,2 1-1 0 0,-1 0 0 0 0,0-1 1 0 0,0 1-1 0 0,0 0 1 0 0,-3 4-1 0 0,4-5 173 0 0,3-1-240 0 0,0 1 0 0 0,0-1-1 0 0,0 1 1 0 0,0-1 0 0 0,-1 1-1 0 0,1-1 1 0 0,0 1 0 0 0,0-1 0 0 0,0 0-1 0 0,-1 1 1 0 0,1-1 0 0 0,0 1 0 0 0,0-1-1 0 0,-1 0 1 0 0,1 1 0 0 0,0-1-1 0 0,-1 0 1 0 0,1 1 0 0 0,0-1 0 0 0,-1 0-1 0 0,0 1 1 0 0,1-1 2 0 0,0 0 1 0 0,-1 1-1 0 0,1-1 0 0 0,-1 0 0 0 0,1 0 1 0 0,0 1-1 0 0,-1-1 0 0 0,1 1 0 0 0,0-1 1 0 0,0 0-1 0 0,-1 1 0 0 0,1-1 1 0 0,0 1-1 0 0,0-1 0 0 0,-1 0 0 0 0,1 1 1 0 0,0-1-1 0 0,0 1 0 0 0,0-1 1 0 0,0 1-1 0 0,0-1 0 0 0,0 1 0 0 0,0-1 1 0 0,0 1-1 0 0,0-1 0 0 0,0 1 0 0 0,0-1 1 0 0,0 1-1 0 0,0-1 0 0 0,0 1 1 0 0,1 0-1 0 0,1 8 32 0 0,0 1 1 0 0,-1 0 0 0 0,0 13-1 0 0,2 8 23 0 0,5 80 114 0 0,-4-50-85 0 0,9 56 116 0 0,-4-30 18 0 0,-8-80-200 0 0,-1 0-1 0 0,0 0 0 0 0,0 1 0 0 0,-2 11 1 0 0,1-11-13 0 0,4 288 701 0 0,3-253-562 0 0,-5-34-132 0 0,1-1 25 0 0,0 0-1 0 0,0 1 0 0 0,0-1 1 0 0,1 0-1 0 0,0 0 0 0 0,1-1 1 0 0,4 9-1 0 0,-4-9-14 0 0,-2-3 15 0 0,-1-1 3 0 0,27 58 116 0 0,-22-50-148 0 0,-5-8 2 0 0,2 0-1 0 0,0 0-11 0 0,15 24 25 0 0,-17-24-21 0 0,5 3 7 0 0,6 3-38 0 0,3 6 15 0 0,-11-11-1 0 0,0 0-4 0 0,-1-1 10 0 0,19 26-25 0 0,-7-7 25 0 0,11 13-5 0 0,-3 4 0 0 0,1-3 0 0 0,0 13 63 0 0,3 11-16 0 0,-16-36-35 0 0,-1 1 1 0 0,3-3-2 0 0,8 16 27 0 0,-21-38-29 0 0,0 1 0 0 0,0-1 0 0 0,0 1 0 0 0,0-1 0 0 0,0 1 0 0 0,1-1 0 0 0,-1 0 0 0 0,0 1 0 0 0,0-1-1 0 0,0 1 1 0 0,1-1 0 0 0,-1 0 0 0 0,0 1 0 0 0,1-1 0 0 0,-1 0 0 0 0,0 1 0 0 0,1-1 0 0 0,-1 0 0 0 0,0 1-1 0 0,1-1 1 0 0,-1 0 0 0 0,1 0 0 0 0,-1 0 0 0 0,0 1 0 0 0,1-1 0 0 0,0 0 0 0 0,-1 0 0 0 0,1 0-1 0 0,-1 1 1 0 0,1-1 0 0 0,-1 0-1 0 0,1 0 1 0 0,-1 0 0 0 0,1 1 0 0 0,-1-1-1 0 0,1 0 1 0 0,-1 1 0 0 0,1-1 0 0 0,-1 0-1 0 0,0 1 1 0 0,1-1 0 0 0,-1 1 0 0 0,0-1-1 0 0,1 1 1 0 0,-1-1 0 0 0,0 1 0 0 0,0-1-1 0 0,1 1 1 0 0,-1 0 0 0 0,20 32 36 0 0,-12-19-28 0 0,-5-8-2 0 0,7 9-4 0 0,3 0-8 0 0,-10-12 2 0 0,0 0-7 0 0,-2 0 2 0 0,22 33-32 0 0,-16-22 34 0 0,1 3 3 0 0,1 2-2 0 0,-1-2 2 0 0,1-1-2 0 0,2 4 2 0 0,0 0-2 0 0,3 0 3 0 0,3 1 2 0 0,2 4 0 0 0,-2-1 0 0 0,0 1 0 0 0,0 1 0 0 0,2-6 0 0 0,-2 4 0 0 0,-15-21 3 0 0,0 0 1 0 0,0 0-1 0 0,0 0 0 0 0,0 0 0 0 0,0 0 0 0 0,1 0 0 0 0,0 0 0 0 0,-1-1 0 0 0,5 3 0 0 0,-3 3 27 0 0,-3-5-27 0 0,5 11 31 0 0,-5-11 36 0 0,0-3-68 0 0,-1 0 0 0 0,1 0 0 0 0,-1 0-1 0 0,0 1 1 0 0,1-1 0 0 0,-1 0-1 0 0,0 0 1 0 0,1 0 0 0 0,-1 1-1 0 0,0-1 1 0 0,1 0 0 0 0,-1 0-1 0 0,0 1 1 0 0,0-1 0 0 0,1 0 0 0 0,-1 1-1 0 0,0-1 1 0 0,0 0 0 0 0,0 1-1 0 0,1-1 1 0 0,-1 1 0 0 0,0-1-1 0 0,0 0 1 0 0,0 1 0 0 0,0-1 0 0 0,0 1-1 0 0,0 0 2 0 0,0-1 0 0 0,1 0 0 0 0,-1 1-1 0 0,0-1 1 0 0,0 1 0 0 0,0-1 0 0 0,0 0 0 0 0,0 1-1 0 0,1-1 1 0 0,-1 0 0 0 0,0 1 0 0 0,0-1 0 0 0,0 0-1 0 0,1 1 1 0 0,-1-1 0 0 0,0 0 0 0 0,1 1 0 0 0,-1-1-1 0 0,0 0 1 0 0,1 0 0 0 0,-1 1 0 0 0,0-1 0 0 0,1 0-1 0 0,-1 0 1 0 0,0 0 0 0 0,1 1 0 0 0,8 15 117 0 0,-8-12-93 0 0,0 0-1 0 0,0 0 1 0 0,1-1 0 0 0,0 1-1 0 0,3 5 1 0 0,-2-3 3 0 0,-1-3 34 0 0,-1 0-32 0 0,6 7 9 0 0,-5-7-11 0 0,1 1 1 0 0,0 0-1 0 0,-1 0 1 0 0,0 0-1 0 0,0 0 1 0 0,0 0-1 0 0,0 1 1 0 0,-1-1-1 0 0,0 0 1 0 0,1 7-1 0 0,2-8-38 0 0,9 6 0 0 0,-10-7 0 0 0,-2-1-1 0 0,0 1 8 0 0,0-1 0 0 0,0 0 1 0 0,0 0-1 0 0,0 0 0 0 0,0 0 0 0 0,0-1 0 0 0,0 1 0 0 0,1 0 0 0 0,1 1 0 0 0,0 0-11 0 0,0 0-12 0 0,27 16-27 0 0,-27-15 36 0 0,14 5-41 0 0,-13-5 40 0 0,11 8 2 0 0,-11-8 3 0 0,-4-2-7 0 0,1 1 15 0 0,0 0 0 0 0,-1-1 0 0 0,1 1 0 0 0,0-1 0 0 0,0 1 0 0 0,0-1 0 0 0,1 0-1 0 0,-1 1 1 0 0,0-1 0 0 0,2 1 0 0 0,0 1-8 0 0,-1 0 1 0 0,1-1-1 0 0,-1 1 0 0 0,1 0 1 0 0,-1 0-1 0 0,2 5 0 0 0,35 61-115 0 0,-36-64 121 0 0,-1 1 1 0 0,1-1 0 0 0,-1 1-1 0 0,0 0 1 0 0,0 0 0 0 0,-1 0-1 0 0,0 0 1 0 0,1 9 0 0 0,0-2 3 0 0,7 57 55 0 0,-8-64-48 0 0,0 0-1 0 0,-1-1 0 0 0,1 1 0 0 0,-1 0 0 0 0,0 0 0 0 0,-1 9 0 0 0,0 6 22 0 0,-1-9-11 0 0,1-6-13 0 0,7 18 26 0 0,-1-6-20 0 0,0 0-1 0 0,-2-3 0 0 0,-2-9 2 0 0,1 0 0 0 0,1-1 0 0 0,-1 1 0 0 0,1 0 0 0 0,-1-1-1 0 0,2 0 1 0 0,5 9 0 0 0,-7-11-31 0 0,-2-3-53 0 0,0 0 73 0 0,1 0 1 0 0,-1 1-1 0 0,0-1 0 0 0,0 0 1 0 0,0 0-1 0 0,0 1 0 0 0,0-1 1 0 0,0 0-1 0 0,0 0 0 0 0,1 1 1 0 0,-1-1-1 0 0,0 0 1 0 0,0 0-1 0 0,0 0 0 0 0,0 0 1 0 0,1 1-1 0 0,-1-1 0 0 0,0 0 1 0 0,0 0-1 0 0,1 0 1 0 0,-1 0-1 0 0,0 0 0 0 0,0 0 1 0 0,1 1-1 0 0,-1-1 0 0 0,0 0 1 0 0,0 0-1 0 0,1 0 0 0 0,-1 0 1 0 0,0 0-1 0 0,1 0-9 0 0,0 0 0 0 0,-1 0 0 0 0,1 0 0 0 0,0 1 0 0 0,-1-1 0 0 0,1 0 0 0 0,0 1 0 0 0,-1-1-1 0 0,1 0 1 0 0,-1 1 0 0 0,1-1 0 0 0,0 1 0 0 0,-1-1 0 0 0,1 1 0 0 0,-1-1 0 0 0,1 1 0 0 0,-1-1 0 0 0,0 1 0 0 0,1-1 0 0 0,0 2-1 0 0,4 11 3 0 0,-3-9 0 0 0,6 12-234 0 0,-5-13 249 0 0,1 0 1 0 0,-1-1-1 0 0,0 1 1 0 0,0 1-1 0 0,-1-1 1 0 0,1 0-1 0 0,2 4 1 0 0,-3-4 40 0 0,0-1-104 0 0,-1 0 42 0 0,0 0-1 0 0,0-1 1 0 0,0 1 0 0 0,0 0-1 0 0,0 0 1 0 0,0 0 0 0 0,-1-1 0 0 0,1 1-1 0 0,-1 0 1 0 0,1 0 0 0 0,-1 0 0 0 0,0 2-1 0 0,0-1 1 0 0,0 30-164 0 0,0-30 162 0 0,-3 17-112 0 0,3-9 112 0 0,0-8 0 0 0,0 0-16 0 0,0 47-40 0 0,3-31 42 0 0,-3-16 19 0 0,5 28-53 0 0,-4-28 57 0 0,-1 0 1 0 0,2 10 7 0 0,-1-9 18 0 0,0 0 1 0 0,0-1-1 0 0,0 1 0 0 0,0-1 0 0 0,0 0 1 0 0,1 1-1 0 0,2 3 0 0 0,-3-5-30 0 0,1 1 81 0 0,0 1-55 0 0,21 26 130 0 0,-20-27-3 0 0,-3-3-142 0 0,0 0 1 0 0,-1 0 0 0 0,1 0-1 0 0,0 0 1 0 0,0 0-1 0 0,0 1 1 0 0,0-1-1 0 0,0 0 1 0 0,0 0 0 0 0,0 0-1 0 0,0 0 1 0 0,0 1-1 0 0,0-1 1 0 0,0 0 0 0 0,0 0-1 0 0,0 0 1 0 0,0 0-1 0 0,0 1 1 0 0,0-1-1 0 0,0 0 1 0 0,0 0 0 0 0,0 0-1 0 0,0 0 1 0 0,0 0-1 0 0,0 1 1 0 0,0-1 0 0 0,0 0-1 0 0,0 0 1 0 0,1 0-1 0 0,-1 0 1 0 0,0 0-1 0 0,0 1 1 0 0,0-1 0 0 0,0 0-1 0 0,0 0 1 0 0,0 0-1 0 0,0 0 1 0 0,1 0 0 0 0,-1 0-1 0 0,0 0 1 0 0,0 0-1 0 0,0 1 1 0 0,0-1-1 0 0,0 0 1 0 0,1 0 0 0 0,-1 0-1 0 0,6 4 5 0 0,-3 16 93 0 0,-3-17-106 0 0,0 14 10 0 0,0-14 52 0 0,0-2-62 0 0,1 1 0 0 0,-1-1 0 0 0,0 1 0 0 0,0-1 0 0 0,1 1 0 0 0,-1-1-1 0 0,0 1 1 0 0,-1-1 0 0 0,1 1 0 0 0,0-1 0 0 0,0 1 0 0 0,-1-1-1 0 0,0 2 1 0 0,1-2-1 0 0,0-1 1 0 0,0 1-1 0 0,-1-1 0 0 0,1 1 0 0 0,-1-1 0 0 0,1 1 0 0 0,0-1 1 0 0,-1 1-1 0 0,1-1 0 0 0,-1 1 0 0 0,1-1 0 0 0,-1 0 0 0 0,1 1 1 0 0,-1-1-1 0 0,1 0 0 0 0,-1 0 0 0 0,1 1 0 0 0,-1-1 0 0 0,0 0 0 0 0,1 0 1 0 0,-1 0-1 0 0,1 1 0 0 0,-1-1 0 0 0,0 0 0 0 0,0 0 0 0 0,1 0 9 0 0,0 0 0 0 0,-1 0-1 0 0,1 0 1 0 0,0 0 0 0 0,0 0-1 0 0,0 0 1 0 0,0 0-1 0 0,0 0 1 0 0,-1 0 0 0 0,1 0-1 0 0,0 0 1 0 0,0 0-1 0 0,0-1 1 0 0,0 1 0 0 0,0 0-1 0 0,-1 0 1 0 0,1 0 0 0 0,0 0-1 0 0,0 0 1 0 0,0 0-1 0 0,0 0 1 0 0,0 0 0 0 0,0 0-1 0 0,0 0 1 0 0,-1-1 0 0 0,1 1-1 0 0,0 0 1 0 0,0 0-1 0 0,0 0 1 0 0,0 0 0 0 0,0 0-1 0 0,0-1 1 0 0,0 1-1 0 0,0 0 1 0 0,0 0 0 0 0,0 0-1 0 0,0 0 1 0 0,0 0 0 0 0,0-1-1 0 0,0 1 1 0 0,0 0-1 0 0,-28-53-51 0 0,2 6 8 0 0,-45-92-14 0 0,-2-5-2209 0 0,56 111-9039 0 0</inkml:trace>
  <inkml:trace contextRef="#ctx0" brushRef="#br0" timeOffset="12580.86">3651 10213 10264 0 0,'-15'5'528'0'0,"-44"17"9"0"0,-141 46 1527 0 0,184-64-2021 0 0,0 0 1 0 0,0-1 0 0 0,0-1-1 0 0,-1 0 1 0 0,1-2-1 0 0,0 1 1 0 0,-1-2-1 0 0,1 0 1 0 0,0-1-1 0 0,0-1 1 0 0,0 0 0 0 0,0-1-1 0 0,0-1 1 0 0,1-1-1 0 0,-1 0 1 0 0,2 0-1 0 0,-1-2 1 0 0,1 0-1 0 0,0 0 1 0 0,0-2 0 0 0,1 0-1 0 0,1 0 1 0 0,-21-22-1 0 0,26 24-44 0 0,2 0 0 0 0,-1 0 0 0 0,1-1-1 0 0,-7-15 1 0 0,1 2 1 0 0,-21-41-1804 0 0,24 49-7216 0 0</inkml:trace>
  <inkml:trace contextRef="#ctx0" brushRef="#br0" timeOffset="12705.9">2818 9522 10088 0 0,'0'0'2168'0'0,"20"-84"-2168"0"0</inkml:trace>
  <inkml:trace contextRef="#ctx0" brushRef="#br0" timeOffset="14411.71">2883 9373 10176 0 0,'0'0'2808'0'0,"12"3"-2448"0"0,39 8-27 0 0,-48-10-296 0 0,0-1-1 0 0,0 1 1 0 0,0 0 0 0 0,0-1-1 0 0,-1 1 1 0 0,1 1 0 0 0,0-1-1 0 0,0 0 1 0 0,-1 1 0 0 0,1-1-1 0 0,2 3 1 0 0,17 9 328 0 0,3-1-350 0 0,4 2-31 0 0,0-1 0 0 0,2-1 0 0 0,35 8 0 0 0,-46-16 15 0 0,-2-3 1 0 0,-2-1-4 0 0,-12 0-16 0 0,10 12-28 0 0,-12-10 24 0 0,1 1 0 0 0,2 0 15 0 0,-1 1 5 0 0,7 25-50 0 0,-7-25 53 0 0,-1 2 1 0 0,-7 18 20 0 0,1-8-12 0 0,3-13 0 0 0,-2 1 8 0 0,-21 31 144 0 0,22-35-155 0 0,0 1 0 0 0,0 0-1 0 0,1 0 1 0 0,-1-1 0 0 0,0 1 0 0 0,1 0 0 0 0,-1 0 0 0 0,0 0 0 0 0,1 0 0 0 0,-1 0 0 0 0,1 0 0 0 0,-1 0 0 0 0,1 0 0 0 0,0 0 0 0 0,-1 0 0 0 0,1 2 0 0 0,-8 17 79 0 0,4-13-60 0 0,-4 6-27 0 0,1-1 1 0 0,0 2-1 0 0,1-1 0 0 0,0 1 0 0 0,-6 26 1 0 0,7-11-24 0 0,-6 36 79 0 0,-3 73 0 0 0,10-45 232 0 0,-5-1 0 0 0,-23 110 1 0 0,-12-27-54 0 0,40-160-208 0 0,1-1 0 0 0,1 0 0 0 0,0 1 0 0 0,1 16 0 0 0,-8 19 64 0 0,4-29-56 0 0,4-14-16 0 0,0 0 1 0 0,-1 1 0 0 0,0-1 0 0 0,-5 13-1 0 0,4-13-26 0 0,3-5 0 0 0,-1-1 1 0 0,1 0-1 0 0,0 1 1 0 0,-1-1-1 0 0,1 1 1 0 0,-1-1-1 0 0,0 0 0 0 0,0 1 1 0 0,1-1-1 0 0,-1 0 1 0 0,0 1-1 0 0,0-1 1 0 0,0 0-1 0 0,0 0 1 0 0,0 0-1 0 0,-2 1 0 0 0,-1 1-22 0 0,-35 47-398 0 0,15-14 582 0 0,22-34 32 0 0,1 2-2 0 0,-7 9-3 0 0,6-10 187 0 0,-1 0-200 0 0,-10 8-76 0 0,10-8-18 0 0,1 0 2 0 0,-6 8 3 0 0,6-8-4 0 0,0-1-1 0 0,-17 29-104 0 0,19-30 12 0 0,0 0 0 0 0,-1 0 0 0 0,1 1-1 0 0,-1-1 1 0 0,0 0 0 0 0,1 0 0 0 0,-1 0-1 0 0,0 0 1 0 0,0 0 0 0 0,1 0 0 0 0,-1 0-1 0 0,0 0 1 0 0,-2 1 0 0 0,-10 11-249 0 0,-125 127 72 0 0,65-69 716 0 0,10-12-23 0 0,2-3-232 0 0,49-45-223 0 0,-1 0 0 0 0,-1-1 0 0 0,1 0 0 0 0,-25 13 0 0 0,-1 0-30 0 0,-54 39-315 0 0,62-39 230 0 0,-32 20-63 0 0,21-25 90 0 0,40-17 46 0 0,-1 0-1 0 0,1 0 0 0 0,0 0 0 0 0,0 0 0 0 0,-1 0 1 0 0,1 1-1 0 0,0-1 0 0 0,0 1 0 0 0,-3 2 0 0 0,3-2 0 0 0,-1 1-1 0 0,0-1 0 0 0,0 0 0 0 0,0 0 1 0 0,0-1-1 0 0,0 1 0 0 0,-3 1 0 0 0,-17 7-9 0 0,0 6-21 0 0,-21 10-58 0 0,12-8 26 0 0,19-11 50 0 0,-1 3 2 0 0,13-9 11 0 0,0 0 1 0 0,0 0-1 0 0,-1 0 0 0 0,1 0 1 0 0,-1 0-1 0 0,1 0 0 0 0,-1 0 1 0 0,1-1-1 0 0,-1 1 0 0 0,0 0 1 0 0,1-1-1 0 0,-1 1 0 0 0,0-1 1 0 0,1 0-1 0 0,-4 1 0 0 0,-42 1 33 0 0,44-2-22 0 0,-13 0 7 0 0,-18 0 87 0 0,31 0-84 0 0,-1 0 3 0 0,-10 0 2 0 0,10 0-1 0 0,-29 0 66 0 0,29 0-73 0 0,2 0 2 0 0,-10 0 2 0 0,2 1-8 0 0,6-1-7 0 0,-1 0 0 0 0,1 0 1 0 0,0-1-1 0 0,0 0 0 0 0,-1 1 0 0 0,1-1 0 0 0,0-1 0 0 0,-4-1 0 0 0,-1 1 3 0 0,8 1-8 0 0,-27 3 15 0 0,23-3-14 0 0,4 1 0 0 0,1 0-1 0 0,-1 0 0 0 0,0 0 1 0 0,0 0-1 0 0,0 0 1 0 0,0 0-1 0 0,0 0 0 0 0,0 0 1 0 0,0 0-1 0 0,0 0 1 0 0,0 0-1 0 0,0 0 1 0 0,0 1-1 0 0,0-1 0 0 0,0 0 1 0 0,-1 1-1 0 0,-11 6 1 0 0,-2 2-1 0 0,1 0 2 0 0,11-7 30 0 0,3-2-32 0 0,0 0 1 0 0,-1 0-1 0 0,1 0 1 0 0,0 0-1 0 0,-1 0 1 0 0,1 0-1 0 0,0 0 1 0 0,-1 0-1 0 0,1 0 1 0 0,0 1-1 0 0,0-1 1 0 0,-1 0-1 0 0,1 0 1 0 0,0 0-1 0 0,-1 0 1 0 0,1 1-1 0 0,0-1 1 0 0,0 0-1 0 0,-1 0 1 0 0,1 0-1 0 0,0 1 1 0 0,0-1-1 0 0,0 0 1 0 0,-1 0-1 0 0,1 1 1 0 0,0-1-1 0 0,0 0 1 0 0,0 1-1 0 0,-1-1 3 0 0,1 1 0 0 0,0-1 0 0 0,0 1-1 0 0,-1-1 1 0 0,1 0 0 0 0,0 1 0 0 0,-1-1-1 0 0,1 0 1 0 0,0 1 0 0 0,-1-1 0 0 0,1 0-1 0 0,-1 1 1 0 0,1-1 0 0 0,0 0 0 0 0,-1 0 0 0 0,1 1-1 0 0,-1-1 1 0 0,1 0 0 0 0,-1 0 0 0 0,1 0-1 0 0,-1 0 1 0 0,1 0 0 0 0,-1 0 0 0 0,1 0-1 0 0,-1 0 1 0 0,1 0 0 0 0,-1 0 0 0 0,0 0-1 0 0,-29 0 78 0 0,27 0-66 0 0,-14 6-60 0 0,3 1 33 0 0,11-6 26 0 0,3 0-12 0 0,0-1 0 0 0,0 0-1 0 0,0 1 1 0 0,-1-1-1 0 0,1 0 1 0 0,0 0-1 0 0,0 1 1 0 0,0-1 0 0 0,-1 0-1 0 0,1 0 1 0 0,0 1-1 0 0,-1-1 1 0 0,1 0-1 0 0,0 0 1 0 0,-1 0-1 0 0,1 0 1 0 0,0 1 0 0 0,-1-1-1 0 0,1 0 1 0 0,0 0-1 0 0,-1 0 1 0 0,1 0-1 0 0,0 0 1 0 0,-1 0-1 0 0,0 0 1 0 0,-14 6 32 0 0,-13 14-24 0 0,26-18-9 0 0,-6 7 6 0 0,-17 19-15 0 0,22-23 5 0 0,0-1-6 0 0,0-2 2 0 0,-10 7-1 0 0,9-6-4 0 0,-10 8-14 0 0,11-8 12 0 0,-13 5-63 0 0,12-7 67 0 0,-9 5-4 0 0,10-5-1 0 0,-17 6-448 0 0,-22-5 263 0 0,40-2 140 0 0,-15 5-158 0 0,-3-2 188 0 0,17-1 26 0 0,-8 3 10 0 0,8-3 3 0 0,0 0 0 0 0,-8 5 0 0 0,8-5 12 0 0,0-1 8 0 0,-10 5 4 0 0,10-5 64 0 0,-14 8-32 0 0,14-7-78 0 0,-44 37 124 0 0,44-36-44 0 0,0 0-30 0 0,-60 55 159 0 0,36-35-112 0 0,-44 48 0 0 0,-99 154 127 0 0,33-42-100 0 0,75-87-93 0 0,-48 54-127 0 0,73-99-58 0 0,26-38 102 0 0,1 1-1 0 0,0 0 1 0 0,-12 25-1 0 0,0-1 11 0 0,20-36 46 0 0,-1 1 68 0 0,0-2-189 0 0,2-1-10 0 0,0 1-1 0 0,0-1 1 0 0,0 1 0 0 0,0-1-1 0 0,0 1 1 0 0,0 0-1 0 0,0-1 1 0 0,0 1 0 0 0,0 0-1 0 0,0 0 1 0 0,0 0 0 0 0,-1 1-1 0 0</inkml:trace>
  <inkml:trace contextRef="#ctx0" brushRef="#br0" timeOffset="16281.95">7054 10045 9552 0 0,'0'0'505'0'0,"5"12"6"0"0,1 2-342 0 0,17 35 634 0 0,1-10-249 0 0,34 40 0 0 0,-31-45-362 0 0,-1 2 0 0 0,-2 1 0 0 0,28 56 0 0 0,-3-4-94 0 0,-12-25-52 0 0,8 7 10 0 0,17 73 225 0 0,-58-135-234 0 0,0-1 0 0 0,1 0 1 0 0,0 0-1 0 0,0 0 0 0 0,8 6 0 0 0,5 10 50 0 0,-3-7 2 0 0,4 2-3 0 0,-12-11-66 0 0,0 0 1 0 0,1 0 0 0 0,0-1-1 0 0,0-1 1 0 0,12 8 0 0 0,107 76 254 0 0,-53-34-153 0 0,-56-42-78 0 0,21 20 1 0 0,11 10 41 0 0,9 2 18 0 0,-57-45-109 0 0,1 1 0 0 0,-1 0 0 0 0,0 0 0 0 0,1 0 0 0 0,-1 0 0 0 0,0 0 0 0 0,0 0 0 0 0,0 1 0 0 0,2 3 0 0 0,4 5 2 0 0,24 22 31 0 0,-11-12 22 0 0,29 25-1 0 0,-33-29-30 0 0,1-2 1 0 0,-2-5-10 0 0,-8-5-8 0 0,-1-1 0 0 0,0 1 0 0 0,1 0 0 0 0,9 11 0 0 0,-16-15-10 0 0,1 1 1 0 0,-1-1-1 0 0,0 0 0 0 0,1 1 1 0 0,-1-1-1 0 0,0 0 1 0 0,1 0-1 0 0,0 0 0 0 0,-1 0 1 0 0,1-1-1 0 0,0 1 0 0 0,-1 0 1 0 0,4 0-1 0 0,3 2 4 0 0,119 50 106 0 0,-108-44-88 0 0,1 2 0 0 0,56 22 56 0 0,-68-30-71 0 0,-1-1 0 0 0,0 1 1 0 0,0 1-1 0 0,12 7 0 0 0,14 6 25 0 0,7-6 44 0 0,73 11 0 0 0,-111-22-76 0 0,143 33 128 0 0,-8-11-25 0 0,-96-9-79 0 0,-11-4-13 0 0,98 34 81 0 0,-80-26-93 0 0,57 12-1 0 0,-51-21 18 0 0,-6 0 22 0 0,-41-6-28 0 0,-3-2-11 0 0,18 3 0 0 0,-12-4 6 0 0,10 3-5 0 0,-15 2-3 0 0,5 2 9 0 0,67 4 112 0 0,44 21 202 0 0,-85-23-186 0 0,-2 6 38 0 0,-5-3-27 0 0,-22-8-134 0 0,-4-2 19 0 0,0 0 2 0 0,114 52 452 0 0,-114-51-462 0 0,1 0-1 0 0,29 17 36 0 0,-31-18-19 0 0,1 3-19 0 0,8 11-2 0 0,-8-12 2 0 0,-2-1-17 0 0,0-1-1 0 0,0 1 1 0 0,0-1 0 0 0,0 0-1 0 0,0 0 1 0 0,0 0 0 0 0,1 0-1 0 0,-1 0 1 0 0,0 0-1 0 0,2 1 1 0 0,2 4 15 0 0,2 8 1 0 0,19 36 25 0 0,-24-47 0 0 0,-1 1-19 0 0,5 11 3 0 0,-5-11 20 0 0,0-1-25 0 0,3 6 45 0 0,-2 0-1 0 0,1 0 0 0 0,1 11 1 0 0,-4-17-7 0 0,0 1-31 0 0,0 51 130 0 0,0-53-137 0 0,0 1-1 0 0,7 30 56 0 0,-6-29-69 0 0,0-3-8 0 0,0 0-1 0 0,0 1 1 0 0,0-1-1 0 0,-1 0 1 0 0,1 1-1 0 0,0-1 1 0 0,-1 1-1 0 0,0-1 1 0 0,1 1-1 0 0,-1 2 0 0 0,15 33 47 0 0,-14-34-32 0 0,0 0 0 0 0,13 30 40 0 0,-12-29-44 0 0,0-2-16 0 0,17 26-28 0 0,-18-25 24 0 0,1 1-9 0 0,8 11 4 0 0,-8-11 2 0 0,6 12-37 0 0,-6-12 35 0 0,3 9 2 0 0,-3-10-4 0 0,5 11-26 0 0,-6-11 26 0 0,0 1-19 0 0,1 1 16 0 0,-1-1 0 0 0,1 0 0 0 0,-1 0-1 0 0,4 5 1 0 0,-4-6 17 0 0,0 0-26 0 0,0-2 22 0 0,0 0 1 0 0,0 1-1 0 0,-1-1 0 0 0,1 0 1 0 0,0 0-1 0 0,-1 0 0 0 0,1 1 1 0 0,-1-1-1 0 0,1 0 0 0 0,-1 1 1 0 0,0 1-1 0 0,2 0-24 0 0,-1 1 3 0 0,2 10 4 0 0,-2-10 4 0 0,-1 16-36 0 0,-1-19 51 0 0,1 0 0 0 0,-1 0 0 0 0,0 0 1 0 0,1 1-1 0 0,-1-1 0 0 0,0 0 0 0 0,1 0 1 0 0,-1 1-1 0 0,1-1 0 0 0,0 0 0 0 0,-1 2 0 0 0,0 0-14 0 0,-3 1-22 0 0,-11 9 23 0 0,14-13 14 0 0,0 1-1 0 0,0-1 1 0 0,0 1-1 0 0,0-1 0 0 0,0 1 1 0 0,0-1-1 0 0,0 0 1 0 0,0 1-1 0 0,0-1 0 0 0,0 0 1 0 0,0 0-1 0 0,0 0 1 0 0,0 0-1 0 0,0 0 0 0 0,-1 0 1 0 0,1 0-1 0 0,0 0 0 0 0,0-1 1 0 0,0 1-1 0 0,-1-1 1 0 0,-18-7-15 0 0,19 8 16 0 0,-26-20-12 0 0,-23-18-2332 0 0,39 29-9368 0 0</inkml:trace>
  <inkml:trace contextRef="#ctx0" brushRef="#br0" timeOffset="17982.42">817 12464 9728 0 0,'0'0'3733'0'0,"-9"12"-4098"0"0,-28 37 373 0 0,2-7 12 0 0,29-32 0 0 0,-2 7 20 0 0,-36 51 61 0 0,39-59-96 0 0,1-2-2 0 0,0 0 1 0 0,-1 0 0 0 0,0-1 0 0 0,0 1-1 0 0,0-1 1 0 0,-1-1 0 0 0,-8 7 0 0 0,-17 14 12 0 0,-1 4 316 0 0,-46 34 0 0 0,64-50-202 0 0,13-13-121 0 0,0 0 0 0 0,1 0 0 0 0,-1 1 0 0 0,0-1 0 0 0,0 0 0 0 0,0-1 0 0 0,0 1-1 0 0,0 0 1 0 0,-1 0 0 0 0,1 0 0 0 0,0-1 0 0 0,0 1 0 0 0,0 0 0 0 0,-2 0 0 0 0,-15 11 203 0 0,1 1 0 0 0,0 0 0 0 0,-24 27 0 0 0,34-33-124 0 0,1 1 0 0 0,0 0 0 0 0,0 0 0 0 0,1 1 0 0 0,0-1 0 0 0,0 1 0 0 0,1 0 0 0 0,0 1 0 0 0,-4 14 0 0 0,-9 30-330 0 0,13-39-2 0 0,4-14 239 0 0,-1 0-1 0 0,1 0 1 0 0,-1 1 0 0 0,1-1 0 0 0,0 0 0 0 0,0 1 0 0 0,-1-1 0 0 0,1 0 0 0 0,0 1-1 0 0,0-1 1 0 0,0 0 0 0 0,1 0 0 0 0,-1 1 0 0 0,0-1 0 0 0,1 2 0 0 0,16 54 333 0 0,-14-48-220 0 0,0 0 1 0 0,0 0 0 0 0,1 9 0 0 0,0-1 38 0 0,-1-9-65 0 0,-1 1-1 0 0,0-1 1 0 0,0 1-1 0 0,-1 0 1 0 0,0-1-1 0 0,-1 1 1 0 0,0 17 0 0 0,-1-3 18 0 0,-7 57 243 0 0,7-72-290 0 0,1 0 0 0 0,-1 0 0 0 0,-4 13-1 0 0,4-12-35 0 0,-6 60-114 0 0,-2-12 151 0 0,8-54-54 0 0,0 1-1 0 0,1 0 0 0 0,-1-1 0 0 0,1 1 0 0 0,0 0 0 0 0,0 0 0 0 0,0-1 0 0 0,0 1 0 0 0,0 0 0 0 0,1-1 0 0 0,1 5 0 0 0,2 11-33 0 0,1 33-1 0 0,-3-30 27 0 0,5 1 2 0 0,14 28-21 0 0,-18-38 10 0 0,-1-6 8 0 0,0 0 1 0 0,-1 0-1 0 0,2-1 1 0 0,-1 1 0 0 0,5 7-1 0 0,29 56 69 0 0,-25-51-58 0 0,-9-13-3 0 0,-2 20 9 0 0,7 100-166 0 0,-6-71 126 0 0,-1 15 13 0 0,0-60 10 0 0,-1 12-17 0 0,2 0-1 0 0,0 0 1 0 0,1-1-1 0 0,8 36 1 0 0,-8-51 12 0 0,-1 0 0 0 0,0 1 0 0 0,0-1-1 0 0,0 10 1 0 0,2 13-27 0 0,0-12 34 0 0,-1 1 0 0 0,1 21 0 0 0,-3-24 42 0 0,1 0 0 0 0,1 0 1 0 0,4 19-1 0 0,0-8 29 0 0,5 51 1 0 0,-6-36-53 0 0,-1 4-62 0 0,-4 66 1 0 0,0-54-75 0 0,-6-2 37 0 0,1-15 70 0 0,-4 46-16 0 0,-2 74-12 0 0,9-122 56 0 0,-1 0 1 0 0,-1-1 0 0 0,-13 48-1 0 0,-40 111-35 0 0,38-135 8 0 0,-9 30 12 0 0,-88 310-16 0 0,105-348 19 0 0,1 0-1 0 0,3 1 1 0 0,3 0-1 0 0,2 65 0 0 0,2-107 31 0 0,1 6 159 0 0,4 34 0 0 0,12 33-2700 0 0</inkml:trace>
  <inkml:trace contextRef="#ctx0" brushRef="#br0" timeOffset="20133.61">10124 12265 9816 0 0,'0'0'3384'0'0,"4"12"-3312"0"0,13 35-30 0 0,-17-47-46 0 0,1 1 1 0 0,-1 0-1 0 0,1 0 0 0 0,-1-1 0 0 0,0 1 0 0 0,1 0 0 0 0,-1 0 0 0 0,0 0 1 0 0,0 0-1 0 0,0-1 0 0 0,0 1 0 0 0,0 0 0 0 0,1 0 0 0 0,-2 0 0 0 0,1 0 1 0 0,0-1-1 0 0,0 1 0 0 0,0 1 0 0 0,-7 22-115 0 0,0 1 1 0 0,2 0-1 0 0,1 0 0 0 0,-1 25 1 0 0,7-38 72 0 0,-1-1 0 0 0,2 0 0 0 0,-1 0 1 0 0,9 21-1 0 0,-4-11-5 0 0,-1-5 29 0 0,0-1 0 0 0,0 0 0 0 0,2 0 0 0 0,15 24 0 0 0,45 47 33 0 0,-18-26 169 0 0,-41-47-147 0 0,0 1-1 0 0,0 0 1 0 0,-2 1 0 0 0,1-1-1 0 0,-2 1 1 0 0,0 1 0 0 0,-1-1-1 0 0,-1 1 1 0 0,0 0 0 0 0,-1 0-1 0 0,1 18 1 0 0,-9 199 675 0 0,0-9-153 0 0,7-177-401 0 0,3 1 0 0 0,1-1 1 0 0,15 51-1 0 0,-7-55-7 0 0,3 8 10 0 0,-6-5-26 0 0,-6-27-61 0 0,-1 0-1 0 0,0 1 0 0 0,2 36 0 0 0,-27 247 349 0 0,8-156-276 0 0,7-75-69 0 0,-8 159 125 0 0,2-31 10 0 0,5-165-168 0 0,1 7 9 0 0,5-34-32 0 0,0 0 1 0 0,-1 0-1 0 0,0 1 0 0 0,0-2 1 0 0,-6 13-1 0 0,2-4 13 0 0,-1 12 51 0 0,0-1-1 0 0,-4 50 1 0 0,9-63-62 0 0,-1 0 0 0 0,0 0-1 0 0,-6 15 1 0 0,-2 12 24 0 0,-3 11 53 0 0,-35 85 0 0 0,33-98-64 0 0,-6 13 22 0 0,13-32-31 0 0,0 0-1 0 0,2 1 1 0 0,-8 32-1 0 0,13-45-16 0 0,-4 25 30 0 0,1-1-1 0 0,-1 45 0 0 0,5-47-9 0 0,0-9-11 0 0,2 31 0 0 0,0 88 97 0 0,-1-136-109 0 0,0 0 0 0 0,0 0 0 0 0,-1-1 0 0 0,1 1 0 0 0,-1 0 0 0 0,0 0 0 0 0,0 0 0 0 0,-3 7 0 0 0,2-6 1 0 0,-11 31 2 0 0,9-27 6 0 0,2-7-11 0 0,0 2 7 0 0,0 0-1 0 0,1 0 1 0 0,0 1 0 0 0,0-1-1 0 0,0 0 1 0 0,0 0 0 0 0,1 1 0 0 0,0 4-1 0 0,-2 10 17 0 0,0 8 42 0 0,3 47-1 0 0,0-36-57 0 0,0-35-2 0 0,-1 1-1 0 0,0-1 1 0 0,1 1 0 0 0,0-1 0 0 0,0 1 0 0 0,2 3-1 0 0,-2-1 1 0 0,-1-6-5 0 0,0 1 0 0 0,0 0 0 0 0,0-1 0 0 0,0 1 0 0 0,1-1 0 0 0,-1 1 0 0 0,0 0 0 0 0,0-1 0 0 0,0 1 0 0 0,0-1-1 0 0,1 1 1 0 0,-1 0 0 0 0,0-1 0 0 0,1 1 0 0 0,-1-1 0 0 0,0 1 0 0 0,1-1 0 0 0,-1 1 0 0 0,1-1 0 0 0,-1 1 0 0 0,1 0-1 0 0,0-1 1 0 0,-1 0 0 0 0,1 1 0 0 0,-1-1 0 0 0,1 1 0 0 0,-1-1 0 0 0,1 1 0 0 0,-1-1-1 0 0,0 1 1 0 0,1-1 0 0 0,-1 1 0 0 0,0 0 0 0 0,0-1 0 0 0,1 1 0 0 0,-1-1-1 0 0,0 1 1 0 0,0 0 0 0 0,0-1 0 0 0,0 1 0 0 0,1 0 0 0 0,-1-1 0 0 0,0 1 0 0 0,-1 0-1 0 0,9 41 58 0 0,-4-22 8 0 0,-1 0-1 0 0,2 32 1 0 0,-5 110 222 0 0,1-138-228 0 0,1 0-1 0 0,5 24 1 0 0,-2-21-2 0 0,-2 0 0 0 0,1 31 0 0 0,-4-20-30 0 0,0-38-28 0 0,0 1 0 0 0,0-1-1 0 0,0 1 1 0 0,0-1 0 0 0,1 1-1 0 0,-2 0 1 0 0,1-1 0 0 0,0 1-1 0 0,0-1 1 0 0,0 1-1 0 0,0-1 1 0 0,0 1 0 0 0,0 0-1 0 0,-1-1 1 0 0,1 1 0 0 0,0-1-1 0 0,0 1 1 0 0,-1-1 0 0 0,1 1-1 0 0,0-1 1 0 0,-1 1-1 0 0,-6 12-9 0 0,6-10 9 0 0,0 3-5 0 0,-1 1 0 0 0,0-1 0 0 0,-1 0 0 0 0,1 0 0 0 0,-1 0 0 0 0,0 0 0 0 0,-7 8-1 0 0,-3-1-17 0 0,10-10 0 0 0,-14 0-24 0 0,9-6 24 0 0,3-1 11 0 0,-1 0 0 0 0,0-1 0 0 0,1 0-1 0 0,0 0 1 0 0,0 0 0 0 0,0-1-1 0 0,0 1 1 0 0,1-1 0 0 0,0 0-1 0 0,1 0 1 0 0,-6-11 0 0 0,-5-17-78 0 0,-12-46-1 0 0,22 68 88 0 0,-29-94-2316 0 0,26 82-9213 0 0</inkml:trace>
  <inkml:trace contextRef="#ctx0" brushRef="#br0" timeOffset="21689.42">217 13388 8376 0 0,'0'0'3705'0'0,"7"12"-3716"0"0,21 37-2 0 0,-28-49 13 0 0,1 1-1 0 0,-1-1 1 0 0,1 1-1 0 0,-1-1 1 0 0,1 1 0 0 0,-1-1-1 0 0,0 1 1 0 0,1-1-1 0 0,-1 1 1 0 0,0 0-1 0 0,1-1 1 0 0,-1 1 0 0 0,0 0-1 0 0,0-1 1 0 0,0 1-1 0 0,0 0 1 0 0,1-1 0 0 0,-1 1-1 0 0,0 0 1 0 0,0-1-1 0 0,0 1 1 0 0,0 0 0 0 0,-1-1-1 0 0,1 1 1 0 0,0 1-1 0 0,-13 32-35 0 0,0-2 136 0 0,2 0 0 0 0,-7 33 0 0 0,10-33 91 0 0,-2-1 0 0 0,-1 0-1 0 0,-1-1 1 0 0,-1 0 0 0 0,-29 45-1 0 0,-2 18 181 0 0,34-74-313 0 0,2 1 1 0 0,0-1-1 0 0,1 1 1 0 0,0 1-1 0 0,-5 37 1 0 0,7-27 12 0 0,2-1 0 0 0,2 1 0 0 0,2 45 0 0 0,4-29-90 0 0,3 1 0 0 0,1-2 1 0 0,3 1-1 0 0,1-1 0 0 0,3-1 1 0 0,23 49-1 0 0,35 58 260 0 0,7 18 277 0 0,-54-97-307 0 0,-4 1 1 0 0,25 136-1 0 0,-23-89-301 0 0,50 176-230 0 0,-11-107 1274 0 0,-43-132-739 0 0,-11-27-153 0 0,-2 1 0 0 0,-1 0 0 0 0,-1 0 0 0 0,-2 1 0 0 0,0 65 0 0 0,-8-22 59 0 0,-18 109 0 0 0,4-84-64 0 0,-14 117 24 0 0,26-170-71 0 0,-18 71 1 0 0,11-61-10 0 0,-47 182-1 0 0,38-151 17 0 0,-15 81 166 0 0,28-110-120 0 0,-2 2-22 0 0,-3 101 1 0 0,4-38 75 0 0,0-25-46 0 0,6-10-23 0 0,-3 80 36 0 0,8-113 55 0 0,10 74 0 0 0,-5-86-470 0 0,2 62 0 0 0,0 80-527 0 0,-2-55 1818 0 0,-3-88-848 0 0,1-1 0 0 0,3 0 0 0 0,1 0 0 0 0,18 51 0 0 0,-15-67-74 0 0,1-1 0 0 0,1-1-1 0 0,2 0 1 0 0,0-1 0 0 0,31 38-1 0 0,-18-25 17 0 0,52 59 58 0 0,-42-39-55 0 0,51 107 0 0 0,-59-95-23 0 0,-21-46-35 0 0,0 0 0 0 0,23 37-1 0 0,-22-44-7 0 0,-6-9 3 0 0,1 0 0 0 0,-1 0 1 0 0,9 8-1 0 0,13 13 6 0 0,2-3 18 0 0,3-2 4 0 0,-24-18-16 0 0,13 11-11 0 0,0 1 1 0 0,29 33-1 0 0,-5 9-75 0 0,-3 2 0 0 0,62 122 0 0 0,-96-169-146 0 0,0 0 0 0 0,1-1-1 0 0,17 23 1 0 0,-2-5-19 0 0,-23-30 275 0 0,2-1-2 0 0,-1 1-1 0 0,0 0 0 0 0,0 0 0 0 0,0-1 1 0 0,0 1-1 0 0,0 0 0 0 0,0 0 0 0 0,0 0 0 0 0,0 1 1 0 0,0-1-1 0 0,1 2 0 0 0,-1-20 202 0 0,-1 15-216 0 0,0-1-1 0 0,0 1 0 0 0,0 0 1 0 0,0-1-1 0 0,0 1 1 0 0,0 0-1 0 0,0 0 1 0 0,-1-1-1 0 0,0-2 0 0 0,-24-87-747 0 0,21 73-681 0 0,0 2-9944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6T12:52:53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333 1 9640 0 0,'0'0'3188'0'0,"3"11"-3128"0"0,8 36-4 0 0,-7-25 38 0 0,-5-18-83 0 0,1-2-20 0 0,-2 4-24 0 0,2-5 30 0 0,0-1-1 0 0,0 1 1 0 0,0-1 0 0 0,0 1 0 0 0,0-1 0 0 0,0 1-1 0 0,-1-1 1 0 0,1 1 0 0 0,0-1 0 0 0,0 1-1 0 0,0-1 1 0 0,0 0 0 0 0,0 1 0 0 0,-1-1-1 0 0,1 1 1 0 0,0-1 0 0 0,0 1 0 0 0,-1-1-1 0 0,1 0 1 0 0,0 1 0 0 0,-1-1 0 0 0,1 0 0 0 0,0 1-1 0 0,-1-1 1 0 0,1 0 0 0 0,-2 1 0 0 0,-4 1 30 0 0,0-1 0 0 0,0 0 0 0 0,0 0 1 0 0,0-1-1 0 0,-7 0 0 0 0,-32 4 78 0 0,39-3-100 0 0,-1 1 1 0 0,2 0-1 0 0,-1 1 1 0 0,-10 5 0 0 0,8-4-17 0 0,1 0 1 0 0,-1-1-1 0 0,0 0 1 0 0,0 0 0 0 0,-12 2-1 0 0,7-1-29 0 0,9-3-9 0 0,-30-3-79 0 0,15 4 233 0 0,12-5-96 0 0,2 1-15 0 0,0-1 0 0 0,0 1 0 0 0,0 1 0 0 0,0-1 0 0 0,0 1 0 0 0,-9-1 0 0 0,11-1-1 0 0,-10-8 11 0 0,9 8 133 0 0,2 2-102 0 0,1 1-26 0 0,1-1 0 0 0,0 1-1 0 0,0 0 1 0 0,-1 0 0 0 0,1 0 0 0 0,0 0 0 0 0,0-1 0 0 0,-1 1 0 0 0,1 0-1 0 0,0 0 1 0 0,-1 0 0 0 0,1 0 0 0 0,0 0 0 0 0,-1 0 0 0 0,1 0-1 0 0,0 0 1 0 0,-1 0 0 0 0,1 0 0 0 0,0 0 0 0 0,0 0 0 0 0,-1 0-1 0 0,1 0 1 0 0,0 0 0 0 0,-1 0 0 0 0,1 0 0 0 0,0 1 0 0 0,-1-1 0 0 0,1 0-1 0 0,0 0 1 0 0,0 0 0 0 0,-1 0 0 0 0,1 1 0 0 0,0-1 0 0 0,0 0-1 0 0,-1 0 1 0 0,4 12 236 0 0,-2-10-304 0 0,0 2 42 0 0,4 10-47 0 0,8 21-63 0 0,-13-34 127 0 0,1-1-1 0 0,-1 1 1 0 0,0-1-1 0 0,1 1 1 0 0,-1-1 0 0 0,0 1-1 0 0,1 0 1 0 0,-1-1 0 0 0,0 1-1 0 0,0 0 1 0 0,0-1 0 0 0,1 1-1 0 0,-1 0 1 0 0,0-1-1 0 0,0 1 1 0 0,0 0 0 0 0,0-1-1 0 0,0 1 1 0 0,0 0 0 0 0,-1-1-1 0 0,1 1 1 0 0,0 0 0 0 0,0 0-1 0 0,-1 0 5 0 0,1 0 0 0 0,0 0 0 0 0,-1 0 0 0 0,1-1 0 0 0,0 1 0 0 0,0 0-1 0 0,0 0 1 0 0,0 0 0 0 0,0 0 0 0 0,0 0 0 0 0,0 0 0 0 0,0 0 0 0 0,0 0 0 0 0,1 0 0 0 0,-1-1-1 0 0,0 1 1 0 0,1 2 0 0 0,17 63 215 0 0,-17-61-188 0 0,0 1-1 0 0,1-1 1 0 0,0 0 0 0 0,0 0-1 0 0,0 0 1 0 0,3 5 0 0 0,2 7 57 0 0,2 41 208 0 0,-9-58-294 0 0,0 0 0 0 0,0 1 0 0 0,0-1 1 0 0,0 1-1 0 0,0-1 0 0 0,0 1 0 0 0,0-1 1 0 0,0 1-1 0 0,0-1 0 0 0,0 1 1 0 0,0-1-1 0 0,0 0 0 0 0,0 1 0 0 0,0-1 1 0 0,1 1-1 0 0,-1-1 0 0 0,0 1 0 0 0,0-1 1 0 0,0 0-1 0 0,1 1 0 0 0,-1-1 0 0 0,0 0 1 0 0,0 1-1 0 0,1-1 0 0 0,-1 0 1 0 0,0 1-1 0 0,1-1 0 0 0,-1 0 0 0 0,1 1 1 0 0,0-1-1 0 0,-1 0 1 0 0,1 1-1 0 0,-1-1 1 0 0,0 0 0 0 0,1 1-1 0 0,-1-1 1 0 0,1 0 0 0 0,-1 1-1 0 0,0-1 1 0 0,1 1-1 0 0,-1-1 1 0 0,0 1 0 0 0,0-1-1 0 0,1 1 1 0 0,-1-1-1 0 0,0 0 1 0 0,0 1 0 0 0,0 0-1 0 0,1-1 1 0 0,-1 1-1 0 0,0-1 1 0 0,0 1 0 0 0,0-1-1 0 0,0 1 1 0 0,0 0 0 0 0,2 12 54 0 0,0 0 1 0 0,2 1 0 0 0,-1-1 0 0 0,9 19 0 0 0,13 15 94 0 0,-25-46-149 0 0,1 0 0 0 0,-1 0 1 0 0,0 0-1 0 0,1 0 0 0 0,-1 0 0 0 0,1 0 1 0 0,-1 0-1 0 0,1 0 0 0 0,0 0 0 0 0,-1 0 1 0 0,1-1-1 0 0,0 1 0 0 0,-1 0 1 0 0,1 0-1 0 0,0-1 0 0 0,1 2 0 0 0,12 10 51 0 0,85 97 197 0 0,-86-93-220 0 0,-1 1 0 0 0,-1 0 0 0 0,0 1 0 0 0,-1 0 0 0 0,-1 1 0 0 0,-1 0 0 0 0,-1 0 0 0 0,-1 0 0 0 0,0 1 0 0 0,5 41 0 0 0,9 105 90 0 0,-5-26-32 0 0,-4-87-69 0 0,3-1 1 0 0,1-1 0 0 0,23 49 0 0 0,-9-24-8 0 0,-11-25 35 0 0,20 91 0 0 0,-16-63 41 0 0,-13-46-13 0 0,2-1 0 0 0,28 61 0 0 0,8 21 72 0 0,5 58-13 0 0,-44-140-101 0 0,-2 1 0 0 0,-2 0 1 0 0,2 49-1 0 0,-7-29 16 0 0,0-20-2 0 0,1 0 0 0 0,1 0 0 0 0,8 43 0 0 0,5 24-7 0 0,-6-33-12 0 0,18 137 49 0 0,-8-97-154 0 0,22 110 104 0 0,-7-68-55 0 0,26 304 0 0 0,-53-58 73 0 0,-8-231-39 0 0,3-72-3 0 0,-2 98 72 0 0,-25 60 149 0 0,10-117-105 0 0,13-111-103 0 0,-22 328 246 0 0,25-316-232 0 0,-7 257-30 0 0,1-137-33 0 0,5-121 42 0 0,1 0-1 0 0,2 0 1 0 0,7 45-1 0 0,33 95 25 0 0,-21-89-66 0 0,-4 1 0 0 0,12 163 0 0 0,-31 22-41 0 0,-2-178 42 0 0,-3 10-103 0 0,-23 104 0 0 0,3-28 60 0 0,21-126 60 0 0,-10 80-44 0 0,0 175 0 0 0,16-288 53 0 0,1 1 0 0 0,2-1 0 0 0,6 31-1 0 0,-7-44 6 0 0,-1 0 0 0 0,2 0-1 0 0,-1 1 1 0 0,1-2-1 0 0,0 1 1 0 0,0 0 0 0 0,0 0-1 0 0,1-1 1 0 0,0 0 0 0 0,0 0-1 0 0,0 0 1 0 0,1 0 0 0 0,-1-1-1 0 0,7 5 1 0 0,-10-8 10 0 0,1 0 0 0 0,-1 0 1 0 0,1 0-1 0 0,0 0 0 0 0,-1-1 0 0 0,1 1 1 0 0,0-1-1 0 0,0 1 0 0 0,-1-1 0 0 0,1 1 1 0 0,0-1-1 0 0,0 0 0 0 0,0 0 0 0 0,-1 0 1 0 0,1 0-1 0 0,0 0 0 0 0,0 0 0 0 0,0 0 1 0 0,0-1-1 0 0,-1 1 0 0 0,1-1 0 0 0,0 1 1 0 0,0-1-1 0 0,-1 0 0 0 0,1 0 0 0 0,1-1 1 0 0,2-1 8 0 0,0-1 1 0 0,0 0-1 0 0,-1 0 1 0 0,1-1 0 0 0,-1 1-1 0 0,0-1 1 0 0,-1 0 0 0 0,4-6-1 0 0,28-48-2205 0 0,-28 46-8854 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8.575376967594" createdVersion="8" refreshedVersion="8" minRefreshableVersion="3" recordCount="1000" xr:uid="{51230F3D-AF2A-4BE8-AD82-CB250DB2406D}">
  <cacheSource type="worksheet">
    <worksheetSource name="SalesData3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1T00:00:00" count="342">
        <d v="2025-04-13T00:00:00"/>
        <d v="2025-03-29T00:00:00"/>
        <d v="2025-10-04T00:00:00"/>
        <d v="2025-02-24T00:00:00"/>
        <d v="2025-03-30T00:00:00"/>
        <d v="2025-09-21T00:00:00"/>
        <d v="2025-11-06T00:00:00"/>
        <d v="2025-07-09T00:00:00"/>
        <d v="2025-12-11T00:00:00"/>
        <d v="2025-10-16T00:00:00"/>
        <d v="2025-02-02T00:00:00"/>
        <d v="2025-09-14T00:00:00"/>
        <d v="2025-06-28T00:00:00"/>
        <d v="2025-03-27T00:00:00"/>
        <d v="2025-12-14T00:00:00"/>
        <d v="2025-12-25T00:00:00"/>
        <d v="2025-06-29T00:00:00"/>
        <d v="2025-04-23T00:00:00"/>
        <d v="2025-05-06T00:00:00"/>
        <d v="2025-09-12T00:00:00"/>
        <d v="2025-11-22T00:00:00"/>
        <d v="2025-05-08T00:00:00"/>
        <d v="2025-04-22T00:00:00"/>
        <d v="2025-08-21T00:00:00"/>
        <d v="2025-12-04T00:00:00"/>
        <d v="2025-05-15T00:00:00"/>
        <d v="2025-10-31T00:00:00"/>
        <d v="2025-06-10T00:00:00"/>
        <d v="2025-05-07T00:00:00"/>
        <d v="2025-09-04T00:00:00"/>
        <d v="2025-05-23T00:00:00"/>
        <d v="2025-02-27T00:00:00"/>
        <d v="2025-04-18T00:00:00"/>
        <d v="2025-05-04T00:00:00"/>
        <d v="2025-04-27T00:00:00"/>
        <d v="2025-04-06T00:00:00"/>
        <d v="2025-02-16T00:00:00"/>
        <d v="2025-09-07T00:00:00"/>
        <d v="2025-06-09T00:00:00"/>
        <d v="2025-04-11T00:00:00"/>
        <d v="2025-02-04T00:00:00"/>
        <d v="2025-11-10T00:00:00"/>
        <d v="2025-12-23T00:00:00"/>
        <d v="2025-07-02T00:00:00"/>
        <d v="2025-12-08T00:00:00"/>
        <d v="2025-12-05T00:00:00"/>
        <d v="2025-02-22T00:00:00"/>
        <d v="2025-08-23T00:00:00"/>
        <d v="2025-10-10T00:00:00"/>
        <d v="2025-11-23T00:00:00"/>
        <d v="2025-12-12T00:00:00"/>
        <d v="2025-01-12T00:00:00"/>
        <d v="2025-06-27T00:00:00"/>
        <d v="2025-08-08T00:00:00"/>
        <d v="2025-01-10T00:00:00"/>
        <d v="2025-09-24T00:00:00"/>
        <d v="2025-04-15T00:00:00"/>
        <d v="2025-01-23T00:00:00"/>
        <d v="2025-02-20T00:00:00"/>
        <d v="2025-06-11T00:00:00"/>
        <d v="2025-07-24T00:00:00"/>
        <d v="2025-12-26T00:00:00"/>
        <d v="2025-02-15T00:00:00"/>
        <d v="2025-11-15T00:00:00"/>
        <d v="2025-01-28T00:00:00"/>
        <d v="2025-10-01T00:00:00"/>
        <d v="2025-08-19T00:00:00"/>
        <d v="2025-03-08T00:00:00"/>
        <d v="2025-02-11T00:00:00"/>
        <d v="2025-03-16T00:00:00"/>
        <d v="2025-06-22T00:00:00"/>
        <d v="2025-05-20T00:00:00"/>
        <d v="2025-11-17T00:00:00"/>
        <d v="2025-11-14T00:00:00"/>
        <d v="2025-10-23T00:00:00"/>
        <d v="2025-05-05T00:00:00"/>
        <d v="2025-04-14T00:00:00"/>
        <d v="2025-12-31T00:00:00"/>
        <d v="2025-04-05T00:00:00"/>
        <d v="2025-10-29T00:00:00"/>
        <d v="2025-12-22T00:00:00"/>
        <d v="2025-07-01T00:00:00"/>
        <d v="2025-11-09T00:00:00"/>
        <d v="2025-12-13T00:00:00"/>
        <d v="2025-12-10T00:00:00"/>
        <d v="2025-03-25T00:00:00"/>
        <d v="2025-08-03T00:00:00"/>
        <d v="2025-01-18T00:00:00"/>
        <d v="2025-12-15T00:00:00"/>
        <d v="2025-06-14T00:00:00"/>
        <d v="2025-05-27T00:00:00"/>
        <d v="2025-01-11T00:00:00"/>
        <d v="2025-04-25T00:00:00"/>
        <d v="2025-06-03T00:00:00"/>
        <d v="2025-01-27T00:00:00"/>
        <d v="2025-10-09T00:00:00"/>
        <d v="2025-12-03T00:00:00"/>
        <d v="2025-08-17T00:00:00"/>
        <d v="2025-11-01T00:00:00"/>
        <d v="2025-06-25T00:00:00"/>
        <d v="2025-07-07T00:00:00"/>
        <d v="2025-02-03T00:00:00"/>
        <d v="2025-03-06T00:00:00"/>
        <d v="2025-07-12T00:00:00"/>
        <d v="2025-07-17T00:00:00"/>
        <d v="2025-03-04T00:00:00"/>
        <d v="2025-08-29T00:00:00"/>
        <d v="2025-01-20T00:00:00"/>
        <d v="2025-01-09T00:00:00"/>
        <d v="2025-02-06T00:00:00"/>
        <d v="2025-07-05T00:00:00"/>
        <d v="2025-02-28T00:00:00"/>
        <d v="2025-01-07T00:00:00"/>
        <d v="2025-06-07T00:00:00"/>
        <d v="2025-08-12T00:00:00"/>
        <d v="2025-07-11T00:00:00"/>
        <d v="2025-11-02T00:00:00"/>
        <d v="2025-10-12T00:00:00"/>
        <d v="2025-10-15T00:00:00"/>
        <d v="2025-01-21T00:00:00"/>
        <d v="2025-06-12T00:00:00"/>
        <d v="2025-04-03T00:00:00"/>
        <d v="2025-01-24T00:00:00"/>
        <d v="2025-08-16T00:00:00"/>
        <d v="2025-07-23T00:00:00"/>
        <d v="2025-08-09T00:00:00"/>
        <d v="2025-05-11T00:00:00"/>
        <d v="2025-12-16T00:00:00"/>
        <d v="2025-06-01T00:00:00"/>
        <d v="2025-12-01T00:00:00"/>
        <d v="2025-08-25T00:00:00"/>
        <d v="2025-01-14T00:00:00"/>
        <d v="2025-05-10T00:00:00"/>
        <d v="2025-06-13T00:00:00"/>
        <d v="2025-09-23T00:00:00"/>
        <d v="2025-05-01T00:00:00"/>
        <d v="2025-11-30T00:00:00"/>
        <d v="2025-09-02T00:00:00"/>
        <d v="2025-10-26T00:00:00"/>
        <d v="2025-10-21T00:00:00"/>
        <d v="2025-04-24T00:00:00"/>
        <d v="2025-01-01T00:00:00"/>
        <d v="2025-11-20T00:00:00"/>
        <d v="2025-10-06T00:00:00"/>
        <d v="2025-07-18T00:00:00"/>
        <d v="2025-12-30T00:00:00"/>
        <d v="2025-01-02T00:00:00"/>
        <d v="2025-10-25T00:00:00"/>
        <d v="2025-05-21T00:00:00"/>
        <d v="2025-03-01T00:00:00"/>
        <d v="2025-03-19T00:00:00"/>
        <d v="2025-02-05T00:00:00"/>
        <d v="2025-02-18T00:00:00"/>
        <d v="2025-10-27T00:00:00"/>
        <d v="2025-12-20T00:00:00"/>
        <d v="2025-11-07T00:00:00"/>
        <d v="2025-09-29T00:00:00"/>
        <d v="2025-03-07T00:00:00"/>
        <d v="2025-10-08T00:00:00"/>
        <d v="2025-01-25T00:00:00"/>
        <d v="2025-01-05T00:00:00"/>
        <d v="2025-04-09T00:00:00"/>
        <d v="2025-07-10T00:00:00"/>
        <d v="2025-02-21T00:00:00"/>
        <d v="2025-08-20T00:00:00"/>
        <d v="2025-12-09T00:00:00"/>
        <d v="2025-04-19T00:00:00"/>
        <d v="2025-07-30T00:00:00"/>
        <d v="2025-08-11T00:00:00"/>
        <d v="2025-06-18T00:00:00"/>
        <d v="2025-06-30T00:00:00"/>
        <d v="2025-05-02T00:00:00"/>
        <d v="2025-12-19T00:00:00"/>
        <d v="2025-04-21T00:00:00"/>
        <d v="2025-05-12T00:00:00"/>
        <d v="2025-02-07T00:00:00"/>
        <d v="2025-06-08T00:00:00"/>
        <d v="2025-08-28T00:00:00"/>
        <d v="2025-03-02T00:00:00"/>
        <d v="2025-10-07T00:00:00"/>
        <d v="2025-12-02T00:00:00"/>
        <d v="2025-05-28T00:00:00"/>
        <d v="2025-03-23T00:00:00"/>
        <d v="2025-03-09T00:00:00"/>
        <d v="2025-06-17T00:00:00"/>
        <d v="2025-08-15T00:00:00"/>
        <d v="2025-09-25T00:00:00"/>
        <d v="2025-05-09T00:00:00"/>
        <d v="2025-10-30T00:00:00"/>
        <d v="2025-02-08T00:00:00"/>
        <d v="2025-04-01T00:00:00"/>
        <d v="2025-07-20T00:00:00"/>
        <d v="2025-04-30T00:00:00"/>
        <d v="2025-05-22T00:00:00"/>
        <d v="2025-06-23T00:00:00"/>
        <d v="2025-06-06T00:00:00"/>
        <d v="2025-07-13T00:00:00"/>
        <d v="2025-12-06T00:00:00"/>
        <d v="2025-09-15T00:00:00"/>
        <d v="2025-01-30T00:00:00"/>
        <d v="2025-02-25T00:00:00"/>
        <d v="2025-08-22T00:00:00"/>
        <d v="2025-03-18T00:00:00"/>
        <d v="2025-12-07T00:00:00"/>
        <d v="2025-10-02T00:00:00"/>
        <d v="2025-08-04T00:00:00"/>
        <d v="2025-04-02T00:00:00"/>
        <d v="2025-08-13T00:00:00"/>
        <d v="2025-11-19T00:00:00"/>
        <d v="2025-08-10T00:00:00"/>
        <d v="2025-10-22T00:00:00"/>
        <d v="2025-09-05T00:00:00"/>
        <d v="2025-11-16T00:00:00"/>
        <d v="2025-04-10T00:00:00"/>
        <d v="2025-12-21T00:00:00"/>
        <d v="2025-01-31T00:00:00"/>
        <d v="2025-05-18T00:00:00"/>
        <d v="2025-11-08T00:00:00"/>
        <d v="2025-08-14T00:00:00"/>
        <d v="2025-09-09T00:00:00"/>
        <d v="2025-09-17T00:00:00"/>
        <d v="2025-12-28T00:00:00"/>
        <d v="2025-05-29T00:00:00"/>
        <d v="2025-12-17T00:00:00"/>
        <d v="2025-11-28T00:00:00"/>
        <d v="2025-07-25T00:00:00"/>
        <d v="2025-08-02T00:00:00"/>
        <d v="2025-06-16T00:00:00"/>
        <d v="2025-09-28T00:00:00"/>
        <d v="2025-05-31T00:00:00"/>
        <d v="2025-11-27T00:00:00"/>
        <d v="2025-01-29T00:00:00"/>
        <d v="2025-11-21T00:00:00"/>
        <d v="2025-11-18T00:00:00"/>
        <d v="2025-03-20T00:00:00"/>
        <d v="2025-10-11T00:00:00"/>
        <d v="2025-03-14T00:00:00"/>
        <d v="2025-07-31T00:00:00"/>
        <d v="2025-10-17T00:00:00"/>
        <d v="2025-08-26T00:00:00"/>
        <d v="2025-12-29T00:00:00"/>
        <d v="2025-07-26T00:00:00"/>
        <d v="2025-05-13T00:00:00"/>
        <d v="2025-03-10T00:00:00"/>
        <d v="2025-06-26T00:00:00"/>
        <d v="2025-05-14T00:00:00"/>
        <d v="2025-05-24T00:00:00"/>
        <d v="2025-05-19T00:00:00"/>
        <d v="2025-06-19T00:00:00"/>
        <d v="2025-04-04T00:00:00"/>
        <d v="2025-07-06T00:00:00"/>
        <d v="2025-06-15T00:00:00"/>
        <d v="2025-03-05T00:00:00"/>
        <d v="2025-06-05T00:00:00"/>
        <d v="2025-08-27T00:00:00"/>
        <d v="2025-03-12T00:00:00"/>
        <d v="2025-10-20T00:00:00"/>
        <d v="2025-07-03T00:00:00"/>
        <d v="2025-09-13T00:00:00"/>
        <d v="2025-09-03T00:00:00"/>
        <d v="2025-06-20T00:00:00"/>
        <d v="2025-07-29T00:00:00"/>
        <d v="2025-03-11T00:00:00"/>
        <d v="2025-03-17T00:00:00"/>
        <d v="2025-05-25T00:00:00"/>
        <d v="2025-09-26T00:00:00"/>
        <d v="2025-08-05T00:00:00"/>
        <d v="2025-09-06T00:00:00"/>
        <d v="2025-02-14T00:00:00"/>
        <d v="2025-07-16T00:00:00"/>
        <d v="2025-07-21T00:00:00"/>
        <d v="2025-10-24T00:00:00"/>
        <d v="2025-09-08T00:00:00"/>
        <d v="2025-11-11T00:00:00"/>
        <d v="2025-11-25T00:00:00"/>
        <d v="2025-04-16T00:00:00"/>
        <d v="2025-04-20T00:00:00"/>
        <d v="2025-01-22T00:00:00"/>
        <d v="2025-09-18T00:00:00"/>
        <d v="2025-03-24T00:00:00"/>
        <d v="2025-04-28T00:00:00"/>
        <d v="2025-08-06T00:00:00"/>
        <d v="2025-09-01T00:00:00"/>
        <d v="2025-06-21T00:00:00"/>
        <d v="2025-06-24T00:00:00"/>
        <d v="2025-06-02T00:00:00"/>
        <d v="2025-01-16T00:00:00"/>
        <d v="2025-05-17T00:00:00"/>
        <d v="2025-11-04T00:00:00"/>
        <d v="2025-03-13T00:00:00"/>
        <d v="2025-01-26T00:00:00"/>
        <d v="2025-11-24T00:00:00"/>
        <d v="2025-02-17T00:00:00"/>
        <d v="2025-12-27T00:00:00"/>
        <d v="2025-07-28T00:00:00"/>
        <d v="2025-07-04T00:00:00"/>
        <d v="2025-04-07T00:00:00"/>
        <d v="2025-09-20T00:00:00"/>
        <d v="2025-02-26T00:00:00"/>
        <d v="2025-08-07T00:00:00"/>
        <d v="2025-02-01T00:00:00"/>
        <d v="2025-01-17T00:00:00"/>
        <d v="2025-09-11T00:00:00"/>
        <d v="2025-08-01T00:00:00"/>
        <d v="2025-07-19T00:00:00"/>
        <d v="2025-07-14T00:00:00"/>
        <d v="2025-10-19T00:00:00"/>
        <d v="2025-03-28T00:00:00"/>
        <d v="2025-11-03T00:00:00"/>
        <d v="2025-09-16T00:00:00"/>
        <d v="2025-06-04T00:00:00"/>
        <d v="2025-10-28T00:00:00"/>
        <d v="2025-08-24T00:00:00"/>
        <d v="2025-10-13T00:00:00"/>
        <d v="2025-03-26T00:00:00"/>
        <d v="2025-08-30T00:00:00"/>
        <d v="2025-11-26T00:00:00"/>
        <d v="2025-07-15T00:00:00"/>
        <d v="2025-01-15T00:00:00"/>
        <d v="2025-02-13T00:00:00"/>
        <d v="2025-11-29T00:00:00"/>
        <d v="2025-12-24T00:00:00"/>
        <d v="2025-02-09T00:00:00"/>
        <d v="2025-09-27T00:00:00"/>
        <d v="2025-07-22T00:00:00"/>
        <d v="2025-10-05T00:00:00"/>
        <d v="2025-11-13T00:00:00"/>
        <d v="2025-01-19T00:00:00"/>
        <d v="2025-08-18T00:00:00"/>
        <d v="2025-09-10T00:00:00"/>
        <d v="2025-05-16T00:00:00"/>
        <d v="2025-04-26T00:00:00"/>
        <d v="2025-02-10T00:00:00"/>
        <d v="2025-03-31T00:00:00"/>
        <d v="2025-05-03T00:00:00"/>
        <d v="2025-07-08T00:00:00"/>
        <d v="2025-04-17T00:00:00"/>
        <d v="2025-10-18T00:00:00"/>
        <d v="2025-03-15T00:00:00"/>
        <d v="2025-03-21T00:00:00"/>
        <d v="2025-07-27T00:00:00"/>
        <d v="2025-01-13T00:00:00"/>
      </sharedItems>
    </cacheField>
    <cacheField name="Month" numFmtId="0">
      <sharedItems count="12">
        <s v="April"/>
        <s v="March"/>
        <s v="October"/>
        <s v="February"/>
        <s v="September"/>
        <s v="November"/>
        <s v="July"/>
        <s v="December"/>
        <s v="June"/>
        <s v="May"/>
        <s v="August"/>
        <s v="January"/>
      </sharedItems>
    </cacheField>
    <cacheField name="Month_No" numFmtId="0">
      <sharedItems containsSemiMixedTypes="0" containsString="0" containsNumber="1" containsInteger="1" minValue="1" maxValue="12"/>
    </cacheField>
    <cacheField name="Customer_ID" numFmtId="0">
      <sharedItems/>
    </cacheField>
    <cacheField name="State" numFmtId="0">
      <sharedItems count="10">
        <s v="Karnataka"/>
        <s v="Tamil Nadu"/>
        <s v="Telangana"/>
        <s v="West Bengal"/>
        <s v="Delhi"/>
        <s v="Rajasthan"/>
        <s v="Uttar Pradesh"/>
        <s v="Maharashtra"/>
        <s v="Madhya Pradesh"/>
        <s v="Gujarat"/>
      </sharedItems>
    </cacheField>
    <cacheField name="Sales_Channel" numFmtId="0">
      <sharedItems count="3">
        <s v="Retail Store"/>
        <s v="Marketplace"/>
        <s v="Online"/>
      </sharedItems>
    </cacheField>
    <cacheField name="Category" numFmtId="0">
      <sharedItems count="6">
        <s v="Clothing"/>
        <s v="Beauty"/>
        <s v="Electronics"/>
        <s v="Office Supplies"/>
        <s v="Grocery"/>
        <s v="Furniture"/>
      </sharedItems>
    </cacheField>
    <cacheField name="Product" numFmtId="0">
      <sharedItems count="30">
        <s v="Jacket"/>
        <s v="Shampoo"/>
        <s v="Headphones"/>
        <s v="Jeans"/>
        <s v="Sneakers"/>
        <s v="Printer Paper"/>
        <s v="Perfume"/>
        <s v="Sunscreen"/>
        <s v="Stapler"/>
        <s v="Coffee"/>
        <s v="Laptop"/>
        <s v="Biscuits"/>
        <s v="Bookshelf"/>
        <s v="Tea"/>
        <s v="Table"/>
        <s v="T-Shirt"/>
        <s v="Cabinet"/>
        <s v="File Folder"/>
        <s v="Pen Set"/>
        <s v="Formal Shirt"/>
        <s v="Desk"/>
        <s v="Rice"/>
        <s v="Keyboard"/>
        <s v="Face Wash"/>
        <s v="Notebook"/>
        <s v="Moisturizer"/>
        <s v="Cooking Oil"/>
        <s v="Smartphone"/>
        <s v="Office Chair"/>
        <s v="Monitor"/>
      </sharedItems>
    </cacheField>
    <cacheField name="Quantity" numFmtId="0">
      <sharedItems containsSemiMixedTypes="0" containsString="0" containsNumber="1" containsInteger="1" minValue="1" maxValue="7"/>
    </cacheField>
    <cacheField name="Unit_Price_INR" numFmtId="0">
      <sharedItems containsSemiMixedTypes="0" containsString="0" containsNumber="1" minValue="62.07" maxValue="64458.79"/>
    </cacheField>
    <cacheField name="Discount_Pct" numFmtId="0">
      <sharedItems containsSemiMixedTypes="0" containsString="0" containsNumber="1" minValue="0" maxValue="0.3" count="7">
        <n v="0.2"/>
        <n v="0.15"/>
        <n v="0"/>
        <n v="0.1"/>
        <n v="0.05"/>
        <n v="0.3"/>
        <n v="0.25"/>
      </sharedItems>
    </cacheField>
    <cacheField name="Gross_Sales_INR" numFmtId="0">
      <sharedItems containsSemiMixedTypes="0" containsString="0" containsNumber="1" minValue="92.95" maxValue="448953.47"/>
    </cacheField>
    <cacheField name="Discount_Amount_INR" numFmtId="0">
      <sharedItems containsSemiMixedTypes="0" containsString="0" containsNumber="1" minValue="0" maxValue="114104.844"/>
    </cacheField>
    <cacheField name="Net_Sales_INR" numFmtId="0">
      <sharedItems containsSemiMixedTypes="0" containsString="0" containsNumber="1" minValue="74.36" maxValue="400972.98849999998"/>
    </cacheField>
    <cacheField name="Cost_INR" numFmtId="0">
      <sharedItems containsSemiMixedTypes="0" containsString="0" containsNumber="1" minValue="53.539200000000001" maxValue="312758.93102999998"/>
    </cacheField>
    <cacheField name="Profit_INR" numFmtId="0">
      <sharedItems containsSemiMixedTypes="0" containsString="0" containsNumber="1" minValue="20.820799999999998" maxValue="88214.05747"/>
    </cacheField>
    <cacheField name="Profit_Margin_Pct" numFmtId="0">
      <sharedItems containsSemiMixedTypes="0" containsString="0" containsNumber="1" minValue="21.999999999999989" maxValue="48.000000000000007"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 pivotCacheId="8761054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1"/>
    <x v="0"/>
    <x v="0"/>
    <n v="4"/>
    <s v="CUST0021"/>
    <x v="0"/>
    <x v="0"/>
    <x v="0"/>
    <x v="0"/>
    <n v="5"/>
    <n v="1508.89"/>
    <x v="0"/>
    <n v="7544.4500000000007"/>
    <n v="1508.89"/>
    <n v="6035.56"/>
    <n v="3319.558"/>
    <n v="2716.002"/>
    <n v="44.999999999999993"/>
    <s v="Debit Card"/>
  </r>
  <r>
    <s v="ORD0002"/>
    <x v="1"/>
    <x v="1"/>
    <n v="3"/>
    <s v="CUST0258"/>
    <x v="1"/>
    <x v="0"/>
    <x v="1"/>
    <x v="1"/>
    <n v="4"/>
    <n v="671.46"/>
    <x v="1"/>
    <n v="2685.84"/>
    <n v="402.87599999999998"/>
    <n v="2282.9639999999999"/>
    <n v="1187.1412800000001"/>
    <n v="1095.8227199999999"/>
    <n v="48"/>
    <s v="Cash"/>
  </r>
  <r>
    <s v="ORD0003"/>
    <x v="2"/>
    <x v="2"/>
    <n v="10"/>
    <s v="CUST0049"/>
    <x v="2"/>
    <x v="1"/>
    <x v="2"/>
    <x v="2"/>
    <n v="4"/>
    <n v="42864.23"/>
    <x v="2"/>
    <n v="171456.92"/>
    <n v="0"/>
    <n v="171456.92"/>
    <n v="133736.3976"/>
    <n v="37720.522399999987"/>
    <n v="21.999999999999989"/>
    <s v="Cash"/>
  </r>
  <r>
    <s v="ORD0004"/>
    <x v="3"/>
    <x v="3"/>
    <n v="2"/>
    <s v="CUST0021"/>
    <x v="3"/>
    <x v="1"/>
    <x v="0"/>
    <x v="3"/>
    <n v="1"/>
    <n v="755.48"/>
    <x v="1"/>
    <n v="755.48"/>
    <n v="113.322"/>
    <n v="642.15800000000002"/>
    <n v="353.18689999999998"/>
    <n v="288.97109999999998"/>
    <n v="44.999999999999993"/>
    <s v="Cash"/>
  </r>
  <r>
    <s v="ORD0005"/>
    <x v="4"/>
    <x v="1"/>
    <n v="3"/>
    <s v="CUST0053"/>
    <x v="4"/>
    <x v="1"/>
    <x v="0"/>
    <x v="4"/>
    <n v="6"/>
    <n v="4946.1899999999996"/>
    <x v="3"/>
    <n v="29677.14"/>
    <n v="2967.7139999999999"/>
    <n v="26709.425999999999"/>
    <n v="14690.184300000001"/>
    <n v="12019.2417"/>
    <n v="44.999999999999993"/>
    <s v="Cash"/>
  </r>
  <r>
    <s v="ORD0006"/>
    <x v="5"/>
    <x v="4"/>
    <n v="9"/>
    <s v="CUST0002"/>
    <x v="5"/>
    <x v="0"/>
    <x v="3"/>
    <x v="5"/>
    <n v="6"/>
    <n v="1038.55"/>
    <x v="4"/>
    <n v="6231.2999999999993"/>
    <n v="311.565"/>
    <n v="5919.7349999999997"/>
    <n v="3433.4463000000001"/>
    <n v="2486.2887000000001"/>
    <n v="42.000000000000007"/>
    <s v="Cash"/>
  </r>
  <r>
    <s v="ORD0007"/>
    <x v="6"/>
    <x v="5"/>
    <n v="11"/>
    <s v="CUST0202"/>
    <x v="6"/>
    <x v="0"/>
    <x v="1"/>
    <x v="6"/>
    <n v="7"/>
    <n v="2979.54"/>
    <x v="3"/>
    <n v="20856.78"/>
    <n v="2085.6779999999999"/>
    <n v="18771.101999999999"/>
    <n v="9760.9730399999989"/>
    <n v="9010.12896"/>
    <n v="48.000000000000007"/>
    <s v="UPI"/>
  </r>
  <r>
    <s v="ORD0008"/>
    <x v="7"/>
    <x v="6"/>
    <n v="7"/>
    <s v="CUST0217"/>
    <x v="3"/>
    <x v="2"/>
    <x v="1"/>
    <x v="7"/>
    <n v="5"/>
    <n v="1095.45"/>
    <x v="0"/>
    <n v="5477.25"/>
    <n v="1095.45"/>
    <n v="4381.8"/>
    <n v="2278.5360000000001"/>
    <n v="2103.2640000000001"/>
    <n v="48"/>
    <s v="UPI"/>
  </r>
  <r>
    <s v="ORD0009"/>
    <x v="8"/>
    <x v="7"/>
    <n v="12"/>
    <s v="CUST0139"/>
    <x v="7"/>
    <x v="2"/>
    <x v="2"/>
    <x v="2"/>
    <n v="1"/>
    <n v="19326.79"/>
    <x v="2"/>
    <n v="19326.79"/>
    <n v="0"/>
    <n v="19326.79"/>
    <n v="15074.896199999999"/>
    <n v="4251.8937999999998"/>
    <n v="22"/>
    <s v="Debit Card"/>
  </r>
  <r>
    <s v="ORD0010"/>
    <x v="9"/>
    <x v="2"/>
    <n v="10"/>
    <s v="CUST0028"/>
    <x v="0"/>
    <x v="2"/>
    <x v="3"/>
    <x v="8"/>
    <n v="5"/>
    <n v="2323.12"/>
    <x v="1"/>
    <n v="11615.6"/>
    <n v="1742.34"/>
    <n v="9873.2599999999984"/>
    <n v="5726.4907999999987"/>
    <n v="4146.7691999999997"/>
    <n v="42.000000000000007"/>
    <s v="Credit Card"/>
  </r>
  <r>
    <s v="ORD0011"/>
    <x v="10"/>
    <x v="3"/>
    <n v="2"/>
    <s v="CUST0035"/>
    <x v="8"/>
    <x v="1"/>
    <x v="4"/>
    <x v="9"/>
    <n v="5"/>
    <n v="889.05"/>
    <x v="1"/>
    <n v="4445.25"/>
    <n v="666.78750000000002"/>
    <n v="3778.4625000000001"/>
    <n v="2720.4929999999999"/>
    <n v="1057.9694999999999"/>
    <n v="28"/>
    <s v="Debit Card"/>
  </r>
  <r>
    <s v="ORD0012"/>
    <x v="11"/>
    <x v="4"/>
    <n v="9"/>
    <s v="CUST0283"/>
    <x v="3"/>
    <x v="1"/>
    <x v="1"/>
    <x v="1"/>
    <n v="2"/>
    <n v="978.75"/>
    <x v="4"/>
    <n v="1957.5"/>
    <n v="97.875"/>
    <n v="1859.625"/>
    <n v="967.005"/>
    <n v="892.62"/>
    <n v="48"/>
    <s v="Credit Card"/>
  </r>
  <r>
    <s v="ORD0013"/>
    <x v="12"/>
    <x v="8"/>
    <n v="6"/>
    <s v="CUST0231"/>
    <x v="6"/>
    <x v="2"/>
    <x v="2"/>
    <x v="2"/>
    <n v="4"/>
    <n v="40106.71"/>
    <x v="1"/>
    <n v="160426.84"/>
    <n v="24064.026000000002"/>
    <n v="136362.81400000001"/>
    <n v="106362.99492"/>
    <n v="29999.819080000001"/>
    <n v="22"/>
    <s v="Debit Card"/>
  </r>
  <r>
    <s v="ORD0014"/>
    <x v="13"/>
    <x v="1"/>
    <n v="3"/>
    <s v="CUST0134"/>
    <x v="6"/>
    <x v="0"/>
    <x v="0"/>
    <x v="0"/>
    <n v="2"/>
    <n v="3933.95"/>
    <x v="4"/>
    <n v="7867.9"/>
    <n v="393.39499999999998"/>
    <n v="7474.5049999999992"/>
    <n v="4110.97775"/>
    <n v="3363.5272499999992"/>
    <n v="44.999999999999993"/>
    <s v="Credit Card"/>
  </r>
  <r>
    <s v="ORD0015"/>
    <x v="14"/>
    <x v="7"/>
    <n v="12"/>
    <s v="CUST0283"/>
    <x v="3"/>
    <x v="2"/>
    <x v="2"/>
    <x v="10"/>
    <n v="7"/>
    <n v="59689.22"/>
    <x v="4"/>
    <n v="417824.54"/>
    <n v="20891.226999999999"/>
    <n v="396933.31300000002"/>
    <n v="309607.98414000002"/>
    <n v="87325.328860000009"/>
    <n v="22"/>
    <s v="Debit Card"/>
  </r>
  <r>
    <s v="ORD0016"/>
    <x v="15"/>
    <x v="7"/>
    <n v="12"/>
    <s v="CUST0234"/>
    <x v="1"/>
    <x v="1"/>
    <x v="4"/>
    <x v="11"/>
    <n v="3"/>
    <n v="530.02"/>
    <x v="4"/>
    <n v="1590.06"/>
    <n v="79.503"/>
    <n v="1510.557"/>
    <n v="1087.60104"/>
    <n v="422.95596"/>
    <n v="28"/>
    <s v="UPI"/>
  </r>
  <r>
    <s v="ORD0017"/>
    <x v="16"/>
    <x v="8"/>
    <n v="6"/>
    <s v="CUST0295"/>
    <x v="4"/>
    <x v="1"/>
    <x v="2"/>
    <x v="10"/>
    <n v="6"/>
    <n v="63391.58"/>
    <x v="5"/>
    <n v="380349.48"/>
    <n v="114104.844"/>
    <n v="266244.636"/>
    <n v="207670.81607999999"/>
    <n v="58573.81991999998"/>
    <n v="21.999999999999989"/>
    <s v="Net Banking"/>
  </r>
  <r>
    <s v="ORD0018"/>
    <x v="17"/>
    <x v="0"/>
    <n v="4"/>
    <s v="CUST0054"/>
    <x v="0"/>
    <x v="2"/>
    <x v="2"/>
    <x v="10"/>
    <n v="3"/>
    <n v="42745.17"/>
    <x v="3"/>
    <n v="128235.51"/>
    <n v="12823.550999999999"/>
    <n v="115411.959"/>
    <n v="90021.328020000001"/>
    <n v="25390.630980000002"/>
    <n v="22"/>
    <s v="UPI"/>
  </r>
  <r>
    <s v="ORD0019"/>
    <x v="18"/>
    <x v="9"/>
    <n v="5"/>
    <s v="CUST0247"/>
    <x v="6"/>
    <x v="1"/>
    <x v="5"/>
    <x v="12"/>
    <n v="5"/>
    <n v="13512.69"/>
    <x v="5"/>
    <n v="67563.45"/>
    <n v="20269.035"/>
    <n v="47294.414999999994"/>
    <n v="32160.2022"/>
    <n v="15134.21279999999"/>
    <n v="31.999999999999989"/>
    <s v="Debit Card"/>
  </r>
  <r>
    <s v="ORD0020"/>
    <x v="19"/>
    <x v="4"/>
    <n v="9"/>
    <s v="CUST0240"/>
    <x v="8"/>
    <x v="2"/>
    <x v="4"/>
    <x v="13"/>
    <n v="5"/>
    <n v="777.15"/>
    <x v="1"/>
    <n v="3885.75"/>
    <n v="582.86249999999995"/>
    <n v="3302.8874999999998"/>
    <n v="2378.0790000000002"/>
    <n v="924.80850000000009"/>
    <n v="28"/>
    <s v="Debit Card"/>
  </r>
  <r>
    <s v="ORD0021"/>
    <x v="20"/>
    <x v="5"/>
    <n v="11"/>
    <s v="CUST0147"/>
    <x v="6"/>
    <x v="1"/>
    <x v="1"/>
    <x v="6"/>
    <n v="3"/>
    <n v="2149.9499999999998"/>
    <x v="1"/>
    <n v="6449.8499999999995"/>
    <n v="967.47749999999985"/>
    <n v="5482.3724999999986"/>
    <n v="2850.8337000000001"/>
    <n v="2631.5387999999998"/>
    <n v="48"/>
    <s v="UPI"/>
  </r>
  <r>
    <s v="ORD0022"/>
    <x v="21"/>
    <x v="9"/>
    <n v="5"/>
    <s v="CUST0151"/>
    <x v="2"/>
    <x v="1"/>
    <x v="5"/>
    <x v="14"/>
    <n v="1"/>
    <n v="17703.03"/>
    <x v="1"/>
    <n v="17703.03"/>
    <n v="2655.4544999999998"/>
    <n v="15047.575500000001"/>
    <n v="10232.351339999999"/>
    <n v="4815.2241599999998"/>
    <n v="32"/>
    <s v="Credit Card"/>
  </r>
  <r>
    <s v="ORD0023"/>
    <x v="22"/>
    <x v="0"/>
    <n v="4"/>
    <s v="CUST0254"/>
    <x v="9"/>
    <x v="2"/>
    <x v="2"/>
    <x v="2"/>
    <n v="4"/>
    <n v="38190.080000000002"/>
    <x v="4"/>
    <n v="152760.32000000001"/>
    <n v="7638.0160000000014"/>
    <n v="145122.304"/>
    <n v="113195.39711999999"/>
    <n v="31926.906879999991"/>
    <n v="22"/>
    <s v="UPI"/>
  </r>
  <r>
    <s v="ORD0024"/>
    <x v="23"/>
    <x v="10"/>
    <n v="8"/>
    <s v="CUST0152"/>
    <x v="5"/>
    <x v="2"/>
    <x v="3"/>
    <x v="8"/>
    <n v="3"/>
    <n v="1842.29"/>
    <x v="6"/>
    <n v="5526.87"/>
    <n v="1381.7175"/>
    <n v="4145.1525000000001"/>
    <n v="2404.1884500000001"/>
    <n v="1740.96405"/>
    <n v="42"/>
    <s v="Debit Card"/>
  </r>
  <r>
    <s v="ORD0025"/>
    <x v="17"/>
    <x v="0"/>
    <n v="4"/>
    <s v="CUST0112"/>
    <x v="3"/>
    <x v="1"/>
    <x v="0"/>
    <x v="15"/>
    <n v="6"/>
    <n v="4179.4399999999996"/>
    <x v="1"/>
    <n v="25076.639999999999"/>
    <n v="3761.4960000000001"/>
    <n v="21315.144"/>
    <n v="11723.3292"/>
    <n v="9591.8147999999983"/>
    <n v="44.999999999999993"/>
    <s v="Net Banking"/>
  </r>
  <r>
    <s v="ORD0026"/>
    <x v="24"/>
    <x v="7"/>
    <n v="12"/>
    <s v="CUST0161"/>
    <x v="6"/>
    <x v="2"/>
    <x v="5"/>
    <x v="16"/>
    <n v="6"/>
    <n v="12589.54"/>
    <x v="5"/>
    <n v="75537.240000000005"/>
    <n v="22661.171999999999"/>
    <n v="52876.067999999999"/>
    <n v="35955.726240000004"/>
    <n v="16920.341759999999"/>
    <n v="31.999999999999989"/>
    <s v="Cash"/>
  </r>
  <r>
    <s v="ORD0027"/>
    <x v="25"/>
    <x v="9"/>
    <n v="5"/>
    <s v="CUST0022"/>
    <x v="5"/>
    <x v="0"/>
    <x v="3"/>
    <x v="17"/>
    <n v="1"/>
    <n v="839.35"/>
    <x v="3"/>
    <n v="839.35"/>
    <n v="83.935000000000002"/>
    <n v="755.41499999999996"/>
    <n v="438.14069999999992"/>
    <n v="317.27429999999998"/>
    <n v="42.000000000000007"/>
    <s v="Debit Card"/>
  </r>
  <r>
    <s v="ORD0028"/>
    <x v="5"/>
    <x v="4"/>
    <n v="9"/>
    <s v="CUST0284"/>
    <x v="8"/>
    <x v="2"/>
    <x v="3"/>
    <x v="8"/>
    <n v="3"/>
    <n v="2007.55"/>
    <x v="3"/>
    <n v="6022.65"/>
    <n v="602.26499999999999"/>
    <n v="5420.3849999999993"/>
    <n v="3143.8233"/>
    <n v="2276.5617000000002"/>
    <n v="42"/>
    <s v="Net Banking"/>
  </r>
  <r>
    <s v="ORD0029"/>
    <x v="26"/>
    <x v="2"/>
    <n v="10"/>
    <s v="CUST0017"/>
    <x v="9"/>
    <x v="0"/>
    <x v="3"/>
    <x v="18"/>
    <n v="4"/>
    <n v="158.36000000000001"/>
    <x v="1"/>
    <n v="633.44000000000005"/>
    <n v="95.016000000000005"/>
    <n v="538.42400000000009"/>
    <n v="312.28591999999998"/>
    <n v="226.13808000000009"/>
    <n v="42.000000000000007"/>
    <s v="Cash"/>
  </r>
  <r>
    <s v="ORD0030"/>
    <x v="23"/>
    <x v="10"/>
    <n v="8"/>
    <s v="CUST0099"/>
    <x v="8"/>
    <x v="1"/>
    <x v="1"/>
    <x v="7"/>
    <n v="5"/>
    <n v="1613.01"/>
    <x v="5"/>
    <n v="8065.05"/>
    <n v="2419.5149999999999"/>
    <n v="5645.5349999999999"/>
    <n v="2935.6781999999998"/>
    <n v="2709.8568"/>
    <n v="48.000000000000007"/>
    <s v="Net Banking"/>
  </r>
  <r>
    <s v="ORD0031"/>
    <x v="27"/>
    <x v="8"/>
    <n v="6"/>
    <s v="CUST0058"/>
    <x v="7"/>
    <x v="0"/>
    <x v="3"/>
    <x v="5"/>
    <n v="2"/>
    <n v="1436.32"/>
    <x v="6"/>
    <n v="2872.64"/>
    <n v="718.16"/>
    <n v="2154.48"/>
    <n v="1249.5984000000001"/>
    <n v="904.88160000000016"/>
    <n v="42.000000000000007"/>
    <s v="Credit Card"/>
  </r>
  <r>
    <s v="ORD0032"/>
    <x v="28"/>
    <x v="9"/>
    <n v="5"/>
    <s v="CUST0299"/>
    <x v="5"/>
    <x v="1"/>
    <x v="3"/>
    <x v="17"/>
    <n v="2"/>
    <n v="2205.6999999999998"/>
    <x v="1"/>
    <n v="4411.3999999999996"/>
    <n v="661.70999999999992"/>
    <n v="3749.69"/>
    <n v="2174.8202000000001"/>
    <n v="1574.8697999999999"/>
    <n v="42.000000000000007"/>
    <s v="Credit Card"/>
  </r>
  <r>
    <s v="ORD0033"/>
    <x v="29"/>
    <x v="4"/>
    <n v="9"/>
    <s v="CUST0036"/>
    <x v="6"/>
    <x v="2"/>
    <x v="5"/>
    <x v="14"/>
    <n v="3"/>
    <n v="8264.66"/>
    <x v="1"/>
    <n v="24793.98"/>
    <n v="3719.0970000000002"/>
    <n v="21074.883000000002"/>
    <n v="14330.92044"/>
    <n v="6743.9625599999999"/>
    <n v="32"/>
    <s v="Debit Card"/>
  </r>
  <r>
    <s v="ORD0034"/>
    <x v="30"/>
    <x v="9"/>
    <n v="5"/>
    <s v="CUST0051"/>
    <x v="3"/>
    <x v="0"/>
    <x v="0"/>
    <x v="19"/>
    <n v="2"/>
    <n v="1016.9"/>
    <x v="1"/>
    <n v="2033.8"/>
    <n v="305.07"/>
    <n v="1728.73"/>
    <n v="950.80150000000003"/>
    <n v="777.92849999999999"/>
    <n v="45"/>
    <s v="Credit Card"/>
  </r>
  <r>
    <s v="ORD0035"/>
    <x v="31"/>
    <x v="3"/>
    <n v="2"/>
    <s v="CUST0054"/>
    <x v="9"/>
    <x v="2"/>
    <x v="4"/>
    <x v="9"/>
    <n v="1"/>
    <n v="92.95"/>
    <x v="0"/>
    <n v="92.95"/>
    <n v="18.59"/>
    <n v="74.36"/>
    <n v="53.539200000000001"/>
    <n v="20.820799999999998"/>
    <n v="28"/>
    <s v="Cash"/>
  </r>
  <r>
    <s v="ORD0036"/>
    <x v="32"/>
    <x v="0"/>
    <n v="4"/>
    <s v="CUST0047"/>
    <x v="7"/>
    <x v="1"/>
    <x v="1"/>
    <x v="6"/>
    <n v="7"/>
    <n v="481.65"/>
    <x v="2"/>
    <n v="3371.55"/>
    <n v="0"/>
    <n v="3371.55"/>
    <n v="1753.2059999999999"/>
    <n v="1618.3440000000001"/>
    <n v="48"/>
    <s v="Net Banking"/>
  </r>
  <r>
    <s v="ORD0037"/>
    <x v="33"/>
    <x v="9"/>
    <n v="5"/>
    <s v="CUST0275"/>
    <x v="2"/>
    <x v="1"/>
    <x v="5"/>
    <x v="20"/>
    <n v="6"/>
    <n v="3424.02"/>
    <x v="3"/>
    <n v="20544.12"/>
    <n v="2054.4119999999998"/>
    <n v="18489.707999999999"/>
    <n v="12573.00144"/>
    <n v="5916.7065599999987"/>
    <n v="32"/>
    <s v="Net Banking"/>
  </r>
  <r>
    <s v="ORD0038"/>
    <x v="34"/>
    <x v="0"/>
    <n v="4"/>
    <s v="CUST0129"/>
    <x v="2"/>
    <x v="0"/>
    <x v="4"/>
    <x v="21"/>
    <n v="7"/>
    <n v="542.55999999999995"/>
    <x v="1"/>
    <n v="3797.92"/>
    <n v="569.68799999999987"/>
    <n v="3228.232"/>
    <n v="2324.3270400000001"/>
    <n v="903.9049600000003"/>
    <n v="28.000000000000011"/>
    <s v="Credit Card"/>
  </r>
  <r>
    <s v="ORD0039"/>
    <x v="35"/>
    <x v="0"/>
    <n v="4"/>
    <s v="CUST0272"/>
    <x v="0"/>
    <x v="1"/>
    <x v="4"/>
    <x v="9"/>
    <n v="6"/>
    <n v="871.79"/>
    <x v="1"/>
    <n v="5230.74"/>
    <n v="784.61099999999999"/>
    <n v="4446.1289999999999"/>
    <n v="3201.21288"/>
    <n v="1244.9161200000001"/>
    <n v="28.000000000000011"/>
    <s v="Net Banking"/>
  </r>
  <r>
    <s v="ORD0040"/>
    <x v="29"/>
    <x v="4"/>
    <n v="9"/>
    <s v="CUST0086"/>
    <x v="3"/>
    <x v="2"/>
    <x v="3"/>
    <x v="8"/>
    <n v="4"/>
    <n v="1458.49"/>
    <x v="4"/>
    <n v="5833.96"/>
    <n v="291.69799999999998"/>
    <n v="5542.2619999999997"/>
    <n v="3214.5119599999998"/>
    <n v="2327.7500399999999"/>
    <n v="42"/>
    <s v="Net Banking"/>
  </r>
  <r>
    <s v="ORD0041"/>
    <x v="36"/>
    <x v="3"/>
    <n v="2"/>
    <s v="CUST0204"/>
    <x v="2"/>
    <x v="0"/>
    <x v="2"/>
    <x v="22"/>
    <n v="6"/>
    <n v="56761.25"/>
    <x v="1"/>
    <n v="340567.5"/>
    <n v="51085.125"/>
    <n v="289482.375"/>
    <n v="225796.2525"/>
    <n v="63686.122499999998"/>
    <n v="22"/>
    <s v="Cash"/>
  </r>
  <r>
    <s v="ORD0042"/>
    <x v="9"/>
    <x v="2"/>
    <n v="10"/>
    <s v="CUST0246"/>
    <x v="9"/>
    <x v="0"/>
    <x v="4"/>
    <x v="13"/>
    <n v="6"/>
    <n v="797.24"/>
    <x v="2"/>
    <n v="4783.4400000000014"/>
    <n v="0"/>
    <n v="4783.4400000000014"/>
    <n v="3444.0767999999998"/>
    <n v="1339.3632"/>
    <n v="28"/>
    <s v="Credit Card"/>
  </r>
  <r>
    <s v="ORD0043"/>
    <x v="37"/>
    <x v="4"/>
    <n v="9"/>
    <s v="CUST0004"/>
    <x v="1"/>
    <x v="1"/>
    <x v="3"/>
    <x v="5"/>
    <n v="2"/>
    <n v="1302.5"/>
    <x v="3"/>
    <n v="2605"/>
    <n v="260.5"/>
    <n v="2344.5"/>
    <n v="1359.81"/>
    <n v="984.69"/>
    <n v="42.000000000000007"/>
    <s v="UPI"/>
  </r>
  <r>
    <s v="ORD0044"/>
    <x v="38"/>
    <x v="8"/>
    <n v="6"/>
    <s v="CUST0033"/>
    <x v="8"/>
    <x v="2"/>
    <x v="3"/>
    <x v="18"/>
    <n v="4"/>
    <n v="1481.14"/>
    <x v="3"/>
    <n v="5924.56"/>
    <n v="592.45600000000002"/>
    <n v="5332.1040000000003"/>
    <n v="3092.62032"/>
    <n v="2239.4836799999998"/>
    <n v="42.000000000000007"/>
    <s v="Debit Card"/>
  </r>
  <r>
    <s v="ORD0045"/>
    <x v="39"/>
    <x v="0"/>
    <n v="4"/>
    <s v="CUST0043"/>
    <x v="4"/>
    <x v="2"/>
    <x v="0"/>
    <x v="0"/>
    <n v="3"/>
    <n v="5012.3500000000004"/>
    <x v="1"/>
    <n v="15037.05"/>
    <n v="2255.5574999999999"/>
    <n v="12781.4925"/>
    <n v="7029.8208750000003"/>
    <n v="5751.6716249999999"/>
    <n v="45"/>
    <s v="Credit Card"/>
  </r>
  <r>
    <s v="ORD0046"/>
    <x v="40"/>
    <x v="3"/>
    <n v="2"/>
    <s v="CUST0090"/>
    <x v="4"/>
    <x v="1"/>
    <x v="2"/>
    <x v="10"/>
    <n v="2"/>
    <n v="26181.61"/>
    <x v="0"/>
    <n v="52363.22"/>
    <n v="10472.644"/>
    <n v="41890.576000000001"/>
    <n v="32674.649280000001"/>
    <n v="9215.9267199999995"/>
    <n v="22"/>
    <s v="Cash"/>
  </r>
  <r>
    <s v="ORD0047"/>
    <x v="41"/>
    <x v="5"/>
    <n v="11"/>
    <s v="CUST0217"/>
    <x v="9"/>
    <x v="2"/>
    <x v="1"/>
    <x v="23"/>
    <n v="2"/>
    <n v="2275.5100000000002"/>
    <x v="6"/>
    <n v="4551.0200000000004"/>
    <n v="1137.7550000000001"/>
    <n v="3413.2649999999999"/>
    <n v="1774.8978"/>
    <n v="1638.3671999999999"/>
    <n v="48"/>
    <s v="Cash"/>
  </r>
  <r>
    <s v="ORD0048"/>
    <x v="42"/>
    <x v="7"/>
    <n v="12"/>
    <s v="CUST0096"/>
    <x v="1"/>
    <x v="1"/>
    <x v="2"/>
    <x v="22"/>
    <n v="3"/>
    <n v="64458.79"/>
    <x v="3"/>
    <n v="193376.37"/>
    <n v="19337.636999999999"/>
    <n v="174038.73300000001"/>
    <n v="135750.21174"/>
    <n v="38288.521260000009"/>
    <n v="22"/>
    <s v="Cash"/>
  </r>
  <r>
    <s v="ORD0049"/>
    <x v="43"/>
    <x v="6"/>
    <n v="7"/>
    <s v="CUST0273"/>
    <x v="8"/>
    <x v="0"/>
    <x v="1"/>
    <x v="6"/>
    <n v="7"/>
    <n v="2689.99"/>
    <x v="2"/>
    <n v="18829.93"/>
    <n v="0"/>
    <n v="18829.93"/>
    <n v="9791.5636000000013"/>
    <n v="9038.366399999999"/>
    <n v="47.999999999999993"/>
    <s v="UPI"/>
  </r>
  <r>
    <s v="ORD0050"/>
    <x v="44"/>
    <x v="7"/>
    <n v="12"/>
    <s v="CUST0233"/>
    <x v="7"/>
    <x v="2"/>
    <x v="1"/>
    <x v="6"/>
    <n v="3"/>
    <n v="529.95000000000005"/>
    <x v="2"/>
    <n v="1589.85"/>
    <n v="0"/>
    <n v="1589.85"/>
    <n v="826.72200000000009"/>
    <n v="763.12800000000004"/>
    <n v="48"/>
    <s v="Cash"/>
  </r>
  <r>
    <s v="ORD0051"/>
    <x v="45"/>
    <x v="7"/>
    <n v="12"/>
    <s v="CUST0025"/>
    <x v="6"/>
    <x v="1"/>
    <x v="5"/>
    <x v="16"/>
    <n v="7"/>
    <n v="4373.8999999999996"/>
    <x v="2"/>
    <n v="30617.3"/>
    <n v="0"/>
    <n v="30617.3"/>
    <n v="20819.763999999999"/>
    <n v="9797.5359999999964"/>
    <n v="32"/>
    <s v="Cash"/>
  </r>
  <r>
    <s v="ORD0052"/>
    <x v="46"/>
    <x v="3"/>
    <n v="2"/>
    <s v="CUST0223"/>
    <x v="2"/>
    <x v="2"/>
    <x v="2"/>
    <x v="2"/>
    <n v="7"/>
    <n v="13198.75"/>
    <x v="3"/>
    <n v="92391.25"/>
    <n v="9239.125"/>
    <n v="83152.125"/>
    <n v="64858.657500000001"/>
    <n v="18293.467499999999"/>
    <n v="22"/>
    <s v="Net Banking"/>
  </r>
  <r>
    <s v="ORD0053"/>
    <x v="47"/>
    <x v="10"/>
    <n v="8"/>
    <s v="CUST0253"/>
    <x v="5"/>
    <x v="1"/>
    <x v="3"/>
    <x v="17"/>
    <n v="2"/>
    <n v="2424.7600000000002"/>
    <x v="1"/>
    <n v="4849.5200000000004"/>
    <n v="727.428"/>
    <n v="4122.0920000000006"/>
    <n v="2390.8133600000001"/>
    <n v="1731.27864"/>
    <n v="42.000000000000007"/>
    <s v="Credit Card"/>
  </r>
  <r>
    <s v="ORD0054"/>
    <x v="48"/>
    <x v="2"/>
    <n v="10"/>
    <s v="CUST0136"/>
    <x v="8"/>
    <x v="0"/>
    <x v="5"/>
    <x v="14"/>
    <n v="2"/>
    <n v="4330.3500000000004"/>
    <x v="2"/>
    <n v="8660.7000000000007"/>
    <n v="0"/>
    <n v="8660.7000000000007"/>
    <n v="5889.2760000000007"/>
    <n v="2771.424"/>
    <n v="32"/>
    <s v="UPI"/>
  </r>
  <r>
    <s v="ORD0055"/>
    <x v="49"/>
    <x v="5"/>
    <n v="11"/>
    <s v="CUST0275"/>
    <x v="5"/>
    <x v="1"/>
    <x v="2"/>
    <x v="2"/>
    <n v="5"/>
    <n v="50942.559999999998"/>
    <x v="3"/>
    <n v="254712.8"/>
    <n v="25471.279999999999"/>
    <n v="229241.52"/>
    <n v="178808.38560000001"/>
    <n v="50433.134399999981"/>
    <n v="21.999999999999989"/>
    <s v="Credit Card"/>
  </r>
  <r>
    <s v="ORD0056"/>
    <x v="50"/>
    <x v="7"/>
    <n v="12"/>
    <s v="CUST0242"/>
    <x v="2"/>
    <x v="2"/>
    <x v="3"/>
    <x v="24"/>
    <n v="7"/>
    <n v="1142.68"/>
    <x v="4"/>
    <n v="7998.76"/>
    <n v="399.93799999999999"/>
    <n v="7598.8220000000001"/>
    <n v="4407.3167599999997"/>
    <n v="3191.50524"/>
    <n v="42.000000000000007"/>
    <s v="UPI"/>
  </r>
  <r>
    <s v="ORD0057"/>
    <x v="14"/>
    <x v="7"/>
    <n v="12"/>
    <s v="CUST0117"/>
    <x v="5"/>
    <x v="0"/>
    <x v="4"/>
    <x v="13"/>
    <n v="1"/>
    <n v="481.1"/>
    <x v="4"/>
    <n v="481.1"/>
    <n v="24.055"/>
    <n v="457.04500000000002"/>
    <n v="329.07240000000002"/>
    <n v="127.9726"/>
    <n v="28"/>
    <s v="Net Banking"/>
  </r>
  <r>
    <s v="ORD0058"/>
    <x v="38"/>
    <x v="8"/>
    <n v="6"/>
    <s v="CUST0213"/>
    <x v="9"/>
    <x v="1"/>
    <x v="1"/>
    <x v="25"/>
    <n v="5"/>
    <n v="1264.8699999999999"/>
    <x v="2"/>
    <n v="6324.3499999999995"/>
    <n v="0"/>
    <n v="6324.3499999999995"/>
    <n v="3288.6619999999998"/>
    <n v="3035.6880000000001"/>
    <n v="48"/>
    <s v="Cash"/>
  </r>
  <r>
    <s v="ORD0059"/>
    <x v="36"/>
    <x v="3"/>
    <n v="2"/>
    <s v="CUST0054"/>
    <x v="5"/>
    <x v="1"/>
    <x v="2"/>
    <x v="10"/>
    <n v="1"/>
    <n v="47657.68"/>
    <x v="3"/>
    <n v="47657.68"/>
    <n v="4765.768"/>
    <n v="42891.911999999997"/>
    <n v="33455.691359999997"/>
    <n v="9436.2206399999995"/>
    <n v="22"/>
    <s v="Debit Card"/>
  </r>
  <r>
    <s v="ORD0060"/>
    <x v="51"/>
    <x v="11"/>
    <n v="1"/>
    <s v="CUST0008"/>
    <x v="2"/>
    <x v="0"/>
    <x v="5"/>
    <x v="20"/>
    <n v="6"/>
    <n v="12752.28"/>
    <x v="1"/>
    <n v="76513.680000000008"/>
    <n v="11477.052"/>
    <n v="65036.627999999997"/>
    <n v="44224.907040000013"/>
    <n v="20811.720959999999"/>
    <n v="32"/>
    <s v="Cash"/>
  </r>
  <r>
    <s v="ORD0061"/>
    <x v="52"/>
    <x v="8"/>
    <n v="6"/>
    <s v="CUST0145"/>
    <x v="3"/>
    <x v="2"/>
    <x v="0"/>
    <x v="19"/>
    <n v="4"/>
    <n v="2481.9"/>
    <x v="4"/>
    <n v="9927.6"/>
    <n v="496.38000000000011"/>
    <n v="9431.2200000000012"/>
    <n v="5187.1710000000012"/>
    <n v="4244.049"/>
    <n v="44.999999999999993"/>
    <s v="Cash"/>
  </r>
  <r>
    <s v="ORD0062"/>
    <x v="53"/>
    <x v="10"/>
    <n v="8"/>
    <s v="CUST0082"/>
    <x v="7"/>
    <x v="2"/>
    <x v="1"/>
    <x v="23"/>
    <n v="5"/>
    <n v="3206.06"/>
    <x v="0"/>
    <n v="16030.3"/>
    <n v="3206.06"/>
    <n v="12824.24"/>
    <n v="6668.6048000000001"/>
    <n v="6155.6351999999997"/>
    <n v="48"/>
    <s v="Credit Card"/>
  </r>
  <r>
    <s v="ORD0063"/>
    <x v="54"/>
    <x v="11"/>
    <n v="1"/>
    <s v="CUST0289"/>
    <x v="5"/>
    <x v="2"/>
    <x v="4"/>
    <x v="26"/>
    <n v="2"/>
    <n v="684.33"/>
    <x v="4"/>
    <n v="1368.66"/>
    <n v="68.433000000000007"/>
    <n v="1300.2270000000001"/>
    <n v="936.16344000000004"/>
    <n v="364.06356000000011"/>
    <n v="28"/>
    <s v="UPI"/>
  </r>
  <r>
    <s v="ORD0064"/>
    <x v="55"/>
    <x v="4"/>
    <n v="9"/>
    <s v="CUST0283"/>
    <x v="8"/>
    <x v="2"/>
    <x v="1"/>
    <x v="23"/>
    <n v="2"/>
    <n v="1456.94"/>
    <x v="5"/>
    <n v="2913.88"/>
    <n v="874.16399999999999"/>
    <n v="2039.7159999999999"/>
    <n v="1060.6523199999999"/>
    <n v="979.06367999999998"/>
    <n v="48"/>
    <s v="Credit Card"/>
  </r>
  <r>
    <s v="ORD0065"/>
    <x v="56"/>
    <x v="0"/>
    <n v="4"/>
    <s v="CUST0006"/>
    <x v="8"/>
    <x v="2"/>
    <x v="3"/>
    <x v="17"/>
    <n v="7"/>
    <n v="756.18"/>
    <x v="2"/>
    <n v="5293.2599999999993"/>
    <n v="0"/>
    <n v="5293.2599999999993"/>
    <n v="3070.090799999999"/>
    <n v="2223.1691999999998"/>
    <n v="42.000000000000007"/>
    <s v="Debit Card"/>
  </r>
  <r>
    <s v="ORD0066"/>
    <x v="57"/>
    <x v="11"/>
    <n v="1"/>
    <s v="CUST0145"/>
    <x v="9"/>
    <x v="0"/>
    <x v="1"/>
    <x v="23"/>
    <n v="5"/>
    <n v="3317.73"/>
    <x v="0"/>
    <n v="16588.650000000001"/>
    <n v="3317.73"/>
    <n v="13270.92"/>
    <n v="6900.8784000000014"/>
    <n v="6370.0415999999996"/>
    <n v="48"/>
    <s v="UPI"/>
  </r>
  <r>
    <s v="ORD0067"/>
    <x v="58"/>
    <x v="3"/>
    <n v="2"/>
    <s v="CUST0288"/>
    <x v="4"/>
    <x v="1"/>
    <x v="1"/>
    <x v="1"/>
    <n v="5"/>
    <n v="883.85"/>
    <x v="6"/>
    <n v="4419.25"/>
    <n v="1104.8125"/>
    <n v="3314.4375"/>
    <n v="1723.5074999999999"/>
    <n v="1590.93"/>
    <n v="47.999999999999993"/>
    <s v="Credit Card"/>
  </r>
  <r>
    <s v="ORD0068"/>
    <x v="59"/>
    <x v="8"/>
    <n v="6"/>
    <s v="CUST0054"/>
    <x v="9"/>
    <x v="0"/>
    <x v="4"/>
    <x v="11"/>
    <n v="6"/>
    <n v="1006.08"/>
    <x v="3"/>
    <n v="6036.48"/>
    <n v="603.64800000000002"/>
    <n v="5432.8320000000003"/>
    <n v="3911.63904"/>
    <n v="1521.1929600000001"/>
    <n v="28"/>
    <s v="UPI"/>
  </r>
  <r>
    <s v="ORD0069"/>
    <x v="22"/>
    <x v="0"/>
    <n v="4"/>
    <s v="CUST0103"/>
    <x v="5"/>
    <x v="0"/>
    <x v="1"/>
    <x v="1"/>
    <n v="5"/>
    <n v="2309.89"/>
    <x v="0"/>
    <n v="11549.45"/>
    <n v="2309.89"/>
    <n v="9239.56"/>
    <n v="4804.5712000000003"/>
    <n v="4434.9887999999992"/>
    <n v="47.999999999999993"/>
    <s v="Credit Card"/>
  </r>
  <r>
    <s v="ORD0070"/>
    <x v="24"/>
    <x v="7"/>
    <n v="12"/>
    <s v="CUST0249"/>
    <x v="5"/>
    <x v="2"/>
    <x v="4"/>
    <x v="13"/>
    <n v="7"/>
    <n v="553.1"/>
    <x v="6"/>
    <n v="3871.7"/>
    <n v="967.92500000000007"/>
    <n v="2903.7750000000001"/>
    <n v="2090.7179999999998"/>
    <n v="813.05700000000024"/>
    <n v="28.000000000000011"/>
    <s v="Credit Card"/>
  </r>
  <r>
    <s v="ORD0071"/>
    <x v="58"/>
    <x v="3"/>
    <n v="2"/>
    <s v="CUST0273"/>
    <x v="6"/>
    <x v="2"/>
    <x v="2"/>
    <x v="27"/>
    <n v="5"/>
    <n v="53398.89"/>
    <x v="3"/>
    <n v="266994.45"/>
    <n v="26699.445"/>
    <n v="240295.005"/>
    <n v="187430.10389999999"/>
    <n v="52864.901099999988"/>
    <n v="21.999999999999989"/>
    <s v="Net Banking"/>
  </r>
  <r>
    <s v="ORD0072"/>
    <x v="60"/>
    <x v="6"/>
    <n v="7"/>
    <s v="CUST0111"/>
    <x v="3"/>
    <x v="1"/>
    <x v="4"/>
    <x v="11"/>
    <n v="3"/>
    <n v="716.6"/>
    <x v="3"/>
    <n v="2149.8000000000002"/>
    <n v="214.98"/>
    <n v="1934.82"/>
    <n v="1393.0704000000001"/>
    <n v="541.7496000000001"/>
    <n v="28"/>
    <s v="Cash"/>
  </r>
  <r>
    <s v="ORD0073"/>
    <x v="61"/>
    <x v="7"/>
    <n v="12"/>
    <s v="CUST0093"/>
    <x v="4"/>
    <x v="2"/>
    <x v="0"/>
    <x v="3"/>
    <n v="1"/>
    <n v="5432.34"/>
    <x v="3"/>
    <n v="5432.34"/>
    <n v="543.23400000000004"/>
    <n v="4889.1059999999998"/>
    <n v="2689.0083"/>
    <n v="2200.0976999999998"/>
    <n v="44.999999999999993"/>
    <s v="Debit Card"/>
  </r>
  <r>
    <s v="ORD0074"/>
    <x v="2"/>
    <x v="2"/>
    <n v="10"/>
    <s v="CUST0001"/>
    <x v="9"/>
    <x v="2"/>
    <x v="1"/>
    <x v="6"/>
    <n v="2"/>
    <n v="1119.3499999999999"/>
    <x v="4"/>
    <n v="2238.6999999999998"/>
    <n v="111.935"/>
    <n v="2126.7649999999999"/>
    <n v="1105.9177999999999"/>
    <n v="1020.8472"/>
    <n v="48"/>
    <s v="Credit Card"/>
  </r>
  <r>
    <s v="ORD0075"/>
    <x v="62"/>
    <x v="3"/>
    <n v="2"/>
    <s v="CUST0073"/>
    <x v="2"/>
    <x v="2"/>
    <x v="5"/>
    <x v="28"/>
    <n v="1"/>
    <n v="13826.89"/>
    <x v="1"/>
    <n v="13826.89"/>
    <n v="2074.0335"/>
    <n v="11752.8565"/>
    <n v="7991.9424200000003"/>
    <n v="3760.91408"/>
    <n v="32"/>
    <s v="Debit Card"/>
  </r>
  <r>
    <s v="ORD0076"/>
    <x v="63"/>
    <x v="5"/>
    <n v="11"/>
    <s v="CUST0113"/>
    <x v="7"/>
    <x v="2"/>
    <x v="1"/>
    <x v="6"/>
    <n v="1"/>
    <n v="1113.7"/>
    <x v="0"/>
    <n v="1113.7"/>
    <n v="222.74"/>
    <n v="890.96"/>
    <n v="463.29919999999998"/>
    <n v="427.66079999999999"/>
    <n v="48"/>
    <s v="Credit Card"/>
  </r>
  <r>
    <s v="ORD0077"/>
    <x v="64"/>
    <x v="11"/>
    <n v="1"/>
    <s v="CUST0007"/>
    <x v="7"/>
    <x v="1"/>
    <x v="4"/>
    <x v="11"/>
    <n v="2"/>
    <n v="909.59"/>
    <x v="2"/>
    <n v="1819.18"/>
    <n v="0"/>
    <n v="1819.18"/>
    <n v="1309.8096"/>
    <n v="509.37040000000002"/>
    <n v="28"/>
    <s v="Cash"/>
  </r>
  <r>
    <s v="ORD0078"/>
    <x v="65"/>
    <x v="2"/>
    <n v="10"/>
    <s v="CUST0119"/>
    <x v="9"/>
    <x v="0"/>
    <x v="5"/>
    <x v="28"/>
    <n v="6"/>
    <n v="14483.89"/>
    <x v="4"/>
    <n v="86903.34"/>
    <n v="4345.1670000000004"/>
    <n v="82558.172999999995"/>
    <n v="56139.557639999999"/>
    <n v="26418.61536"/>
    <n v="32"/>
    <s v="UPI"/>
  </r>
  <r>
    <s v="ORD0079"/>
    <x v="66"/>
    <x v="10"/>
    <n v="8"/>
    <s v="CUST0013"/>
    <x v="6"/>
    <x v="2"/>
    <x v="4"/>
    <x v="13"/>
    <n v="2"/>
    <n v="665.64"/>
    <x v="4"/>
    <n v="1331.28"/>
    <n v="66.564000000000007"/>
    <n v="1264.7159999999999"/>
    <n v="910.59551999999985"/>
    <n v="354.12047999999999"/>
    <n v="28.000000000000011"/>
    <s v="Credit Card"/>
  </r>
  <r>
    <s v="ORD0080"/>
    <x v="67"/>
    <x v="1"/>
    <n v="3"/>
    <s v="CUST0034"/>
    <x v="1"/>
    <x v="2"/>
    <x v="2"/>
    <x v="29"/>
    <n v="5"/>
    <n v="35336.18"/>
    <x v="1"/>
    <n v="176680.9"/>
    <n v="26502.134999999998"/>
    <n v="150178.76500000001"/>
    <n v="117139.43670000001"/>
    <n v="33039.328299999986"/>
    <n v="22"/>
    <s v="Debit Card"/>
  </r>
  <r>
    <s v="ORD0081"/>
    <x v="68"/>
    <x v="3"/>
    <n v="2"/>
    <s v="CUST0226"/>
    <x v="1"/>
    <x v="1"/>
    <x v="2"/>
    <x v="22"/>
    <n v="5"/>
    <n v="28695.69"/>
    <x v="1"/>
    <n v="143478.45000000001"/>
    <n v="21521.767500000002"/>
    <n v="121956.6825"/>
    <n v="95126.212349999987"/>
    <n v="26830.47014999999"/>
    <n v="22"/>
    <s v="Net Banking"/>
  </r>
  <r>
    <s v="ORD0082"/>
    <x v="9"/>
    <x v="2"/>
    <n v="10"/>
    <s v="CUST0112"/>
    <x v="6"/>
    <x v="0"/>
    <x v="1"/>
    <x v="25"/>
    <n v="6"/>
    <n v="943.6"/>
    <x v="3"/>
    <n v="5661.6"/>
    <n v="566.16000000000008"/>
    <n v="5095.4400000000014"/>
    <n v="2649.6288"/>
    <n v="2445.8112000000001"/>
    <n v="48"/>
    <s v="UPI"/>
  </r>
  <r>
    <s v="ORD0083"/>
    <x v="29"/>
    <x v="4"/>
    <n v="9"/>
    <s v="CUST0223"/>
    <x v="5"/>
    <x v="0"/>
    <x v="3"/>
    <x v="8"/>
    <n v="3"/>
    <n v="143.78"/>
    <x v="1"/>
    <n v="431.34"/>
    <n v="64.701000000000008"/>
    <n v="366.63900000000001"/>
    <n v="212.65062"/>
    <n v="153.98838000000001"/>
    <n v="42"/>
    <s v="Cash"/>
  </r>
  <r>
    <s v="ORD0084"/>
    <x v="69"/>
    <x v="1"/>
    <n v="3"/>
    <s v="CUST0062"/>
    <x v="3"/>
    <x v="0"/>
    <x v="0"/>
    <x v="0"/>
    <n v="7"/>
    <n v="4993.8999999999996"/>
    <x v="4"/>
    <n v="34957.300000000003"/>
    <n v="1747.865"/>
    <n v="33209.434999999998"/>
    <n v="18265.189249999999"/>
    <n v="14944.24575"/>
    <n v="44.999999999999993"/>
    <s v="Credit Card"/>
  </r>
  <r>
    <s v="ORD0085"/>
    <x v="70"/>
    <x v="8"/>
    <n v="6"/>
    <s v="CUST0275"/>
    <x v="6"/>
    <x v="2"/>
    <x v="0"/>
    <x v="4"/>
    <n v="5"/>
    <n v="1528.74"/>
    <x v="3"/>
    <n v="7643.7"/>
    <n v="764.37"/>
    <n v="6879.33"/>
    <n v="3783.6315"/>
    <n v="3095.6985"/>
    <n v="44.999999999999993"/>
    <s v="UPI"/>
  </r>
  <r>
    <s v="ORD0086"/>
    <x v="71"/>
    <x v="9"/>
    <n v="5"/>
    <s v="CUST0139"/>
    <x v="6"/>
    <x v="2"/>
    <x v="2"/>
    <x v="2"/>
    <n v="2"/>
    <n v="51763.43"/>
    <x v="2"/>
    <n v="103526.86"/>
    <n v="0"/>
    <n v="103526.86"/>
    <n v="80750.950800000006"/>
    <n v="22775.909199999991"/>
    <n v="21.999999999999989"/>
    <s v="Debit Card"/>
  </r>
  <r>
    <s v="ORD0087"/>
    <x v="27"/>
    <x v="8"/>
    <n v="6"/>
    <s v="CUST0138"/>
    <x v="4"/>
    <x v="2"/>
    <x v="4"/>
    <x v="26"/>
    <n v="2"/>
    <n v="572.41"/>
    <x v="3"/>
    <n v="1144.82"/>
    <n v="114.482"/>
    <n v="1030.338"/>
    <n v="741.84335999999996"/>
    <n v="288.49464"/>
    <n v="28"/>
    <s v="Cash"/>
  </r>
  <r>
    <s v="ORD0088"/>
    <x v="72"/>
    <x v="5"/>
    <n v="11"/>
    <s v="CUST0038"/>
    <x v="0"/>
    <x v="1"/>
    <x v="1"/>
    <x v="23"/>
    <n v="1"/>
    <n v="2708.75"/>
    <x v="1"/>
    <n v="2708.75"/>
    <n v="406.3125"/>
    <n v="2302.4375"/>
    <n v="1197.2674999999999"/>
    <n v="1105.17"/>
    <n v="48.000000000000007"/>
    <s v="Net Banking"/>
  </r>
  <r>
    <s v="ORD0089"/>
    <x v="73"/>
    <x v="5"/>
    <n v="11"/>
    <s v="CUST0137"/>
    <x v="4"/>
    <x v="1"/>
    <x v="0"/>
    <x v="0"/>
    <n v="4"/>
    <n v="2746.85"/>
    <x v="6"/>
    <n v="10987.4"/>
    <n v="2746.85"/>
    <n v="8240.5499999999993"/>
    <n v="4532.3024999999998"/>
    <n v="3708.247499999999"/>
    <n v="44.999999999999993"/>
    <s v="UPI"/>
  </r>
  <r>
    <s v="ORD0090"/>
    <x v="74"/>
    <x v="2"/>
    <n v="10"/>
    <s v="CUST0229"/>
    <x v="7"/>
    <x v="2"/>
    <x v="4"/>
    <x v="9"/>
    <n v="4"/>
    <n v="1018.1"/>
    <x v="4"/>
    <n v="4072.4"/>
    <n v="203.62"/>
    <n v="3868.78"/>
    <n v="2785.5216"/>
    <n v="1083.2583999999999"/>
    <n v="28"/>
    <s v="Net Banking"/>
  </r>
  <r>
    <s v="ORD0091"/>
    <x v="45"/>
    <x v="7"/>
    <n v="12"/>
    <s v="CUST0237"/>
    <x v="2"/>
    <x v="2"/>
    <x v="3"/>
    <x v="5"/>
    <n v="6"/>
    <n v="1355.36"/>
    <x v="3"/>
    <n v="8132.16"/>
    <n v="813.21600000000001"/>
    <n v="7318.9440000000004"/>
    <n v="4244.9875199999997"/>
    <n v="3073.9564799999998"/>
    <n v="42"/>
    <s v="Debit Card"/>
  </r>
  <r>
    <s v="ORD0092"/>
    <x v="75"/>
    <x v="9"/>
    <n v="5"/>
    <s v="CUST0153"/>
    <x v="8"/>
    <x v="2"/>
    <x v="4"/>
    <x v="26"/>
    <n v="1"/>
    <n v="909.75"/>
    <x v="3"/>
    <n v="909.75"/>
    <n v="90.975000000000009"/>
    <n v="818.77499999999998"/>
    <n v="589.51799999999992"/>
    <n v="229.25700000000009"/>
    <n v="28.000000000000011"/>
    <s v="Net Banking"/>
  </r>
  <r>
    <s v="ORD0093"/>
    <x v="76"/>
    <x v="0"/>
    <n v="4"/>
    <s v="CUST0179"/>
    <x v="1"/>
    <x v="0"/>
    <x v="3"/>
    <x v="8"/>
    <n v="7"/>
    <n v="380.56"/>
    <x v="6"/>
    <n v="2663.92"/>
    <n v="665.98"/>
    <n v="1997.94"/>
    <n v="1158.8052"/>
    <n v="839.13480000000004"/>
    <n v="42"/>
    <s v="Net Banking"/>
  </r>
  <r>
    <s v="ORD0094"/>
    <x v="9"/>
    <x v="2"/>
    <n v="10"/>
    <s v="CUST0038"/>
    <x v="3"/>
    <x v="2"/>
    <x v="0"/>
    <x v="19"/>
    <n v="6"/>
    <n v="5416.41"/>
    <x v="0"/>
    <n v="32498.46"/>
    <n v="6499.692"/>
    <n v="25998.768"/>
    <n v="14299.322399999999"/>
    <n v="11699.445599999999"/>
    <n v="44.999999999999993"/>
    <s v="Net Banking"/>
  </r>
  <r>
    <s v="ORD0095"/>
    <x v="9"/>
    <x v="2"/>
    <n v="10"/>
    <s v="CUST0123"/>
    <x v="2"/>
    <x v="2"/>
    <x v="4"/>
    <x v="9"/>
    <n v="4"/>
    <n v="705.37"/>
    <x v="0"/>
    <n v="2821.48"/>
    <n v="564.29600000000005"/>
    <n v="2257.1840000000002"/>
    <n v="1625.17248"/>
    <n v="632.01152000000002"/>
    <n v="28"/>
    <s v="Cash"/>
  </r>
  <r>
    <s v="ORD0096"/>
    <x v="77"/>
    <x v="7"/>
    <n v="12"/>
    <s v="CUST0047"/>
    <x v="6"/>
    <x v="2"/>
    <x v="0"/>
    <x v="3"/>
    <n v="7"/>
    <n v="4885.12"/>
    <x v="4"/>
    <n v="34195.839999999997"/>
    <n v="1709.7919999999999"/>
    <n v="32486.047999999999"/>
    <n v="17867.326400000002"/>
    <n v="14618.721600000001"/>
    <n v="44.999999999999993"/>
    <s v="Debit Card"/>
  </r>
  <r>
    <s v="ORD0097"/>
    <x v="78"/>
    <x v="0"/>
    <n v="4"/>
    <s v="CUST0283"/>
    <x v="9"/>
    <x v="1"/>
    <x v="3"/>
    <x v="5"/>
    <n v="3"/>
    <n v="1457.22"/>
    <x v="1"/>
    <n v="4371.66"/>
    <n v="655.74899999999991"/>
    <n v="3715.9110000000001"/>
    <n v="2155.22838"/>
    <n v="1560.68262"/>
    <n v="42"/>
    <s v="Credit Card"/>
  </r>
  <r>
    <s v="ORD0098"/>
    <x v="79"/>
    <x v="2"/>
    <n v="10"/>
    <s v="CUST0210"/>
    <x v="3"/>
    <x v="2"/>
    <x v="3"/>
    <x v="8"/>
    <n v="4"/>
    <n v="2288.4499999999998"/>
    <x v="4"/>
    <n v="9153.7999999999993"/>
    <n v="457.69"/>
    <n v="8696.1099999999988"/>
    <n v="5043.7437999999993"/>
    <n v="3652.366199999999"/>
    <n v="42"/>
    <s v="Debit Card"/>
  </r>
  <r>
    <s v="ORD0099"/>
    <x v="80"/>
    <x v="7"/>
    <n v="12"/>
    <s v="CUST0106"/>
    <x v="8"/>
    <x v="1"/>
    <x v="0"/>
    <x v="3"/>
    <n v="5"/>
    <n v="5573.75"/>
    <x v="1"/>
    <n v="27868.75"/>
    <n v="4180.3125"/>
    <n v="23688.4375"/>
    <n v="13028.640625"/>
    <n v="10659.796875"/>
    <n v="44.999999999999993"/>
    <s v="UPI"/>
  </r>
  <r>
    <s v="ORD0100"/>
    <x v="58"/>
    <x v="3"/>
    <n v="2"/>
    <s v="CUST0257"/>
    <x v="9"/>
    <x v="2"/>
    <x v="1"/>
    <x v="1"/>
    <n v="6"/>
    <n v="3283.41"/>
    <x v="6"/>
    <n v="19700.46"/>
    <n v="4925.1149999999998"/>
    <n v="14775.344999999999"/>
    <n v="7683.1794"/>
    <n v="7092.1655999999994"/>
    <n v="48"/>
    <s v="Cash"/>
  </r>
  <r>
    <s v="ORD0101"/>
    <x v="81"/>
    <x v="6"/>
    <n v="7"/>
    <s v="CUST0149"/>
    <x v="3"/>
    <x v="2"/>
    <x v="2"/>
    <x v="10"/>
    <n v="1"/>
    <n v="57584.09"/>
    <x v="3"/>
    <n v="57584.09"/>
    <n v="5758.4089999999997"/>
    <n v="51825.680999999997"/>
    <n v="40424.031179999998"/>
    <n v="11401.649820000001"/>
    <n v="22"/>
    <s v="Credit Card"/>
  </r>
  <r>
    <s v="ORD0102"/>
    <x v="82"/>
    <x v="5"/>
    <n v="11"/>
    <s v="CUST0025"/>
    <x v="2"/>
    <x v="1"/>
    <x v="1"/>
    <x v="1"/>
    <n v="2"/>
    <n v="1300.55"/>
    <x v="3"/>
    <n v="2601.1"/>
    <n v="260.11"/>
    <n v="2340.9899999999998"/>
    <n v="1217.3148000000001"/>
    <n v="1123.6751999999999"/>
    <n v="48"/>
    <s v="Credit Card"/>
  </r>
  <r>
    <s v="ORD0103"/>
    <x v="83"/>
    <x v="7"/>
    <n v="12"/>
    <s v="CUST0182"/>
    <x v="1"/>
    <x v="2"/>
    <x v="2"/>
    <x v="29"/>
    <n v="3"/>
    <n v="9872.26"/>
    <x v="6"/>
    <n v="29616.78"/>
    <n v="7404.1949999999997"/>
    <n v="22212.584999999999"/>
    <n v="17325.816299999999"/>
    <n v="4886.7687000000014"/>
    <n v="22"/>
    <s v="Net Banking"/>
  </r>
  <r>
    <s v="ORD0104"/>
    <x v="84"/>
    <x v="7"/>
    <n v="12"/>
    <s v="CUST0154"/>
    <x v="4"/>
    <x v="2"/>
    <x v="2"/>
    <x v="10"/>
    <n v="1"/>
    <n v="52488.26"/>
    <x v="4"/>
    <n v="52488.26"/>
    <n v="2624.413"/>
    <n v="49863.847000000002"/>
    <n v="38893.800660000001"/>
    <n v="10970.046340000001"/>
    <n v="22"/>
    <s v="UPI"/>
  </r>
  <r>
    <s v="ORD0105"/>
    <x v="85"/>
    <x v="1"/>
    <n v="3"/>
    <s v="CUST0063"/>
    <x v="1"/>
    <x v="2"/>
    <x v="2"/>
    <x v="10"/>
    <n v="1"/>
    <n v="39766.410000000003"/>
    <x v="0"/>
    <n v="39766.410000000003"/>
    <n v="7953.2820000000011"/>
    <n v="31813.128000000001"/>
    <n v="24814.239840000009"/>
    <n v="6998.8881599999986"/>
    <n v="21.999999999999989"/>
    <s v="Net Banking"/>
  </r>
  <r>
    <s v="ORD0106"/>
    <x v="86"/>
    <x v="10"/>
    <n v="8"/>
    <s v="CUST0158"/>
    <x v="8"/>
    <x v="2"/>
    <x v="3"/>
    <x v="17"/>
    <n v="3"/>
    <n v="2019.48"/>
    <x v="3"/>
    <n v="6058.4400000000014"/>
    <n v="605.84400000000005"/>
    <n v="5452.5959999999995"/>
    <n v="3162.5056800000002"/>
    <n v="2290.0903199999998"/>
    <n v="42"/>
    <s v="Debit Card"/>
  </r>
  <r>
    <s v="ORD0107"/>
    <x v="87"/>
    <x v="11"/>
    <n v="1"/>
    <s v="CUST0113"/>
    <x v="4"/>
    <x v="0"/>
    <x v="2"/>
    <x v="2"/>
    <n v="6"/>
    <n v="48701.37"/>
    <x v="3"/>
    <n v="292208.21999999997"/>
    <n v="29220.822"/>
    <n v="262987.39799999999"/>
    <n v="205130.17043999999"/>
    <n v="57857.227559999999"/>
    <n v="22"/>
    <s v="Cash"/>
  </r>
  <r>
    <s v="ORD0108"/>
    <x v="5"/>
    <x v="4"/>
    <n v="9"/>
    <s v="CUST0162"/>
    <x v="8"/>
    <x v="1"/>
    <x v="1"/>
    <x v="6"/>
    <n v="7"/>
    <n v="3322.18"/>
    <x v="3"/>
    <n v="23255.26"/>
    <n v="2325.5259999999998"/>
    <n v="20929.734"/>
    <n v="10883.46168"/>
    <n v="10046.27232"/>
    <n v="48"/>
    <s v="Credit Card"/>
  </r>
  <r>
    <s v="ORD0109"/>
    <x v="88"/>
    <x v="7"/>
    <n v="12"/>
    <s v="CUST0255"/>
    <x v="1"/>
    <x v="0"/>
    <x v="2"/>
    <x v="10"/>
    <n v="1"/>
    <n v="20652.41"/>
    <x v="4"/>
    <n v="20652.41"/>
    <n v="1032.6205"/>
    <n v="19619.789499999999"/>
    <n v="15303.435810000001"/>
    <n v="4316.3536899999999"/>
    <n v="22"/>
    <s v="Net Banking"/>
  </r>
  <r>
    <s v="ORD0110"/>
    <x v="67"/>
    <x v="1"/>
    <n v="3"/>
    <s v="CUST0291"/>
    <x v="1"/>
    <x v="0"/>
    <x v="3"/>
    <x v="18"/>
    <n v="1"/>
    <n v="1436.13"/>
    <x v="1"/>
    <n v="1436.13"/>
    <n v="215.4195"/>
    <n v="1220.7104999999999"/>
    <n v="708.01209000000006"/>
    <n v="512.69841000000008"/>
    <n v="42.000000000000007"/>
    <s v="Cash"/>
  </r>
  <r>
    <s v="ORD0111"/>
    <x v="89"/>
    <x v="8"/>
    <n v="6"/>
    <s v="CUST0007"/>
    <x v="2"/>
    <x v="1"/>
    <x v="4"/>
    <x v="21"/>
    <n v="5"/>
    <n v="517.35"/>
    <x v="3"/>
    <n v="2586.75"/>
    <n v="258.67500000000001"/>
    <n v="2328.0749999999998"/>
    <n v="1676.2139999999999"/>
    <n v="651.8610000000001"/>
    <n v="28.000000000000011"/>
    <s v="Net Banking"/>
  </r>
  <r>
    <s v="ORD0112"/>
    <x v="90"/>
    <x v="9"/>
    <n v="5"/>
    <s v="CUST0002"/>
    <x v="8"/>
    <x v="1"/>
    <x v="1"/>
    <x v="7"/>
    <n v="3"/>
    <n v="2124.04"/>
    <x v="3"/>
    <n v="6372.12"/>
    <n v="637.21199999999999"/>
    <n v="5734.9079999999994"/>
    <n v="2982.1521600000001"/>
    <n v="2752.7558399999998"/>
    <n v="48.000000000000007"/>
    <s v="Cash"/>
  </r>
  <r>
    <s v="ORD0113"/>
    <x v="91"/>
    <x v="11"/>
    <n v="1"/>
    <s v="CUST0020"/>
    <x v="9"/>
    <x v="2"/>
    <x v="5"/>
    <x v="28"/>
    <n v="7"/>
    <n v="11043.08"/>
    <x v="1"/>
    <n v="77301.56"/>
    <n v="11595.234"/>
    <n v="65706.326000000001"/>
    <n v="44680.301679999997"/>
    <n v="21026.02432"/>
    <n v="32"/>
    <s v="Credit Card"/>
  </r>
  <r>
    <s v="ORD0114"/>
    <x v="46"/>
    <x v="3"/>
    <n v="2"/>
    <s v="CUST0280"/>
    <x v="8"/>
    <x v="0"/>
    <x v="0"/>
    <x v="0"/>
    <n v="3"/>
    <n v="5716.49"/>
    <x v="0"/>
    <n v="17149.47"/>
    <n v="3429.8939999999998"/>
    <n v="13719.575999999999"/>
    <n v="7545.7668000000012"/>
    <n v="6173.8091999999997"/>
    <n v="44.999999999999993"/>
    <s v="UPI"/>
  </r>
  <r>
    <s v="ORD0115"/>
    <x v="92"/>
    <x v="0"/>
    <n v="4"/>
    <s v="CUST0281"/>
    <x v="0"/>
    <x v="2"/>
    <x v="2"/>
    <x v="2"/>
    <n v="6"/>
    <n v="50276.160000000003"/>
    <x v="1"/>
    <n v="301656.96000000002"/>
    <n v="45248.544000000002"/>
    <n v="256408.416"/>
    <n v="199998.56448"/>
    <n v="56409.851519999997"/>
    <n v="22"/>
    <s v="Cash"/>
  </r>
  <r>
    <s v="ORD0116"/>
    <x v="93"/>
    <x v="8"/>
    <n v="6"/>
    <s v="CUST0075"/>
    <x v="5"/>
    <x v="0"/>
    <x v="5"/>
    <x v="16"/>
    <n v="5"/>
    <n v="6362.78"/>
    <x v="4"/>
    <n v="31813.9"/>
    <n v="1590.6949999999999"/>
    <n v="30223.205000000002"/>
    <n v="20551.779399999999"/>
    <n v="9671.4255999999987"/>
    <n v="32"/>
    <s v="Credit Card"/>
  </r>
  <r>
    <s v="ORD0117"/>
    <x v="80"/>
    <x v="7"/>
    <n v="12"/>
    <s v="CUST0076"/>
    <x v="0"/>
    <x v="2"/>
    <x v="2"/>
    <x v="27"/>
    <n v="6"/>
    <n v="11829"/>
    <x v="3"/>
    <n v="70974"/>
    <n v="7097.4000000000005"/>
    <n v="63876.6"/>
    <n v="49823.748"/>
    <n v="14052.852000000001"/>
    <n v="22"/>
    <s v="Net Banking"/>
  </r>
  <r>
    <s v="ORD0118"/>
    <x v="94"/>
    <x v="11"/>
    <n v="1"/>
    <s v="CUST0268"/>
    <x v="3"/>
    <x v="2"/>
    <x v="2"/>
    <x v="27"/>
    <n v="7"/>
    <n v="57811.73"/>
    <x v="1"/>
    <n v="404682.11"/>
    <n v="60702.316500000001"/>
    <n v="343979.79350000003"/>
    <n v="268304.23893000011"/>
    <n v="75675.554569999978"/>
    <n v="21.999999999999989"/>
    <s v="Net Banking"/>
  </r>
  <r>
    <s v="ORD0119"/>
    <x v="7"/>
    <x v="6"/>
    <n v="7"/>
    <s v="CUST0193"/>
    <x v="7"/>
    <x v="2"/>
    <x v="5"/>
    <x v="14"/>
    <n v="6"/>
    <n v="3556.73"/>
    <x v="4"/>
    <n v="21340.38"/>
    <n v="1067.019"/>
    <n v="20273.361000000001"/>
    <n v="13785.885480000001"/>
    <n v="6487.47552"/>
    <n v="32"/>
    <s v="Debit Card"/>
  </r>
  <r>
    <s v="ORD0120"/>
    <x v="95"/>
    <x v="2"/>
    <n v="10"/>
    <s v="CUST0164"/>
    <x v="8"/>
    <x v="1"/>
    <x v="1"/>
    <x v="25"/>
    <n v="5"/>
    <n v="2962.36"/>
    <x v="3"/>
    <n v="14811.8"/>
    <n v="1481.18"/>
    <n v="13330.62"/>
    <n v="6931.9224000000004"/>
    <n v="6398.6976000000004"/>
    <n v="48"/>
    <s v="Credit Card"/>
  </r>
  <r>
    <s v="ORD0121"/>
    <x v="3"/>
    <x v="3"/>
    <n v="2"/>
    <s v="CUST0036"/>
    <x v="6"/>
    <x v="1"/>
    <x v="4"/>
    <x v="11"/>
    <n v="6"/>
    <n v="892.46"/>
    <x v="4"/>
    <n v="5354.76"/>
    <n v="267.738"/>
    <n v="5087.0219999999999"/>
    <n v="3662.6558399999999"/>
    <n v="1424.36616"/>
    <n v="28"/>
    <s v="Cash"/>
  </r>
  <r>
    <s v="ORD0122"/>
    <x v="96"/>
    <x v="7"/>
    <n v="12"/>
    <s v="CUST0154"/>
    <x v="4"/>
    <x v="2"/>
    <x v="4"/>
    <x v="21"/>
    <n v="3"/>
    <n v="736.37"/>
    <x v="3"/>
    <n v="2209.11"/>
    <n v="220.911"/>
    <n v="1988.1990000000001"/>
    <n v="1431.5032799999999"/>
    <n v="556.69572000000016"/>
    <n v="28.000000000000011"/>
    <s v="UPI"/>
  </r>
  <r>
    <s v="ORD0123"/>
    <x v="74"/>
    <x v="2"/>
    <n v="10"/>
    <s v="CUST0042"/>
    <x v="3"/>
    <x v="1"/>
    <x v="2"/>
    <x v="2"/>
    <n v="1"/>
    <n v="36243.01"/>
    <x v="1"/>
    <n v="36243.01"/>
    <n v="5436.4515000000001"/>
    <n v="30806.558499999999"/>
    <n v="24029.11563"/>
    <n v="6777.4428699999989"/>
    <n v="21.999999999999989"/>
    <s v="Debit Card"/>
  </r>
  <r>
    <s v="ORD0124"/>
    <x v="97"/>
    <x v="10"/>
    <n v="8"/>
    <s v="CUST0012"/>
    <x v="7"/>
    <x v="2"/>
    <x v="0"/>
    <x v="4"/>
    <n v="4"/>
    <n v="5822.35"/>
    <x v="2"/>
    <n v="23289.4"/>
    <n v="0"/>
    <n v="23289.4"/>
    <n v="12809.17"/>
    <n v="10480.23"/>
    <n v="44.999999999999993"/>
    <s v="Debit Card"/>
  </r>
  <r>
    <s v="ORD0125"/>
    <x v="98"/>
    <x v="5"/>
    <n v="11"/>
    <s v="CUST0012"/>
    <x v="1"/>
    <x v="1"/>
    <x v="1"/>
    <x v="7"/>
    <n v="1"/>
    <n v="3335.78"/>
    <x v="3"/>
    <n v="3335.78"/>
    <n v="333.57799999999997"/>
    <n v="3002.2020000000002"/>
    <n v="1561.1450400000001"/>
    <n v="1441.0569599999999"/>
    <n v="48"/>
    <s v="UPI"/>
  </r>
  <r>
    <s v="ORD0126"/>
    <x v="86"/>
    <x v="10"/>
    <n v="8"/>
    <s v="CUST0089"/>
    <x v="2"/>
    <x v="2"/>
    <x v="1"/>
    <x v="7"/>
    <n v="6"/>
    <n v="2302.86"/>
    <x v="5"/>
    <n v="13817.16"/>
    <n v="4145.1480000000001"/>
    <n v="9672.0119999999988"/>
    <n v="5029.4462399999993"/>
    <n v="4642.5657599999986"/>
    <n v="48"/>
    <s v="Credit Card"/>
  </r>
  <r>
    <s v="ORD0127"/>
    <x v="36"/>
    <x v="3"/>
    <n v="2"/>
    <s v="CUST0086"/>
    <x v="2"/>
    <x v="1"/>
    <x v="5"/>
    <x v="16"/>
    <n v="7"/>
    <n v="24985.45"/>
    <x v="1"/>
    <n v="174898.15"/>
    <n v="26234.7225"/>
    <n v="148663.42749999999"/>
    <n v="101091.13069999999"/>
    <n v="47572.296799999996"/>
    <n v="32"/>
    <s v="UPI"/>
  </r>
  <r>
    <s v="ORD0128"/>
    <x v="99"/>
    <x v="8"/>
    <n v="6"/>
    <s v="CUST0103"/>
    <x v="8"/>
    <x v="0"/>
    <x v="5"/>
    <x v="12"/>
    <n v="3"/>
    <n v="23746"/>
    <x v="3"/>
    <n v="71238"/>
    <n v="7123.8"/>
    <n v="64114.2"/>
    <n v="43597.656000000003"/>
    <n v="20516.543999999991"/>
    <n v="32"/>
    <s v="Cash"/>
  </r>
  <r>
    <s v="ORD0129"/>
    <x v="100"/>
    <x v="6"/>
    <n v="7"/>
    <s v="CUST0183"/>
    <x v="0"/>
    <x v="1"/>
    <x v="1"/>
    <x v="23"/>
    <n v="2"/>
    <n v="3120.49"/>
    <x v="3"/>
    <n v="6240.98"/>
    <n v="624.09799999999996"/>
    <n v="5616.8819999999996"/>
    <n v="2920.77864"/>
    <n v="2696.1033600000001"/>
    <n v="48"/>
    <s v="Cash"/>
  </r>
  <r>
    <s v="ORD0130"/>
    <x v="88"/>
    <x v="7"/>
    <n v="12"/>
    <s v="CUST0108"/>
    <x v="4"/>
    <x v="1"/>
    <x v="4"/>
    <x v="11"/>
    <n v="1"/>
    <n v="898.53"/>
    <x v="3"/>
    <n v="898.53"/>
    <n v="89.853000000000009"/>
    <n v="808.67699999999991"/>
    <n v="582.24743999999987"/>
    <n v="226.42956000000001"/>
    <n v="28.000000000000011"/>
    <s v="Credit Card"/>
  </r>
  <r>
    <s v="ORD0131"/>
    <x v="101"/>
    <x v="3"/>
    <n v="2"/>
    <s v="CUST0096"/>
    <x v="7"/>
    <x v="1"/>
    <x v="4"/>
    <x v="13"/>
    <n v="3"/>
    <n v="1055.9100000000001"/>
    <x v="3"/>
    <n v="3167.73"/>
    <n v="316.77300000000008"/>
    <n v="2850.9569999999999"/>
    <n v="2052.6890400000002"/>
    <n v="798.26796000000013"/>
    <n v="28"/>
    <s v="Net Banking"/>
  </r>
  <r>
    <s v="ORD0132"/>
    <x v="73"/>
    <x v="5"/>
    <n v="11"/>
    <s v="CUST0239"/>
    <x v="3"/>
    <x v="0"/>
    <x v="1"/>
    <x v="23"/>
    <n v="4"/>
    <n v="2270.77"/>
    <x v="6"/>
    <n v="9083.08"/>
    <n v="2270.77"/>
    <n v="6812.3099999999986"/>
    <n v="3542.4011999999998"/>
    <n v="3269.9088000000002"/>
    <n v="48"/>
    <s v="Cash"/>
  </r>
  <r>
    <s v="ORD0133"/>
    <x v="102"/>
    <x v="1"/>
    <n v="3"/>
    <s v="CUST0158"/>
    <x v="4"/>
    <x v="0"/>
    <x v="4"/>
    <x v="9"/>
    <n v="1"/>
    <n v="177.05"/>
    <x v="3"/>
    <n v="177.05"/>
    <n v="17.704999999999998"/>
    <n v="159.345"/>
    <n v="114.72839999999999"/>
    <n v="44.616600000000012"/>
    <n v="28"/>
    <s v="UPI"/>
  </r>
  <r>
    <s v="ORD0134"/>
    <x v="103"/>
    <x v="6"/>
    <n v="7"/>
    <s v="CUST0140"/>
    <x v="2"/>
    <x v="2"/>
    <x v="1"/>
    <x v="7"/>
    <n v="6"/>
    <n v="348.83"/>
    <x v="2"/>
    <n v="2092.98"/>
    <n v="0"/>
    <n v="2092.98"/>
    <n v="1088.3496"/>
    <n v="1004.6304"/>
    <n v="48"/>
    <s v="Net Banking"/>
  </r>
  <r>
    <s v="ORD0135"/>
    <x v="104"/>
    <x v="6"/>
    <n v="7"/>
    <s v="CUST0199"/>
    <x v="6"/>
    <x v="1"/>
    <x v="4"/>
    <x v="13"/>
    <n v="3"/>
    <n v="1089.28"/>
    <x v="5"/>
    <n v="3267.84"/>
    <n v="980.35199999999998"/>
    <n v="2287.4879999999998"/>
    <n v="1646.99136"/>
    <n v="640.49664000000007"/>
    <n v="28"/>
    <s v="Net Banking"/>
  </r>
  <r>
    <s v="ORD0136"/>
    <x v="105"/>
    <x v="1"/>
    <n v="3"/>
    <s v="CUST0107"/>
    <x v="4"/>
    <x v="2"/>
    <x v="4"/>
    <x v="26"/>
    <n v="5"/>
    <n v="1005.24"/>
    <x v="4"/>
    <n v="5026.2"/>
    <n v="251.31"/>
    <n v="4774.8899999999994"/>
    <n v="3437.920799999999"/>
    <n v="1336.9692"/>
    <n v="28"/>
    <s v="UPI"/>
  </r>
  <r>
    <s v="ORD0137"/>
    <x v="106"/>
    <x v="10"/>
    <n v="8"/>
    <s v="CUST0054"/>
    <x v="0"/>
    <x v="2"/>
    <x v="5"/>
    <x v="28"/>
    <n v="3"/>
    <n v="21089.63"/>
    <x v="0"/>
    <n v="63268.89"/>
    <n v="12653.778"/>
    <n v="50615.112000000001"/>
    <n v="34418.276160000001"/>
    <n v="16196.83584"/>
    <n v="32"/>
    <s v="Debit Card"/>
  </r>
  <r>
    <s v="ORD0138"/>
    <x v="107"/>
    <x v="11"/>
    <n v="1"/>
    <s v="CUST0178"/>
    <x v="4"/>
    <x v="0"/>
    <x v="5"/>
    <x v="28"/>
    <n v="1"/>
    <n v="6412.64"/>
    <x v="3"/>
    <n v="6412.64"/>
    <n v="641.26400000000012"/>
    <n v="5771.3760000000002"/>
    <n v="3924.53568"/>
    <n v="1846.84032"/>
    <n v="32"/>
    <s v="Debit Card"/>
  </r>
  <r>
    <s v="ORD0139"/>
    <x v="38"/>
    <x v="8"/>
    <n v="6"/>
    <s v="CUST0089"/>
    <x v="3"/>
    <x v="0"/>
    <x v="3"/>
    <x v="17"/>
    <n v="6"/>
    <n v="1595.05"/>
    <x v="1"/>
    <n v="9570.2999999999993"/>
    <n v="1435.5450000000001"/>
    <n v="8134.7549999999992"/>
    <n v="4718.1578999999992"/>
    <n v="3416.5971"/>
    <n v="42.000000000000007"/>
    <s v="Credit Card"/>
  </r>
  <r>
    <s v="ORD0140"/>
    <x v="55"/>
    <x v="4"/>
    <n v="9"/>
    <s v="CUST0195"/>
    <x v="3"/>
    <x v="0"/>
    <x v="2"/>
    <x v="29"/>
    <n v="3"/>
    <n v="23558.68"/>
    <x v="3"/>
    <n v="70676.040000000008"/>
    <n v="7067.6040000000012"/>
    <n v="63608.436000000009"/>
    <n v="49614.580080000007"/>
    <n v="13993.85592"/>
    <n v="22"/>
    <s v="Credit Card"/>
  </r>
  <r>
    <s v="ORD0141"/>
    <x v="108"/>
    <x v="11"/>
    <n v="1"/>
    <s v="CUST0124"/>
    <x v="5"/>
    <x v="1"/>
    <x v="2"/>
    <x v="22"/>
    <n v="5"/>
    <n v="49907.12"/>
    <x v="4"/>
    <n v="249535.6"/>
    <n v="12476.78"/>
    <n v="237058.82"/>
    <n v="184905.87959999999"/>
    <n v="52152.940399999992"/>
    <n v="22"/>
    <s v="Credit Card"/>
  </r>
  <r>
    <s v="ORD0142"/>
    <x v="109"/>
    <x v="3"/>
    <n v="2"/>
    <s v="CUST0114"/>
    <x v="1"/>
    <x v="2"/>
    <x v="0"/>
    <x v="19"/>
    <n v="5"/>
    <n v="5419.64"/>
    <x v="5"/>
    <n v="27098.2"/>
    <n v="8129.46"/>
    <n v="18968.740000000002"/>
    <n v="10432.807000000001"/>
    <n v="8535.9329999999991"/>
    <n v="44.999999999999993"/>
    <s v="Debit Card"/>
  </r>
  <r>
    <s v="ORD0143"/>
    <x v="110"/>
    <x v="6"/>
    <n v="7"/>
    <s v="CUST0289"/>
    <x v="5"/>
    <x v="1"/>
    <x v="3"/>
    <x v="8"/>
    <n v="2"/>
    <n v="1405.07"/>
    <x v="0"/>
    <n v="2810.14"/>
    <n v="562.02800000000002"/>
    <n v="2248.1120000000001"/>
    <n v="1303.9049600000001"/>
    <n v="944.20704000000023"/>
    <n v="42.000000000000007"/>
    <s v="UPI"/>
  </r>
  <r>
    <s v="ORD0144"/>
    <x v="111"/>
    <x v="3"/>
    <n v="2"/>
    <s v="CUST0181"/>
    <x v="2"/>
    <x v="1"/>
    <x v="3"/>
    <x v="18"/>
    <n v="1"/>
    <n v="901.62"/>
    <x v="4"/>
    <n v="901.62"/>
    <n v="45.081000000000003"/>
    <n v="856.53899999999999"/>
    <n v="496.79261999999989"/>
    <n v="359.74637999999999"/>
    <n v="42.000000000000007"/>
    <s v="Cash"/>
  </r>
  <r>
    <s v="ORD0145"/>
    <x v="112"/>
    <x v="11"/>
    <n v="1"/>
    <s v="CUST0031"/>
    <x v="0"/>
    <x v="0"/>
    <x v="1"/>
    <x v="1"/>
    <n v="3"/>
    <n v="3372.34"/>
    <x v="3"/>
    <n v="10117.02"/>
    <n v="1011.702"/>
    <n v="9105.3180000000011"/>
    <n v="4734.7653600000003"/>
    <n v="4370.5526400000008"/>
    <n v="48.000000000000007"/>
    <s v="Debit Card"/>
  </r>
  <r>
    <s v="ORD0146"/>
    <x v="113"/>
    <x v="8"/>
    <n v="6"/>
    <s v="CUST0012"/>
    <x v="0"/>
    <x v="0"/>
    <x v="5"/>
    <x v="16"/>
    <n v="4"/>
    <n v="15014.09"/>
    <x v="0"/>
    <n v="60056.36"/>
    <n v="12011.272000000001"/>
    <n v="48045.088000000003"/>
    <n v="32670.65984"/>
    <n v="15374.428159999999"/>
    <n v="32"/>
    <s v="Debit Card"/>
  </r>
  <r>
    <s v="ORD0147"/>
    <x v="17"/>
    <x v="0"/>
    <n v="4"/>
    <s v="CUST0163"/>
    <x v="5"/>
    <x v="1"/>
    <x v="2"/>
    <x v="27"/>
    <n v="1"/>
    <n v="14603.1"/>
    <x v="3"/>
    <n v="14603.1"/>
    <n v="1460.31"/>
    <n v="13142.79"/>
    <n v="10251.376200000001"/>
    <n v="2891.4137999999998"/>
    <n v="22"/>
    <s v="UPI"/>
  </r>
  <r>
    <s v="ORD0148"/>
    <x v="114"/>
    <x v="10"/>
    <n v="8"/>
    <s v="CUST0037"/>
    <x v="5"/>
    <x v="0"/>
    <x v="5"/>
    <x v="14"/>
    <n v="7"/>
    <n v="11323.4"/>
    <x v="4"/>
    <n v="79263.8"/>
    <n v="3963.190000000001"/>
    <n v="75300.61"/>
    <n v="51204.414800000013"/>
    <n v="24096.195199999991"/>
    <n v="32"/>
    <s v="Debit Card"/>
  </r>
  <r>
    <s v="ORD0149"/>
    <x v="115"/>
    <x v="6"/>
    <n v="7"/>
    <s v="CUST0193"/>
    <x v="5"/>
    <x v="0"/>
    <x v="2"/>
    <x v="2"/>
    <n v="4"/>
    <n v="11838.98"/>
    <x v="1"/>
    <n v="47355.92"/>
    <n v="7103.3879999999999"/>
    <n v="40252.531999999999"/>
    <n v="31396.97496"/>
    <n v="8855.5570399999997"/>
    <n v="22"/>
    <s v="Credit Card"/>
  </r>
  <r>
    <s v="ORD0150"/>
    <x v="116"/>
    <x v="5"/>
    <n v="11"/>
    <s v="CUST0227"/>
    <x v="6"/>
    <x v="2"/>
    <x v="4"/>
    <x v="13"/>
    <n v="7"/>
    <n v="1164.21"/>
    <x v="1"/>
    <n v="8149.47"/>
    <n v="1222.4204999999999"/>
    <n v="6927.0495000000001"/>
    <n v="4987.4756399999997"/>
    <n v="1939.57386"/>
    <n v="28.000000000000011"/>
    <s v="Net Banking"/>
  </r>
  <r>
    <s v="ORD0151"/>
    <x v="10"/>
    <x v="3"/>
    <n v="2"/>
    <s v="CUST0058"/>
    <x v="0"/>
    <x v="0"/>
    <x v="4"/>
    <x v="26"/>
    <n v="7"/>
    <n v="611.94000000000005"/>
    <x v="0"/>
    <n v="4283.58"/>
    <n v="856.71600000000001"/>
    <n v="3426.864"/>
    <n v="2467.3420799999999"/>
    <n v="959.52192000000014"/>
    <n v="28"/>
    <s v="Credit Card"/>
  </r>
  <r>
    <s v="ORD0152"/>
    <x v="117"/>
    <x v="2"/>
    <n v="10"/>
    <s v="CUST0271"/>
    <x v="0"/>
    <x v="2"/>
    <x v="0"/>
    <x v="19"/>
    <n v="1"/>
    <n v="1062.06"/>
    <x v="0"/>
    <n v="1062.06"/>
    <n v="212.41200000000001"/>
    <n v="849.64799999999991"/>
    <n v="467.3064"/>
    <n v="382.34159999999991"/>
    <n v="44.999999999999993"/>
    <s v="Debit Card"/>
  </r>
  <r>
    <s v="ORD0153"/>
    <x v="118"/>
    <x v="2"/>
    <n v="10"/>
    <s v="CUST0027"/>
    <x v="7"/>
    <x v="2"/>
    <x v="5"/>
    <x v="14"/>
    <n v="7"/>
    <n v="17811.23"/>
    <x v="1"/>
    <n v="124678.61"/>
    <n v="18701.791499999999"/>
    <n v="105976.81849999999"/>
    <n v="72064.236579999997"/>
    <n v="33912.581919999997"/>
    <n v="32"/>
    <s v="Cash"/>
  </r>
  <r>
    <s v="ORD0154"/>
    <x v="119"/>
    <x v="11"/>
    <n v="1"/>
    <s v="CUST0257"/>
    <x v="2"/>
    <x v="0"/>
    <x v="1"/>
    <x v="1"/>
    <n v="3"/>
    <n v="3382.92"/>
    <x v="0"/>
    <n v="10148.76"/>
    <n v="2029.752"/>
    <n v="8119.0079999999998"/>
    <n v="4221.8841599999996"/>
    <n v="3897.1238400000002"/>
    <n v="48.000000000000007"/>
    <s v="Net Banking"/>
  </r>
  <r>
    <s v="ORD0155"/>
    <x v="120"/>
    <x v="8"/>
    <n v="6"/>
    <s v="CUST0208"/>
    <x v="1"/>
    <x v="0"/>
    <x v="2"/>
    <x v="10"/>
    <n v="1"/>
    <n v="48750.67"/>
    <x v="1"/>
    <n v="48750.67"/>
    <n v="7312.6004999999996"/>
    <n v="41438.069499999998"/>
    <n v="32321.694210000001"/>
    <n v="9116.3752899999999"/>
    <n v="22"/>
    <s v="UPI"/>
  </r>
  <r>
    <s v="ORD0156"/>
    <x v="121"/>
    <x v="0"/>
    <n v="4"/>
    <s v="CUST0199"/>
    <x v="7"/>
    <x v="2"/>
    <x v="1"/>
    <x v="6"/>
    <n v="7"/>
    <n v="1697.19"/>
    <x v="3"/>
    <n v="11880.33"/>
    <n v="1188.0329999999999"/>
    <n v="10692.297"/>
    <n v="5559.9944400000004"/>
    <n v="5132.3025600000001"/>
    <n v="48"/>
    <s v="Net Banking"/>
  </r>
  <r>
    <s v="ORD0157"/>
    <x v="122"/>
    <x v="11"/>
    <n v="1"/>
    <s v="CUST0153"/>
    <x v="0"/>
    <x v="2"/>
    <x v="0"/>
    <x v="4"/>
    <n v="2"/>
    <n v="3891.58"/>
    <x v="0"/>
    <n v="7783.16"/>
    <n v="1556.6320000000001"/>
    <n v="6226.5280000000002"/>
    <n v="3424.5904"/>
    <n v="2801.9376000000002"/>
    <n v="44.999999999999993"/>
    <s v="Cash"/>
  </r>
  <r>
    <s v="ORD0158"/>
    <x v="123"/>
    <x v="10"/>
    <n v="8"/>
    <s v="CUST0214"/>
    <x v="5"/>
    <x v="2"/>
    <x v="2"/>
    <x v="22"/>
    <n v="6"/>
    <n v="20855.79"/>
    <x v="4"/>
    <n v="125134.74"/>
    <n v="6256.737000000001"/>
    <n v="118878.003"/>
    <n v="92724.842340000003"/>
    <n v="26153.16065999999"/>
    <n v="21.999999999999989"/>
    <s v="Credit Card"/>
  </r>
  <r>
    <s v="ORD0159"/>
    <x v="84"/>
    <x v="7"/>
    <n v="12"/>
    <s v="CUST0095"/>
    <x v="5"/>
    <x v="1"/>
    <x v="3"/>
    <x v="17"/>
    <n v="5"/>
    <n v="458.99"/>
    <x v="3"/>
    <n v="2294.9499999999998"/>
    <n v="229.495"/>
    <n v="2065.4549999999999"/>
    <n v="1197.9639"/>
    <n v="867.49109999999996"/>
    <n v="42"/>
    <s v="UPI"/>
  </r>
  <r>
    <s v="ORD0160"/>
    <x v="9"/>
    <x v="2"/>
    <n v="10"/>
    <s v="CUST0179"/>
    <x v="1"/>
    <x v="2"/>
    <x v="0"/>
    <x v="15"/>
    <n v="6"/>
    <n v="5493"/>
    <x v="1"/>
    <n v="32958"/>
    <n v="4943.7"/>
    <n v="28014.3"/>
    <n v="15407.865"/>
    <n v="12606.434999999999"/>
    <n v="44.999999999999993"/>
    <s v="Cash"/>
  </r>
  <r>
    <s v="ORD0161"/>
    <x v="62"/>
    <x v="3"/>
    <n v="2"/>
    <s v="CUST0242"/>
    <x v="8"/>
    <x v="0"/>
    <x v="4"/>
    <x v="21"/>
    <n v="6"/>
    <n v="291.89999999999998"/>
    <x v="3"/>
    <n v="1751.4"/>
    <n v="175.14"/>
    <n v="1576.26"/>
    <n v="1134.9072000000001"/>
    <n v="441.35279999999989"/>
    <n v="28"/>
    <s v="UPI"/>
  </r>
  <r>
    <s v="ORD0162"/>
    <x v="23"/>
    <x v="10"/>
    <n v="8"/>
    <s v="CUST0103"/>
    <x v="4"/>
    <x v="0"/>
    <x v="1"/>
    <x v="1"/>
    <n v="6"/>
    <n v="309.57"/>
    <x v="2"/>
    <n v="1857.42"/>
    <n v="0"/>
    <n v="1857.42"/>
    <n v="965.85840000000007"/>
    <n v="891.5616"/>
    <n v="48"/>
    <s v="Credit Card"/>
  </r>
  <r>
    <s v="ORD0163"/>
    <x v="30"/>
    <x v="9"/>
    <n v="5"/>
    <s v="CUST0123"/>
    <x v="5"/>
    <x v="2"/>
    <x v="5"/>
    <x v="28"/>
    <n v="2"/>
    <n v="6268.36"/>
    <x v="2"/>
    <n v="12536.72"/>
    <n v="0"/>
    <n v="12536.72"/>
    <n v="8524.9696000000004"/>
    <n v="4011.750399999999"/>
    <n v="32"/>
    <s v="UPI"/>
  </r>
  <r>
    <s v="ORD0164"/>
    <x v="124"/>
    <x v="6"/>
    <n v="7"/>
    <s v="CUST0251"/>
    <x v="0"/>
    <x v="1"/>
    <x v="5"/>
    <x v="14"/>
    <n v="4"/>
    <n v="20538.88"/>
    <x v="3"/>
    <n v="82155.520000000004"/>
    <n v="8215.5520000000015"/>
    <n v="73939.968000000008"/>
    <n v="50279.178240000008"/>
    <n v="23660.78976"/>
    <n v="32"/>
    <s v="Cash"/>
  </r>
  <r>
    <s v="ORD0165"/>
    <x v="41"/>
    <x v="5"/>
    <n v="11"/>
    <s v="CUST0188"/>
    <x v="2"/>
    <x v="0"/>
    <x v="4"/>
    <x v="11"/>
    <n v="2"/>
    <n v="603.04"/>
    <x v="2"/>
    <n v="1206.08"/>
    <n v="0"/>
    <n v="1206.08"/>
    <n v="868.37759999999992"/>
    <n v="337.70240000000001"/>
    <n v="28"/>
    <s v="Credit Card"/>
  </r>
  <r>
    <s v="ORD0166"/>
    <x v="51"/>
    <x v="11"/>
    <n v="1"/>
    <s v="CUST0147"/>
    <x v="0"/>
    <x v="0"/>
    <x v="0"/>
    <x v="4"/>
    <n v="5"/>
    <n v="3136.03"/>
    <x v="1"/>
    <n v="15680.15"/>
    <n v="2352.0225"/>
    <n v="13328.127500000001"/>
    <n v="7330.4701250000016"/>
    <n v="5997.6573750000007"/>
    <n v="44.999999999999993"/>
    <s v="Net Banking"/>
  </r>
  <r>
    <s v="ORD0167"/>
    <x v="125"/>
    <x v="10"/>
    <n v="8"/>
    <s v="CUST0211"/>
    <x v="5"/>
    <x v="2"/>
    <x v="1"/>
    <x v="23"/>
    <n v="7"/>
    <n v="344.08"/>
    <x v="4"/>
    <n v="2408.56"/>
    <n v="120.428"/>
    <n v="2288.1320000000001"/>
    <n v="1189.82864"/>
    <n v="1098.3033600000001"/>
    <n v="47.999999999999993"/>
    <s v="Debit Card"/>
  </r>
  <r>
    <s v="ORD0168"/>
    <x v="126"/>
    <x v="9"/>
    <n v="5"/>
    <s v="CUST0207"/>
    <x v="8"/>
    <x v="1"/>
    <x v="0"/>
    <x v="4"/>
    <n v="2"/>
    <n v="2717.94"/>
    <x v="4"/>
    <n v="5435.88"/>
    <n v="271.79399999999998"/>
    <n v="5164.0860000000002"/>
    <n v="2840.2473"/>
    <n v="2323.8386999999998"/>
    <n v="44.999999999999993"/>
    <s v="UPI"/>
  </r>
  <r>
    <s v="ORD0169"/>
    <x v="127"/>
    <x v="7"/>
    <n v="12"/>
    <s v="CUST0293"/>
    <x v="6"/>
    <x v="0"/>
    <x v="1"/>
    <x v="6"/>
    <n v="7"/>
    <n v="1572.49"/>
    <x v="0"/>
    <n v="11007.43"/>
    <n v="2201.4859999999999"/>
    <n v="8805.9439999999995"/>
    <n v="4579.0908799999997"/>
    <n v="4226.8531199999998"/>
    <n v="48"/>
    <s v="Cash"/>
  </r>
  <r>
    <s v="ORD0170"/>
    <x v="128"/>
    <x v="8"/>
    <n v="6"/>
    <s v="CUST0250"/>
    <x v="9"/>
    <x v="0"/>
    <x v="5"/>
    <x v="14"/>
    <n v="1"/>
    <n v="14064.91"/>
    <x v="1"/>
    <n v="14064.91"/>
    <n v="2109.7365"/>
    <n v="11955.173500000001"/>
    <n v="8129.5179800000014"/>
    <n v="3825.6555199999989"/>
    <n v="32"/>
    <s v="Credit Card"/>
  </r>
  <r>
    <s v="ORD0171"/>
    <x v="129"/>
    <x v="7"/>
    <n v="12"/>
    <s v="CUST0186"/>
    <x v="5"/>
    <x v="2"/>
    <x v="5"/>
    <x v="14"/>
    <n v="4"/>
    <n v="11988.72"/>
    <x v="4"/>
    <n v="47954.879999999997"/>
    <n v="2397.7440000000001"/>
    <n v="45557.135999999999"/>
    <n v="30978.852480000001"/>
    <n v="14578.283520000001"/>
    <n v="32"/>
    <s v="Debit Card"/>
  </r>
  <r>
    <s v="ORD0172"/>
    <x v="130"/>
    <x v="10"/>
    <n v="8"/>
    <s v="CUST0008"/>
    <x v="6"/>
    <x v="0"/>
    <x v="5"/>
    <x v="20"/>
    <n v="5"/>
    <n v="18995.04"/>
    <x v="4"/>
    <n v="94975.200000000012"/>
    <n v="4748.7600000000011"/>
    <n v="90226.440000000017"/>
    <n v="61353.979200000023"/>
    <n v="28872.460800000001"/>
    <n v="32"/>
    <s v="Cash"/>
  </r>
  <r>
    <s v="ORD0173"/>
    <x v="131"/>
    <x v="11"/>
    <n v="1"/>
    <s v="CUST0041"/>
    <x v="5"/>
    <x v="2"/>
    <x v="4"/>
    <x v="21"/>
    <n v="2"/>
    <n v="258.12"/>
    <x v="0"/>
    <n v="516.24"/>
    <n v="103.248"/>
    <n v="412.99200000000002"/>
    <n v="297.35424"/>
    <n v="115.63776"/>
    <n v="28"/>
    <s v="Cash"/>
  </r>
  <r>
    <s v="ORD0174"/>
    <x v="132"/>
    <x v="9"/>
    <n v="5"/>
    <s v="CUST0066"/>
    <x v="7"/>
    <x v="2"/>
    <x v="4"/>
    <x v="9"/>
    <n v="1"/>
    <n v="499.74"/>
    <x v="5"/>
    <n v="499.74"/>
    <n v="149.922"/>
    <n v="349.81799999999998"/>
    <n v="251.86895999999999"/>
    <n v="97.949039999999997"/>
    <n v="28"/>
    <s v="UPI"/>
  </r>
  <r>
    <s v="ORD0175"/>
    <x v="133"/>
    <x v="8"/>
    <n v="6"/>
    <s v="CUST0195"/>
    <x v="5"/>
    <x v="0"/>
    <x v="1"/>
    <x v="1"/>
    <n v="7"/>
    <n v="1697.51"/>
    <x v="4"/>
    <n v="11882.57"/>
    <n v="594.12850000000003"/>
    <n v="11288.441500000001"/>
    <n v="5869.9895799999986"/>
    <n v="5418.4519200000004"/>
    <n v="48"/>
    <s v="Net Banking"/>
  </r>
  <r>
    <s v="ORD0176"/>
    <x v="134"/>
    <x v="4"/>
    <n v="9"/>
    <s v="CUST0264"/>
    <x v="8"/>
    <x v="2"/>
    <x v="0"/>
    <x v="4"/>
    <n v="6"/>
    <n v="1301.6600000000001"/>
    <x v="3"/>
    <n v="7809.9600000000009"/>
    <n v="780.99600000000009"/>
    <n v="7028.9640000000009"/>
    <n v="3865.9302000000012"/>
    <n v="3163.0338000000002"/>
    <n v="44.999999999999993"/>
    <s v="Cash"/>
  </r>
  <r>
    <s v="ORD0177"/>
    <x v="135"/>
    <x v="9"/>
    <n v="5"/>
    <s v="CUST0120"/>
    <x v="1"/>
    <x v="1"/>
    <x v="3"/>
    <x v="8"/>
    <n v="5"/>
    <n v="956.16"/>
    <x v="3"/>
    <n v="4780.8"/>
    <n v="478.08"/>
    <n v="4302.72"/>
    <n v="2495.5776000000001"/>
    <n v="1807.1424"/>
    <n v="42.000000000000007"/>
    <s v="Debit Card"/>
  </r>
  <r>
    <s v="ORD0178"/>
    <x v="136"/>
    <x v="5"/>
    <n v="11"/>
    <s v="CUST0285"/>
    <x v="8"/>
    <x v="1"/>
    <x v="5"/>
    <x v="12"/>
    <n v="1"/>
    <n v="14451.31"/>
    <x v="6"/>
    <n v="14451.31"/>
    <n v="3612.8274999999999"/>
    <n v="10838.4825"/>
    <n v="7370.1681000000008"/>
    <n v="3468.3143999999988"/>
    <n v="32"/>
    <s v="Net Banking"/>
  </r>
  <r>
    <s v="ORD0179"/>
    <x v="137"/>
    <x v="4"/>
    <n v="9"/>
    <s v="CUST0012"/>
    <x v="2"/>
    <x v="2"/>
    <x v="3"/>
    <x v="5"/>
    <n v="5"/>
    <n v="347.94"/>
    <x v="1"/>
    <n v="1739.7"/>
    <n v="260.95499999999998"/>
    <n v="1478.7449999999999"/>
    <n v="857.6721"/>
    <n v="621.07290000000012"/>
    <n v="42.000000000000007"/>
    <s v="Debit Card"/>
  </r>
  <r>
    <s v="ORD0180"/>
    <x v="138"/>
    <x v="2"/>
    <n v="10"/>
    <s v="CUST0039"/>
    <x v="1"/>
    <x v="1"/>
    <x v="4"/>
    <x v="11"/>
    <n v="2"/>
    <n v="421.6"/>
    <x v="5"/>
    <n v="843.2"/>
    <n v="252.96"/>
    <n v="590.24"/>
    <n v="424.97280000000001"/>
    <n v="165.2672"/>
    <n v="28"/>
    <s v="Credit Card"/>
  </r>
  <r>
    <s v="ORD0181"/>
    <x v="139"/>
    <x v="2"/>
    <n v="10"/>
    <s v="CUST0234"/>
    <x v="0"/>
    <x v="0"/>
    <x v="0"/>
    <x v="19"/>
    <n v="7"/>
    <n v="664.85"/>
    <x v="3"/>
    <n v="4653.95"/>
    <n v="465.39499999999998"/>
    <n v="4188.5550000000003"/>
    <n v="2303.70525"/>
    <n v="1884.8497500000001"/>
    <n v="44.999999999999993"/>
    <s v="UPI"/>
  </r>
  <r>
    <s v="ORD0182"/>
    <x v="5"/>
    <x v="4"/>
    <n v="9"/>
    <s v="CUST0290"/>
    <x v="8"/>
    <x v="1"/>
    <x v="1"/>
    <x v="1"/>
    <n v="6"/>
    <n v="3064.87"/>
    <x v="4"/>
    <n v="18389.22"/>
    <n v="919.46100000000013"/>
    <n v="17469.758999999998"/>
    <n v="9084.2746800000004"/>
    <n v="8385.4843200000014"/>
    <n v="48.000000000000007"/>
    <s v="Debit Card"/>
  </r>
  <r>
    <s v="ORD0183"/>
    <x v="140"/>
    <x v="0"/>
    <n v="4"/>
    <s v="CUST0076"/>
    <x v="1"/>
    <x v="2"/>
    <x v="5"/>
    <x v="14"/>
    <n v="1"/>
    <n v="21194.74"/>
    <x v="0"/>
    <n v="21194.74"/>
    <n v="4238.9480000000003"/>
    <n v="16955.792000000001"/>
    <n v="11529.938560000001"/>
    <n v="5425.853439999999"/>
    <n v="31.999999999999989"/>
    <s v="UPI"/>
  </r>
  <r>
    <s v="ORD0184"/>
    <x v="141"/>
    <x v="11"/>
    <n v="1"/>
    <s v="CUST0069"/>
    <x v="3"/>
    <x v="0"/>
    <x v="3"/>
    <x v="8"/>
    <n v="7"/>
    <n v="1681.33"/>
    <x v="3"/>
    <n v="11769.31"/>
    <n v="1176.931"/>
    <n v="10592.379000000001"/>
    <n v="6143.579819999999"/>
    <n v="4448.79918"/>
    <n v="42.000000000000007"/>
    <s v="Credit Card"/>
  </r>
  <r>
    <s v="ORD0185"/>
    <x v="115"/>
    <x v="6"/>
    <n v="7"/>
    <s v="CUST0176"/>
    <x v="3"/>
    <x v="2"/>
    <x v="4"/>
    <x v="9"/>
    <n v="7"/>
    <n v="1173.75"/>
    <x v="3"/>
    <n v="8216.25"/>
    <n v="821.625"/>
    <n v="7394.625"/>
    <n v="5324.13"/>
    <n v="2070.4949999999999"/>
    <n v="28"/>
    <s v="UPI"/>
  </r>
  <r>
    <s v="ORD0186"/>
    <x v="142"/>
    <x v="5"/>
    <n v="11"/>
    <s v="CUST0019"/>
    <x v="5"/>
    <x v="0"/>
    <x v="5"/>
    <x v="20"/>
    <n v="5"/>
    <n v="19716.79"/>
    <x v="6"/>
    <n v="98583.950000000012"/>
    <n v="24645.987499999999"/>
    <n v="73937.962500000009"/>
    <n v="50277.814500000008"/>
    <n v="23660.148000000001"/>
    <n v="32"/>
    <s v="Net Banking"/>
  </r>
  <r>
    <s v="ORD0187"/>
    <x v="143"/>
    <x v="2"/>
    <n v="10"/>
    <s v="CUST0089"/>
    <x v="9"/>
    <x v="1"/>
    <x v="3"/>
    <x v="24"/>
    <n v="5"/>
    <n v="2062.8000000000002"/>
    <x v="4"/>
    <n v="10314"/>
    <n v="515.70000000000005"/>
    <n v="9798.2999999999993"/>
    <n v="5683.0139999999992"/>
    <n v="4115.2860000000001"/>
    <n v="42.000000000000007"/>
    <s v="Cash"/>
  </r>
  <r>
    <s v="ORD0188"/>
    <x v="144"/>
    <x v="6"/>
    <n v="7"/>
    <s v="CUST0224"/>
    <x v="8"/>
    <x v="1"/>
    <x v="1"/>
    <x v="6"/>
    <n v="3"/>
    <n v="1482.24"/>
    <x v="3"/>
    <n v="4446.72"/>
    <n v="444.67200000000003"/>
    <n v="4002.0479999999998"/>
    <n v="2081.0649600000002"/>
    <n v="1920.9830400000001"/>
    <n v="48"/>
    <s v="Credit Card"/>
  </r>
  <r>
    <s v="ORD0189"/>
    <x v="55"/>
    <x v="4"/>
    <n v="9"/>
    <s v="CUST0265"/>
    <x v="7"/>
    <x v="2"/>
    <x v="3"/>
    <x v="5"/>
    <n v="6"/>
    <n v="1642.18"/>
    <x v="0"/>
    <n v="9853.08"/>
    <n v="1970.616"/>
    <n v="7882.4639999999999"/>
    <n v="4571.8291199999994"/>
    <n v="3310.634880000001"/>
    <n v="42.000000000000007"/>
    <s v="Credit Card"/>
  </r>
  <r>
    <s v="ORD0190"/>
    <x v="34"/>
    <x v="0"/>
    <n v="4"/>
    <s v="CUST0293"/>
    <x v="6"/>
    <x v="1"/>
    <x v="1"/>
    <x v="25"/>
    <n v="2"/>
    <n v="559.42999999999995"/>
    <x v="4"/>
    <n v="1118.8599999999999"/>
    <n v="55.942999999999998"/>
    <n v="1062.9169999999999"/>
    <n v="552.71683999999993"/>
    <n v="510.20015999999998"/>
    <n v="48.000000000000007"/>
    <s v="Credit Card"/>
  </r>
  <r>
    <s v="ORD0191"/>
    <x v="145"/>
    <x v="7"/>
    <n v="12"/>
    <s v="CUST0117"/>
    <x v="3"/>
    <x v="1"/>
    <x v="3"/>
    <x v="18"/>
    <n v="3"/>
    <n v="143.76"/>
    <x v="4"/>
    <n v="431.28"/>
    <n v="21.564"/>
    <n v="409.71600000000001"/>
    <n v="237.63527999999999"/>
    <n v="172.08072000000001"/>
    <n v="42.000000000000007"/>
    <s v="Cash"/>
  </r>
  <r>
    <s v="ORD0192"/>
    <x v="2"/>
    <x v="2"/>
    <n v="10"/>
    <s v="CUST0052"/>
    <x v="7"/>
    <x v="0"/>
    <x v="1"/>
    <x v="6"/>
    <n v="6"/>
    <n v="842.04"/>
    <x v="4"/>
    <n v="5052.24"/>
    <n v="252.61199999999999"/>
    <n v="4799.6279999999997"/>
    <n v="2495.80656"/>
    <n v="2303.8214400000002"/>
    <n v="48"/>
    <s v="Credit Card"/>
  </r>
  <r>
    <s v="ORD0193"/>
    <x v="146"/>
    <x v="11"/>
    <n v="1"/>
    <s v="CUST0263"/>
    <x v="2"/>
    <x v="1"/>
    <x v="2"/>
    <x v="22"/>
    <n v="5"/>
    <n v="31572.3"/>
    <x v="4"/>
    <n v="157861.5"/>
    <n v="7893.0750000000007"/>
    <n v="149968.42499999999"/>
    <n v="116975.37149999999"/>
    <n v="32993.053499999987"/>
    <n v="22"/>
    <s v="UPI"/>
  </r>
  <r>
    <s v="ORD0194"/>
    <x v="147"/>
    <x v="2"/>
    <n v="10"/>
    <s v="CUST0172"/>
    <x v="1"/>
    <x v="2"/>
    <x v="0"/>
    <x v="3"/>
    <n v="4"/>
    <n v="3159.5"/>
    <x v="0"/>
    <n v="12638"/>
    <n v="2527.6"/>
    <n v="10110.4"/>
    <n v="5560.72"/>
    <n v="4549.6799999999994"/>
    <n v="44.999999999999993"/>
    <s v="Debit Card"/>
  </r>
  <r>
    <s v="ORD0195"/>
    <x v="148"/>
    <x v="9"/>
    <n v="5"/>
    <s v="CUST0026"/>
    <x v="3"/>
    <x v="1"/>
    <x v="4"/>
    <x v="26"/>
    <n v="6"/>
    <n v="642.45000000000005"/>
    <x v="1"/>
    <n v="3854.7"/>
    <n v="578.20500000000004"/>
    <n v="3276.4949999999999"/>
    <n v="2359.0763999999999"/>
    <n v="917.41859999999997"/>
    <n v="28"/>
    <s v="Credit Card"/>
  </r>
  <r>
    <s v="ORD0196"/>
    <x v="135"/>
    <x v="9"/>
    <n v="5"/>
    <s v="CUST0154"/>
    <x v="9"/>
    <x v="0"/>
    <x v="1"/>
    <x v="25"/>
    <n v="2"/>
    <n v="3170.08"/>
    <x v="3"/>
    <n v="6340.16"/>
    <n v="634.01600000000008"/>
    <n v="5706.1440000000002"/>
    <n v="2967.19488"/>
    <n v="2738.9491200000002"/>
    <n v="48.000000000000007"/>
    <s v="Cash"/>
  </r>
  <r>
    <s v="ORD0197"/>
    <x v="149"/>
    <x v="1"/>
    <n v="3"/>
    <s v="CUST0242"/>
    <x v="9"/>
    <x v="1"/>
    <x v="5"/>
    <x v="28"/>
    <n v="1"/>
    <n v="4649.54"/>
    <x v="1"/>
    <n v="4649.54"/>
    <n v="697.43099999999993"/>
    <n v="3952.1089999999999"/>
    <n v="2687.4341199999999"/>
    <n v="1264.67488"/>
    <n v="31.999999999999989"/>
    <s v="Debit Card"/>
  </r>
  <r>
    <s v="ORD0198"/>
    <x v="32"/>
    <x v="0"/>
    <n v="4"/>
    <s v="CUST0293"/>
    <x v="7"/>
    <x v="1"/>
    <x v="5"/>
    <x v="12"/>
    <n v="1"/>
    <n v="7376.65"/>
    <x v="2"/>
    <n v="7376.65"/>
    <n v="0"/>
    <n v="7376.65"/>
    <n v="5016.1220000000003"/>
    <n v="2360.5279999999989"/>
    <n v="32"/>
    <s v="Credit Card"/>
  </r>
  <r>
    <s v="ORD0199"/>
    <x v="150"/>
    <x v="1"/>
    <n v="3"/>
    <s v="CUST0291"/>
    <x v="0"/>
    <x v="2"/>
    <x v="1"/>
    <x v="1"/>
    <n v="5"/>
    <n v="392.9"/>
    <x v="4"/>
    <n v="1964.5"/>
    <n v="98.225000000000009"/>
    <n v="1866.2750000000001"/>
    <n v="970.46300000000008"/>
    <n v="895.81200000000001"/>
    <n v="48"/>
    <s v="Debit Card"/>
  </r>
  <r>
    <s v="ORD0200"/>
    <x v="68"/>
    <x v="3"/>
    <n v="2"/>
    <s v="CUST0280"/>
    <x v="7"/>
    <x v="0"/>
    <x v="4"/>
    <x v="26"/>
    <n v="5"/>
    <n v="875.24"/>
    <x v="1"/>
    <n v="4376.2"/>
    <n v="656.43"/>
    <n v="3719.77"/>
    <n v="2678.2343999999998"/>
    <n v="1041.5355999999999"/>
    <n v="28"/>
    <s v="Net Banking"/>
  </r>
  <r>
    <s v="ORD0201"/>
    <x v="151"/>
    <x v="3"/>
    <n v="2"/>
    <s v="CUST0070"/>
    <x v="3"/>
    <x v="1"/>
    <x v="1"/>
    <x v="6"/>
    <n v="1"/>
    <n v="2165.98"/>
    <x v="3"/>
    <n v="2165.98"/>
    <n v="216.59800000000001"/>
    <n v="1949.3820000000001"/>
    <n v="1013.67864"/>
    <n v="935.70335999999998"/>
    <n v="48"/>
    <s v="Net Banking"/>
  </r>
  <r>
    <s v="ORD0202"/>
    <x v="152"/>
    <x v="3"/>
    <n v="2"/>
    <s v="CUST0160"/>
    <x v="9"/>
    <x v="0"/>
    <x v="0"/>
    <x v="3"/>
    <n v="2"/>
    <n v="4182.8100000000004"/>
    <x v="2"/>
    <n v="8365.6200000000008"/>
    <n v="0"/>
    <n v="8365.6200000000008"/>
    <n v="4601.0910000000013"/>
    <n v="3764.529"/>
    <n v="44.999999999999993"/>
    <s v="Debit Card"/>
  </r>
  <r>
    <s v="ORD0203"/>
    <x v="153"/>
    <x v="2"/>
    <n v="10"/>
    <s v="CUST0215"/>
    <x v="4"/>
    <x v="0"/>
    <x v="1"/>
    <x v="23"/>
    <n v="2"/>
    <n v="1298.9100000000001"/>
    <x v="1"/>
    <n v="2597.8200000000002"/>
    <n v="389.673"/>
    <n v="2208.1469999999999"/>
    <n v="1148.2364399999999"/>
    <n v="1059.91056"/>
    <n v="48.000000000000007"/>
    <s v="Debit Card"/>
  </r>
  <r>
    <s v="ORD0204"/>
    <x v="154"/>
    <x v="7"/>
    <n v="12"/>
    <s v="CUST0036"/>
    <x v="9"/>
    <x v="2"/>
    <x v="4"/>
    <x v="9"/>
    <n v="4"/>
    <n v="119.16"/>
    <x v="1"/>
    <n v="476.64"/>
    <n v="71.495999999999995"/>
    <n v="405.14400000000001"/>
    <n v="291.70368000000002"/>
    <n v="113.44032"/>
    <n v="28"/>
    <s v="UPI"/>
  </r>
  <r>
    <s v="ORD0205"/>
    <x v="155"/>
    <x v="5"/>
    <n v="11"/>
    <s v="CUST0012"/>
    <x v="8"/>
    <x v="1"/>
    <x v="5"/>
    <x v="16"/>
    <n v="6"/>
    <n v="12010.51"/>
    <x v="0"/>
    <n v="72063.06"/>
    <n v="14412.611999999999"/>
    <n v="57650.447999999997"/>
    <n v="39202.304640000002"/>
    <n v="18448.143359999991"/>
    <n v="32"/>
    <s v="Cash"/>
  </r>
  <r>
    <s v="ORD0206"/>
    <x v="92"/>
    <x v="0"/>
    <n v="4"/>
    <s v="CUST0121"/>
    <x v="9"/>
    <x v="0"/>
    <x v="4"/>
    <x v="26"/>
    <n v="5"/>
    <n v="897.76"/>
    <x v="0"/>
    <n v="4488.8"/>
    <n v="897.7600000000001"/>
    <n v="3591.04"/>
    <n v="2585.5488"/>
    <n v="1005.4912"/>
    <n v="28"/>
    <s v="UPI"/>
  </r>
  <r>
    <s v="ORD0207"/>
    <x v="156"/>
    <x v="4"/>
    <n v="9"/>
    <s v="CUST0292"/>
    <x v="8"/>
    <x v="1"/>
    <x v="0"/>
    <x v="3"/>
    <n v="6"/>
    <n v="1376.17"/>
    <x v="2"/>
    <n v="8257.02"/>
    <n v="0"/>
    <n v="8257.02"/>
    <n v="4541.3610000000008"/>
    <n v="3715.6590000000001"/>
    <n v="44.999999999999993"/>
    <s v="Net Banking"/>
  </r>
  <r>
    <s v="ORD0208"/>
    <x v="157"/>
    <x v="1"/>
    <n v="3"/>
    <s v="CUST0180"/>
    <x v="0"/>
    <x v="0"/>
    <x v="2"/>
    <x v="29"/>
    <n v="5"/>
    <n v="27740.34"/>
    <x v="4"/>
    <n v="138701.70000000001"/>
    <n v="6935.0850000000009"/>
    <n v="131766.61499999999"/>
    <n v="102777.95970000001"/>
    <n v="28988.655299999999"/>
    <n v="21.999999999999989"/>
    <s v="Credit Card"/>
  </r>
  <r>
    <s v="ORD0209"/>
    <x v="155"/>
    <x v="5"/>
    <n v="11"/>
    <s v="CUST0101"/>
    <x v="6"/>
    <x v="0"/>
    <x v="4"/>
    <x v="13"/>
    <n v="3"/>
    <n v="954.22"/>
    <x v="1"/>
    <n v="2862.66"/>
    <n v="429.39899999999989"/>
    <n v="2433.261"/>
    <n v="1751.9479200000001"/>
    <n v="681.31308000000013"/>
    <n v="28.000000000000011"/>
    <s v="UPI"/>
  </r>
  <r>
    <s v="ORD0210"/>
    <x v="68"/>
    <x v="3"/>
    <n v="2"/>
    <s v="CUST0158"/>
    <x v="5"/>
    <x v="1"/>
    <x v="4"/>
    <x v="13"/>
    <n v="2"/>
    <n v="772.14"/>
    <x v="1"/>
    <n v="1544.28"/>
    <n v="231.642"/>
    <n v="1312.6379999999999"/>
    <n v="945.09935999999993"/>
    <n v="367.53863999999999"/>
    <n v="28"/>
    <s v="UPI"/>
  </r>
  <r>
    <s v="ORD0211"/>
    <x v="120"/>
    <x v="8"/>
    <n v="6"/>
    <s v="CUST0276"/>
    <x v="4"/>
    <x v="0"/>
    <x v="5"/>
    <x v="28"/>
    <n v="3"/>
    <n v="18136.400000000001"/>
    <x v="3"/>
    <n v="54409.2"/>
    <n v="5440.920000000001"/>
    <n v="48968.280000000013"/>
    <n v="33298.430399999997"/>
    <n v="15669.8496"/>
    <n v="32"/>
    <s v="Credit Card"/>
  </r>
  <r>
    <s v="ORD0212"/>
    <x v="158"/>
    <x v="2"/>
    <n v="10"/>
    <s v="CUST0110"/>
    <x v="5"/>
    <x v="0"/>
    <x v="1"/>
    <x v="7"/>
    <n v="6"/>
    <n v="1235.3"/>
    <x v="1"/>
    <n v="7411.7999999999993"/>
    <n v="1111.77"/>
    <n v="6300.03"/>
    <n v="3276.0156000000002"/>
    <n v="3024.0144"/>
    <n v="47.999999999999993"/>
    <s v="Cash"/>
  </r>
  <r>
    <s v="ORD0213"/>
    <x v="159"/>
    <x v="11"/>
    <n v="1"/>
    <s v="CUST0025"/>
    <x v="6"/>
    <x v="2"/>
    <x v="1"/>
    <x v="6"/>
    <n v="5"/>
    <n v="601.80999999999995"/>
    <x v="3"/>
    <n v="3009.05"/>
    <n v="300.90499999999997"/>
    <n v="2708.145"/>
    <n v="1408.2354"/>
    <n v="1299.9096"/>
    <n v="48"/>
    <s v="Cash"/>
  </r>
  <r>
    <s v="ORD0214"/>
    <x v="118"/>
    <x v="2"/>
    <n v="10"/>
    <s v="CUST0160"/>
    <x v="4"/>
    <x v="1"/>
    <x v="0"/>
    <x v="0"/>
    <n v="5"/>
    <n v="5650.47"/>
    <x v="6"/>
    <n v="28252.35"/>
    <n v="7063.0875000000005"/>
    <n v="21189.262500000001"/>
    <n v="11654.094375000001"/>
    <n v="9535.1681250000001"/>
    <n v="45"/>
    <s v="Debit Card"/>
  </r>
  <r>
    <s v="ORD0215"/>
    <x v="160"/>
    <x v="11"/>
    <n v="1"/>
    <s v="CUST0267"/>
    <x v="4"/>
    <x v="2"/>
    <x v="3"/>
    <x v="24"/>
    <n v="2"/>
    <n v="1203.52"/>
    <x v="2"/>
    <n v="2407.04"/>
    <n v="0"/>
    <n v="2407.04"/>
    <n v="1396.0832"/>
    <n v="1010.9568"/>
    <n v="42.000000000000007"/>
    <s v="Debit Card"/>
  </r>
  <r>
    <s v="ORD0216"/>
    <x v="161"/>
    <x v="0"/>
    <n v="4"/>
    <s v="CUST0263"/>
    <x v="8"/>
    <x v="1"/>
    <x v="1"/>
    <x v="23"/>
    <n v="1"/>
    <n v="2782.9"/>
    <x v="4"/>
    <n v="2782.9"/>
    <n v="139.14500000000001"/>
    <n v="2643.7550000000001"/>
    <n v="1374.7526"/>
    <n v="1269.0024000000001"/>
    <n v="48.000000000000007"/>
    <s v="Net Banking"/>
  </r>
  <r>
    <s v="ORD0217"/>
    <x v="15"/>
    <x v="7"/>
    <n v="12"/>
    <s v="CUST0231"/>
    <x v="4"/>
    <x v="1"/>
    <x v="0"/>
    <x v="19"/>
    <n v="4"/>
    <n v="1455.64"/>
    <x v="1"/>
    <n v="5822.56"/>
    <n v="873.38400000000001"/>
    <n v="4949.1760000000004"/>
    <n v="2722.046800000001"/>
    <n v="2227.1291999999999"/>
    <n v="44.999999999999993"/>
    <s v="Cash"/>
  </r>
  <r>
    <s v="ORD0218"/>
    <x v="162"/>
    <x v="6"/>
    <n v="7"/>
    <s v="CUST0014"/>
    <x v="0"/>
    <x v="2"/>
    <x v="4"/>
    <x v="9"/>
    <n v="5"/>
    <n v="457.37"/>
    <x v="3"/>
    <n v="2286.85"/>
    <n v="228.685"/>
    <n v="2058.165"/>
    <n v="1481.8788"/>
    <n v="576.28620000000001"/>
    <n v="28"/>
    <s v="Net Banking"/>
  </r>
  <r>
    <s v="ORD0219"/>
    <x v="43"/>
    <x v="6"/>
    <n v="7"/>
    <s v="CUST0079"/>
    <x v="9"/>
    <x v="0"/>
    <x v="5"/>
    <x v="20"/>
    <n v="6"/>
    <n v="13330.24"/>
    <x v="2"/>
    <n v="79981.440000000002"/>
    <n v="0"/>
    <n v="79981.440000000002"/>
    <n v="54387.379200000003"/>
    <n v="25594.060799999999"/>
    <n v="32"/>
    <s v="Net Banking"/>
  </r>
  <r>
    <s v="ORD0220"/>
    <x v="102"/>
    <x v="1"/>
    <n v="3"/>
    <s v="CUST0181"/>
    <x v="4"/>
    <x v="2"/>
    <x v="1"/>
    <x v="7"/>
    <n v="5"/>
    <n v="2953.2"/>
    <x v="1"/>
    <n v="14766"/>
    <n v="2214.9"/>
    <n v="12551.1"/>
    <n v="6526.5720000000001"/>
    <n v="6024.5280000000002"/>
    <n v="48"/>
    <s v="Cash"/>
  </r>
  <r>
    <s v="ORD0221"/>
    <x v="100"/>
    <x v="6"/>
    <n v="7"/>
    <s v="CUST0117"/>
    <x v="2"/>
    <x v="0"/>
    <x v="3"/>
    <x v="8"/>
    <n v="7"/>
    <n v="1298.4000000000001"/>
    <x v="4"/>
    <n v="9088.8000000000011"/>
    <n v="454.44000000000011"/>
    <n v="8634.36"/>
    <n v="5007.9287999999997"/>
    <n v="3626.4312000000009"/>
    <n v="42.000000000000007"/>
    <s v="Credit Card"/>
  </r>
  <r>
    <s v="ORD0222"/>
    <x v="163"/>
    <x v="3"/>
    <n v="2"/>
    <s v="CUST0042"/>
    <x v="9"/>
    <x v="0"/>
    <x v="0"/>
    <x v="19"/>
    <n v="2"/>
    <n v="3118.1"/>
    <x v="3"/>
    <n v="6236.2"/>
    <n v="623.62"/>
    <n v="5612.58"/>
    <n v="3086.9189999999999"/>
    <n v="2525.6610000000001"/>
    <n v="44.999999999999993"/>
    <s v="UPI"/>
  </r>
  <r>
    <s v="ORD0223"/>
    <x v="56"/>
    <x v="0"/>
    <n v="4"/>
    <s v="CUST0048"/>
    <x v="8"/>
    <x v="0"/>
    <x v="2"/>
    <x v="27"/>
    <n v="1"/>
    <n v="61741.38"/>
    <x v="0"/>
    <n v="61741.38"/>
    <n v="12348.276"/>
    <n v="49393.103999999999"/>
    <n v="38526.621120000003"/>
    <n v="10866.48288"/>
    <n v="21.999999999999989"/>
    <s v="Credit Card"/>
  </r>
  <r>
    <s v="ORD0224"/>
    <x v="164"/>
    <x v="10"/>
    <n v="8"/>
    <s v="CUST0214"/>
    <x v="1"/>
    <x v="2"/>
    <x v="1"/>
    <x v="23"/>
    <n v="4"/>
    <n v="2302.7600000000002"/>
    <x v="1"/>
    <n v="9211.0400000000009"/>
    <n v="1381.6559999999999"/>
    <n v="7829.3840000000009"/>
    <n v="4071.279680000001"/>
    <n v="3758.1043199999999"/>
    <n v="48"/>
    <s v="Cash"/>
  </r>
  <r>
    <s v="ORD0225"/>
    <x v="165"/>
    <x v="7"/>
    <n v="12"/>
    <s v="CUST0087"/>
    <x v="9"/>
    <x v="2"/>
    <x v="1"/>
    <x v="23"/>
    <n v="3"/>
    <n v="548.79"/>
    <x v="5"/>
    <n v="1646.37"/>
    <n v="493.91099999999989"/>
    <n v="1152.4590000000001"/>
    <n v="599.27867999999989"/>
    <n v="553.18031999999994"/>
    <n v="48.000000000000007"/>
    <s v="Debit Card"/>
  </r>
  <r>
    <s v="ORD0226"/>
    <x v="166"/>
    <x v="0"/>
    <n v="4"/>
    <s v="CUST0277"/>
    <x v="1"/>
    <x v="0"/>
    <x v="3"/>
    <x v="8"/>
    <n v="3"/>
    <n v="129.06"/>
    <x v="5"/>
    <n v="387.18"/>
    <n v="116.154"/>
    <n v="271.02600000000001"/>
    <n v="157.19507999999999"/>
    <n v="113.83092000000001"/>
    <n v="42.000000000000007"/>
    <s v="Debit Card"/>
  </r>
  <r>
    <s v="ORD0227"/>
    <x v="167"/>
    <x v="6"/>
    <n v="7"/>
    <s v="CUST0261"/>
    <x v="5"/>
    <x v="0"/>
    <x v="3"/>
    <x v="8"/>
    <n v="4"/>
    <n v="951.62"/>
    <x v="3"/>
    <n v="3806.48"/>
    <n v="380.64800000000002"/>
    <n v="3425.8319999999999"/>
    <n v="1986.9825599999999"/>
    <n v="1438.84944"/>
    <n v="42.000000000000007"/>
    <s v="UPI"/>
  </r>
  <r>
    <s v="ORD0228"/>
    <x v="168"/>
    <x v="10"/>
    <n v="8"/>
    <s v="CUST0049"/>
    <x v="6"/>
    <x v="0"/>
    <x v="2"/>
    <x v="29"/>
    <n v="1"/>
    <n v="29770.560000000001"/>
    <x v="4"/>
    <n v="29770.560000000001"/>
    <n v="1488.528"/>
    <n v="28282.031999999999"/>
    <n v="22059.984960000002"/>
    <n v="6222.0470399999977"/>
    <n v="21.999999999999989"/>
    <s v="UPI"/>
  </r>
  <r>
    <s v="ORD0229"/>
    <x v="169"/>
    <x v="8"/>
    <n v="6"/>
    <s v="CUST0266"/>
    <x v="9"/>
    <x v="1"/>
    <x v="2"/>
    <x v="27"/>
    <n v="2"/>
    <n v="35260.550000000003"/>
    <x v="6"/>
    <n v="70521.100000000006"/>
    <n v="17630.275000000001"/>
    <n v="52890.824999999997"/>
    <n v="41254.843500000003"/>
    <n v="11635.9815"/>
    <n v="22"/>
    <s v="Net Banking"/>
  </r>
  <r>
    <s v="ORD0230"/>
    <x v="170"/>
    <x v="8"/>
    <n v="6"/>
    <s v="CUST0183"/>
    <x v="3"/>
    <x v="2"/>
    <x v="0"/>
    <x v="0"/>
    <n v="2"/>
    <n v="1204.53"/>
    <x v="3"/>
    <n v="2409.06"/>
    <n v="240.90600000000001"/>
    <n v="2168.154"/>
    <n v="1192.4847"/>
    <n v="975.66929999999979"/>
    <n v="44.999999999999993"/>
    <s v="Cash"/>
  </r>
  <r>
    <s v="ORD0231"/>
    <x v="140"/>
    <x v="0"/>
    <n v="4"/>
    <s v="CUST0288"/>
    <x v="7"/>
    <x v="0"/>
    <x v="4"/>
    <x v="21"/>
    <n v="4"/>
    <n v="326.8"/>
    <x v="4"/>
    <n v="1307.2"/>
    <n v="65.36"/>
    <n v="1241.8399999999999"/>
    <n v="894.12480000000005"/>
    <n v="347.7152000000001"/>
    <n v="28"/>
    <s v="Net Banking"/>
  </r>
  <r>
    <s v="ORD0232"/>
    <x v="171"/>
    <x v="9"/>
    <n v="5"/>
    <s v="CUST0018"/>
    <x v="9"/>
    <x v="2"/>
    <x v="4"/>
    <x v="9"/>
    <n v="7"/>
    <n v="1061.1600000000001"/>
    <x v="4"/>
    <n v="7428.1200000000008"/>
    <n v="371.40600000000012"/>
    <n v="7056.7140000000009"/>
    <n v="5080.8340800000014"/>
    <n v="1975.8799200000001"/>
    <n v="28"/>
    <s v="Cash"/>
  </r>
  <r>
    <s v="ORD0233"/>
    <x v="114"/>
    <x v="10"/>
    <n v="8"/>
    <s v="CUST0285"/>
    <x v="4"/>
    <x v="0"/>
    <x v="3"/>
    <x v="17"/>
    <n v="6"/>
    <n v="1907.65"/>
    <x v="4"/>
    <n v="11445.9"/>
    <n v="572.29500000000007"/>
    <n v="10873.605"/>
    <n v="6306.6909000000014"/>
    <n v="4566.9141000000009"/>
    <n v="42.000000000000007"/>
    <s v="Net Banking"/>
  </r>
  <r>
    <s v="ORD0234"/>
    <x v="48"/>
    <x v="2"/>
    <n v="10"/>
    <s v="CUST0044"/>
    <x v="5"/>
    <x v="1"/>
    <x v="5"/>
    <x v="16"/>
    <n v="7"/>
    <n v="13488.87"/>
    <x v="4"/>
    <n v="94422.090000000011"/>
    <n v="4721.1045000000004"/>
    <n v="89700.98550000001"/>
    <n v="60996.670140000009"/>
    <n v="28704.315360000001"/>
    <n v="32"/>
    <s v="Net Banking"/>
  </r>
  <r>
    <s v="ORD0235"/>
    <x v="172"/>
    <x v="7"/>
    <n v="12"/>
    <s v="CUST0030"/>
    <x v="0"/>
    <x v="1"/>
    <x v="3"/>
    <x v="24"/>
    <n v="7"/>
    <n v="354.23"/>
    <x v="4"/>
    <n v="2479.61"/>
    <n v="123.98050000000001"/>
    <n v="2355.6295"/>
    <n v="1366.26511"/>
    <n v="989.36439000000018"/>
    <n v="42.000000000000007"/>
    <s v="Net Banking"/>
  </r>
  <r>
    <s v="ORD0236"/>
    <x v="173"/>
    <x v="0"/>
    <n v="4"/>
    <s v="CUST0261"/>
    <x v="7"/>
    <x v="2"/>
    <x v="5"/>
    <x v="14"/>
    <n v="2"/>
    <n v="2709.96"/>
    <x v="4"/>
    <n v="5419.92"/>
    <n v="270.99599999999998"/>
    <n v="5148.924"/>
    <n v="3501.2683200000001"/>
    <n v="1647.6556800000001"/>
    <n v="32"/>
    <s v="Debit Card"/>
  </r>
  <r>
    <s v="ORD0237"/>
    <x v="114"/>
    <x v="10"/>
    <n v="8"/>
    <s v="CUST0231"/>
    <x v="4"/>
    <x v="2"/>
    <x v="5"/>
    <x v="16"/>
    <n v="2"/>
    <n v="7090.8"/>
    <x v="1"/>
    <n v="14181.6"/>
    <n v="2127.2399999999998"/>
    <n v="12054.36"/>
    <n v="8196.9648000000016"/>
    <n v="3857.395199999999"/>
    <n v="31.999999999999989"/>
    <s v="UPI"/>
  </r>
  <r>
    <s v="ORD0238"/>
    <x v="13"/>
    <x v="1"/>
    <n v="3"/>
    <s v="CUST0014"/>
    <x v="3"/>
    <x v="0"/>
    <x v="5"/>
    <x v="16"/>
    <n v="2"/>
    <n v="21399.19"/>
    <x v="0"/>
    <n v="42798.38"/>
    <n v="8559.6759999999995"/>
    <n v="34238.703999999998"/>
    <n v="23282.318719999999"/>
    <n v="10956.38528"/>
    <n v="32"/>
    <s v="UPI"/>
  </r>
  <r>
    <s v="ORD0239"/>
    <x v="107"/>
    <x v="11"/>
    <n v="1"/>
    <s v="CUST0211"/>
    <x v="9"/>
    <x v="0"/>
    <x v="3"/>
    <x v="8"/>
    <n v="3"/>
    <n v="2120.73"/>
    <x v="3"/>
    <n v="6362.1900000000014"/>
    <n v="636.21900000000005"/>
    <n v="5725.9709999999995"/>
    <n v="3321.0631800000001"/>
    <n v="2404.9078199999999"/>
    <n v="42.000000000000007"/>
    <s v="Net Banking"/>
  </r>
  <r>
    <s v="ORD0240"/>
    <x v="174"/>
    <x v="9"/>
    <n v="5"/>
    <s v="CUST0293"/>
    <x v="5"/>
    <x v="2"/>
    <x v="0"/>
    <x v="19"/>
    <n v="2"/>
    <n v="5374.08"/>
    <x v="1"/>
    <n v="10748.16"/>
    <n v="1612.2239999999999"/>
    <n v="9135.9359999999997"/>
    <n v="5024.7647999999999"/>
    <n v="4111.1711999999998"/>
    <n v="45"/>
    <s v="Credit Card"/>
  </r>
  <r>
    <s v="ORD0241"/>
    <x v="175"/>
    <x v="3"/>
    <n v="2"/>
    <s v="CUST0273"/>
    <x v="0"/>
    <x v="1"/>
    <x v="4"/>
    <x v="13"/>
    <n v="4"/>
    <n v="258.52"/>
    <x v="3"/>
    <n v="1034.08"/>
    <n v="103.408"/>
    <n v="930.67199999999991"/>
    <n v="670.0838399999999"/>
    <n v="260.58816000000002"/>
    <n v="28"/>
    <s v="Net Banking"/>
  </r>
  <r>
    <s v="ORD0242"/>
    <x v="131"/>
    <x v="11"/>
    <n v="1"/>
    <s v="CUST0254"/>
    <x v="1"/>
    <x v="0"/>
    <x v="3"/>
    <x v="5"/>
    <n v="5"/>
    <n v="1491.96"/>
    <x v="1"/>
    <n v="7459.8"/>
    <n v="1118.97"/>
    <n v="6340.83"/>
    <n v="3677.681399999999"/>
    <n v="2663.1486"/>
    <n v="42.000000000000007"/>
    <s v="Debit Card"/>
  </r>
  <r>
    <s v="ORD0243"/>
    <x v="176"/>
    <x v="8"/>
    <n v="6"/>
    <s v="CUST0211"/>
    <x v="5"/>
    <x v="2"/>
    <x v="0"/>
    <x v="4"/>
    <n v="4"/>
    <n v="2271.59"/>
    <x v="1"/>
    <n v="9086.36"/>
    <n v="1362.954"/>
    <n v="7723.4060000000009"/>
    <n v="4247.8733000000011"/>
    <n v="3475.5327000000002"/>
    <n v="44.999999999999993"/>
    <s v="Credit Card"/>
  </r>
  <r>
    <s v="ORD0244"/>
    <x v="34"/>
    <x v="0"/>
    <n v="4"/>
    <s v="CUST0183"/>
    <x v="8"/>
    <x v="1"/>
    <x v="0"/>
    <x v="15"/>
    <n v="3"/>
    <n v="2921.09"/>
    <x v="4"/>
    <n v="8763.27"/>
    <n v="438.16350000000011"/>
    <n v="8325.1064999999999"/>
    <n v="4578.808575"/>
    <n v="3746.2979249999999"/>
    <n v="45"/>
    <s v="Credit Card"/>
  </r>
  <r>
    <s v="ORD0245"/>
    <x v="63"/>
    <x v="5"/>
    <n v="11"/>
    <s v="CUST0118"/>
    <x v="8"/>
    <x v="2"/>
    <x v="0"/>
    <x v="4"/>
    <n v="1"/>
    <n v="3790.24"/>
    <x v="1"/>
    <n v="3790.24"/>
    <n v="568.53599999999994"/>
    <n v="3221.7040000000002"/>
    <n v="1771.9372000000001"/>
    <n v="1449.7668000000001"/>
    <n v="44.999999999999993"/>
    <s v="Cash"/>
  </r>
  <r>
    <s v="ORD0246"/>
    <x v="177"/>
    <x v="10"/>
    <n v="8"/>
    <s v="CUST0075"/>
    <x v="0"/>
    <x v="2"/>
    <x v="3"/>
    <x v="5"/>
    <n v="7"/>
    <n v="1083.77"/>
    <x v="0"/>
    <n v="7586.3899999999994"/>
    <n v="1517.278"/>
    <n v="6069.1119999999992"/>
    <n v="3520.0849599999988"/>
    <n v="2549.0270399999999"/>
    <n v="42.000000000000007"/>
    <s v="Net Banking"/>
  </r>
  <r>
    <s v="ORD0247"/>
    <x v="178"/>
    <x v="1"/>
    <n v="3"/>
    <s v="CUST0254"/>
    <x v="5"/>
    <x v="2"/>
    <x v="5"/>
    <x v="28"/>
    <n v="2"/>
    <n v="6219.12"/>
    <x v="1"/>
    <n v="12438.24"/>
    <n v="1865.7360000000001"/>
    <n v="10572.504000000001"/>
    <n v="7189.3027200000024"/>
    <n v="3383.2012799999989"/>
    <n v="31.999999999999989"/>
    <s v="Debit Card"/>
  </r>
  <r>
    <s v="ORD0248"/>
    <x v="77"/>
    <x v="7"/>
    <n v="12"/>
    <s v="CUST0069"/>
    <x v="9"/>
    <x v="2"/>
    <x v="3"/>
    <x v="17"/>
    <n v="5"/>
    <n v="234.73"/>
    <x v="0"/>
    <n v="1173.6500000000001"/>
    <n v="234.73"/>
    <n v="938.91999999999985"/>
    <n v="544.57359999999983"/>
    <n v="394.34640000000002"/>
    <n v="42.000000000000007"/>
    <s v="Credit Card"/>
  </r>
  <r>
    <s v="ORD0249"/>
    <x v="115"/>
    <x v="6"/>
    <n v="7"/>
    <s v="CUST0231"/>
    <x v="0"/>
    <x v="0"/>
    <x v="1"/>
    <x v="25"/>
    <n v="4"/>
    <n v="640.48"/>
    <x v="2"/>
    <n v="2561.92"/>
    <n v="0"/>
    <n v="2561.92"/>
    <n v="1332.1984"/>
    <n v="1229.7216000000001"/>
    <n v="48.000000000000007"/>
    <s v="UPI"/>
  </r>
  <r>
    <s v="ORD0250"/>
    <x v="179"/>
    <x v="2"/>
    <n v="10"/>
    <s v="CUST0188"/>
    <x v="3"/>
    <x v="1"/>
    <x v="2"/>
    <x v="29"/>
    <n v="4"/>
    <n v="51634.239999999998"/>
    <x v="4"/>
    <n v="206536.95999999999"/>
    <n v="10326.848"/>
    <n v="196210.11199999999"/>
    <n v="153043.88735999999"/>
    <n v="43166.22464"/>
    <n v="22"/>
    <s v="UPI"/>
  </r>
  <r>
    <s v="ORD0251"/>
    <x v="151"/>
    <x v="3"/>
    <n v="2"/>
    <s v="CUST0220"/>
    <x v="0"/>
    <x v="1"/>
    <x v="1"/>
    <x v="6"/>
    <n v="6"/>
    <n v="1133.06"/>
    <x v="2"/>
    <n v="6798.36"/>
    <n v="0"/>
    <n v="6798.36"/>
    <n v="3535.1471999999999"/>
    <n v="3263.2127999999998"/>
    <n v="48"/>
    <s v="Credit Card"/>
  </r>
  <r>
    <s v="ORD0252"/>
    <x v="180"/>
    <x v="7"/>
    <n v="12"/>
    <s v="CUST0044"/>
    <x v="3"/>
    <x v="2"/>
    <x v="4"/>
    <x v="13"/>
    <n v="7"/>
    <n v="567.20000000000005"/>
    <x v="0"/>
    <n v="3970.400000000001"/>
    <n v="794.08000000000015"/>
    <n v="3176.3200000000011"/>
    <n v="2286.9504000000002"/>
    <n v="889.36960000000045"/>
    <n v="28.000000000000011"/>
    <s v="Debit Card"/>
  </r>
  <r>
    <s v="ORD0253"/>
    <x v="85"/>
    <x v="1"/>
    <n v="3"/>
    <s v="CUST0178"/>
    <x v="8"/>
    <x v="1"/>
    <x v="5"/>
    <x v="20"/>
    <n v="2"/>
    <n v="15144.84"/>
    <x v="3"/>
    <n v="30289.68"/>
    <n v="3028.9679999999998"/>
    <n v="27260.712"/>
    <n v="18537.284159999999"/>
    <n v="8723.4278400000003"/>
    <n v="32"/>
    <s v="Debit Card"/>
  </r>
  <r>
    <s v="ORD0254"/>
    <x v="181"/>
    <x v="9"/>
    <n v="5"/>
    <s v="CUST0142"/>
    <x v="3"/>
    <x v="2"/>
    <x v="1"/>
    <x v="1"/>
    <n v="2"/>
    <n v="2931.97"/>
    <x v="0"/>
    <n v="5863.94"/>
    <n v="1172.788"/>
    <n v="4691.152"/>
    <n v="2439.3990399999998"/>
    <n v="2251.7529599999998"/>
    <n v="47.999999999999993"/>
    <s v="Net Banking"/>
  </r>
  <r>
    <s v="ORD0255"/>
    <x v="182"/>
    <x v="1"/>
    <n v="3"/>
    <s v="CUST0161"/>
    <x v="4"/>
    <x v="2"/>
    <x v="1"/>
    <x v="6"/>
    <n v="3"/>
    <n v="2593.0100000000002"/>
    <x v="4"/>
    <n v="7779.0300000000007"/>
    <n v="388.95150000000012"/>
    <n v="7390.0785000000014"/>
    <n v="3842.8408199999999"/>
    <n v="3547.2376800000002"/>
    <n v="48"/>
    <s v="Credit Card"/>
  </r>
  <r>
    <s v="ORD0256"/>
    <x v="49"/>
    <x v="5"/>
    <n v="11"/>
    <s v="CUST0061"/>
    <x v="4"/>
    <x v="0"/>
    <x v="4"/>
    <x v="11"/>
    <n v="7"/>
    <n v="676.87"/>
    <x v="5"/>
    <n v="4738.09"/>
    <n v="1421.4269999999999"/>
    <n v="3316.663"/>
    <n v="2387.9973599999998"/>
    <n v="928.66564000000017"/>
    <n v="28"/>
    <s v="UPI"/>
  </r>
  <r>
    <s v="ORD0257"/>
    <x v="13"/>
    <x v="1"/>
    <n v="3"/>
    <s v="CUST0098"/>
    <x v="8"/>
    <x v="0"/>
    <x v="2"/>
    <x v="22"/>
    <n v="1"/>
    <n v="42935.31"/>
    <x v="4"/>
    <n v="42935.31"/>
    <n v="2146.7655"/>
    <n v="40788.544500000004"/>
    <n v="31815.064709999999"/>
    <n v="8973.4797899999976"/>
    <n v="22"/>
    <s v="Net Banking"/>
  </r>
  <r>
    <s v="ORD0258"/>
    <x v="146"/>
    <x v="11"/>
    <n v="1"/>
    <s v="CUST0125"/>
    <x v="0"/>
    <x v="0"/>
    <x v="4"/>
    <x v="13"/>
    <n v="1"/>
    <n v="819.38"/>
    <x v="3"/>
    <n v="819.38"/>
    <n v="81.938000000000002"/>
    <n v="737.44200000000001"/>
    <n v="530.95823999999993"/>
    <n v="206.4837600000001"/>
    <n v="28.000000000000011"/>
    <s v="Cash"/>
  </r>
  <r>
    <s v="ORD0259"/>
    <x v="111"/>
    <x v="3"/>
    <n v="2"/>
    <s v="CUST0032"/>
    <x v="0"/>
    <x v="2"/>
    <x v="5"/>
    <x v="14"/>
    <n v="3"/>
    <n v="3669.02"/>
    <x v="0"/>
    <n v="11007.06"/>
    <n v="2201.4119999999998"/>
    <n v="8805.6479999999992"/>
    <n v="5987.8406400000003"/>
    <n v="2817.8073599999989"/>
    <n v="31.999999999999989"/>
    <s v="Credit Card"/>
  </r>
  <r>
    <s v="ORD0260"/>
    <x v="183"/>
    <x v="1"/>
    <n v="3"/>
    <s v="CUST0213"/>
    <x v="5"/>
    <x v="0"/>
    <x v="4"/>
    <x v="11"/>
    <n v="4"/>
    <n v="647.29"/>
    <x v="4"/>
    <n v="2589.16"/>
    <n v="129.458"/>
    <n v="2459.7020000000002"/>
    <n v="1770.9854399999999"/>
    <n v="688.71656000000007"/>
    <n v="28.000000000000011"/>
    <s v="Net Banking"/>
  </r>
  <r>
    <s v="ORD0261"/>
    <x v="184"/>
    <x v="8"/>
    <n v="6"/>
    <s v="CUST0248"/>
    <x v="7"/>
    <x v="2"/>
    <x v="5"/>
    <x v="20"/>
    <n v="4"/>
    <n v="19870.28"/>
    <x v="2"/>
    <n v="79481.119999999995"/>
    <n v="0"/>
    <n v="79481.119999999995"/>
    <n v="54047.161599999999"/>
    <n v="25433.9584"/>
    <n v="32"/>
    <s v="Cash"/>
  </r>
  <r>
    <s v="ORD0262"/>
    <x v="185"/>
    <x v="10"/>
    <n v="8"/>
    <s v="CUST0178"/>
    <x v="7"/>
    <x v="2"/>
    <x v="4"/>
    <x v="11"/>
    <n v="7"/>
    <n v="805.3"/>
    <x v="0"/>
    <n v="5637.0999999999995"/>
    <n v="1127.42"/>
    <n v="4509.6799999999994"/>
    <n v="3246.969599999999"/>
    <n v="1262.7103999999999"/>
    <n v="28"/>
    <s v="Debit Card"/>
  </r>
  <r>
    <s v="ORD0263"/>
    <x v="186"/>
    <x v="4"/>
    <n v="9"/>
    <s v="CUST0085"/>
    <x v="1"/>
    <x v="1"/>
    <x v="5"/>
    <x v="28"/>
    <n v="4"/>
    <n v="20339.22"/>
    <x v="1"/>
    <n v="81356.88"/>
    <n v="12203.531999999999"/>
    <n v="69153.347999999998"/>
    <n v="47024.276639999996"/>
    <n v="22129.071359999991"/>
    <n v="32"/>
    <s v="Credit Card"/>
  </r>
  <r>
    <s v="ORD0264"/>
    <x v="68"/>
    <x v="3"/>
    <n v="2"/>
    <s v="CUST0259"/>
    <x v="4"/>
    <x v="1"/>
    <x v="0"/>
    <x v="15"/>
    <n v="4"/>
    <n v="3568.01"/>
    <x v="4"/>
    <n v="14272.04"/>
    <n v="713.60200000000009"/>
    <n v="13558.438"/>
    <n v="7457.1409000000003"/>
    <n v="6101.2970999999998"/>
    <n v="44.999999999999993"/>
    <s v="Cash"/>
  </r>
  <r>
    <s v="ORD0265"/>
    <x v="187"/>
    <x v="9"/>
    <n v="5"/>
    <s v="CUST0246"/>
    <x v="7"/>
    <x v="2"/>
    <x v="1"/>
    <x v="6"/>
    <n v="4"/>
    <n v="2907.25"/>
    <x v="3"/>
    <n v="11629"/>
    <n v="1162.9000000000001"/>
    <n v="10466.1"/>
    <n v="5442.3720000000003"/>
    <n v="5023.7280000000001"/>
    <n v="48"/>
    <s v="Debit Card"/>
  </r>
  <r>
    <s v="ORD0266"/>
    <x v="79"/>
    <x v="2"/>
    <n v="10"/>
    <s v="CUST0158"/>
    <x v="4"/>
    <x v="0"/>
    <x v="2"/>
    <x v="27"/>
    <n v="7"/>
    <n v="35665.46"/>
    <x v="4"/>
    <n v="249658.22"/>
    <n v="12482.911"/>
    <n v="237175.30900000001"/>
    <n v="184996.74101999999"/>
    <n v="52178.567979999993"/>
    <n v="22"/>
    <s v="Debit Card"/>
  </r>
  <r>
    <s v="ORD0267"/>
    <x v="29"/>
    <x v="4"/>
    <n v="9"/>
    <s v="CUST0281"/>
    <x v="6"/>
    <x v="0"/>
    <x v="3"/>
    <x v="5"/>
    <n v="5"/>
    <n v="1443.41"/>
    <x v="3"/>
    <n v="7217.05"/>
    <n v="721.70500000000004"/>
    <n v="6495.3450000000003"/>
    <n v="3767.3000999999999"/>
    <n v="2728.0448999999999"/>
    <n v="42.000000000000007"/>
    <s v="Net Banking"/>
  </r>
  <r>
    <s v="ORD0268"/>
    <x v="185"/>
    <x v="10"/>
    <n v="8"/>
    <s v="CUST0134"/>
    <x v="7"/>
    <x v="2"/>
    <x v="1"/>
    <x v="25"/>
    <n v="4"/>
    <n v="3031.98"/>
    <x v="0"/>
    <n v="12127.92"/>
    <n v="2425.5839999999998"/>
    <n v="9702.3359999999993"/>
    <n v="5045.2147199999999"/>
    <n v="4657.1212799999994"/>
    <n v="48"/>
    <s v="Credit Card"/>
  </r>
  <r>
    <s v="ORD0269"/>
    <x v="145"/>
    <x v="7"/>
    <n v="12"/>
    <s v="CUST0131"/>
    <x v="2"/>
    <x v="2"/>
    <x v="0"/>
    <x v="4"/>
    <n v="1"/>
    <n v="2467.89"/>
    <x v="3"/>
    <n v="2467.89"/>
    <n v="246.78899999999999"/>
    <n v="2221.1010000000001"/>
    <n v="1221.60555"/>
    <n v="999.49544999999966"/>
    <n v="44.999999999999993"/>
    <s v="Credit Card"/>
  </r>
  <r>
    <s v="ORD0270"/>
    <x v="7"/>
    <x v="6"/>
    <n v="7"/>
    <s v="CUST0075"/>
    <x v="3"/>
    <x v="1"/>
    <x v="2"/>
    <x v="10"/>
    <n v="5"/>
    <n v="31946.77"/>
    <x v="6"/>
    <n v="159733.85"/>
    <n v="39933.462500000001"/>
    <n v="119800.3875"/>
    <n v="93444.302250000008"/>
    <n v="26356.08525"/>
    <n v="22"/>
    <s v="Net Banking"/>
  </r>
  <r>
    <s v="ORD0271"/>
    <x v="32"/>
    <x v="0"/>
    <n v="4"/>
    <s v="CUST0212"/>
    <x v="4"/>
    <x v="0"/>
    <x v="3"/>
    <x v="18"/>
    <n v="6"/>
    <n v="2449.85"/>
    <x v="1"/>
    <n v="14699.1"/>
    <n v="2204.8649999999998"/>
    <n v="12494.235000000001"/>
    <n v="7246.6562999999987"/>
    <n v="5247.5787"/>
    <n v="42.000000000000007"/>
    <s v="Cash"/>
  </r>
  <r>
    <s v="ORD0272"/>
    <x v="36"/>
    <x v="3"/>
    <n v="2"/>
    <s v="CUST0247"/>
    <x v="0"/>
    <x v="1"/>
    <x v="4"/>
    <x v="11"/>
    <n v="1"/>
    <n v="803.57"/>
    <x v="5"/>
    <n v="803.57"/>
    <n v="241.071"/>
    <n v="562.49900000000002"/>
    <n v="404.99928"/>
    <n v="157.49972"/>
    <n v="28"/>
    <s v="Cash"/>
  </r>
  <r>
    <s v="ORD0273"/>
    <x v="188"/>
    <x v="2"/>
    <n v="10"/>
    <s v="CUST0117"/>
    <x v="9"/>
    <x v="0"/>
    <x v="4"/>
    <x v="13"/>
    <n v="7"/>
    <n v="294.54000000000002"/>
    <x v="2"/>
    <n v="2061.7800000000002"/>
    <n v="0"/>
    <n v="2061.7800000000002"/>
    <n v="1484.4816000000001"/>
    <n v="577.29840000000013"/>
    <n v="28"/>
    <s v="Cash"/>
  </r>
  <r>
    <s v="ORD0274"/>
    <x v="189"/>
    <x v="3"/>
    <n v="2"/>
    <s v="CUST0115"/>
    <x v="8"/>
    <x v="0"/>
    <x v="2"/>
    <x v="2"/>
    <n v="3"/>
    <n v="11368.35"/>
    <x v="6"/>
    <n v="34105.050000000003"/>
    <n v="8526.2625000000007"/>
    <n v="25578.787499999999"/>
    <n v="19951.454249999999"/>
    <n v="5627.3332499999997"/>
    <n v="22"/>
    <s v="Debit Card"/>
  </r>
  <r>
    <s v="ORD0275"/>
    <x v="190"/>
    <x v="0"/>
    <n v="4"/>
    <s v="CUST0190"/>
    <x v="7"/>
    <x v="1"/>
    <x v="5"/>
    <x v="12"/>
    <n v="6"/>
    <n v="12858.06"/>
    <x v="0"/>
    <n v="77148.36"/>
    <n v="15429.672"/>
    <n v="61718.688000000002"/>
    <n v="41968.707840000003"/>
    <n v="19749.980159999999"/>
    <n v="32"/>
    <s v="Cash"/>
  </r>
  <r>
    <s v="ORD0276"/>
    <x v="158"/>
    <x v="2"/>
    <n v="10"/>
    <s v="CUST0083"/>
    <x v="7"/>
    <x v="1"/>
    <x v="4"/>
    <x v="26"/>
    <n v="2"/>
    <n v="1161.18"/>
    <x v="4"/>
    <n v="2322.36"/>
    <n v="116.11799999999999"/>
    <n v="2206.2420000000002"/>
    <n v="1588.49424"/>
    <n v="617.7477600000002"/>
    <n v="28.000000000000011"/>
    <s v="Debit Card"/>
  </r>
  <r>
    <s v="ORD0277"/>
    <x v="191"/>
    <x v="6"/>
    <n v="7"/>
    <s v="CUST0073"/>
    <x v="0"/>
    <x v="2"/>
    <x v="0"/>
    <x v="4"/>
    <n v="4"/>
    <n v="5899.89"/>
    <x v="1"/>
    <n v="23599.56"/>
    <n v="3539.9340000000002"/>
    <n v="20059.626"/>
    <n v="11032.7943"/>
    <n v="9026.8316999999988"/>
    <n v="44.999999999999993"/>
    <s v="Debit Card"/>
  </r>
  <r>
    <s v="ORD0278"/>
    <x v="192"/>
    <x v="0"/>
    <n v="4"/>
    <s v="CUST0286"/>
    <x v="3"/>
    <x v="2"/>
    <x v="4"/>
    <x v="13"/>
    <n v="5"/>
    <n v="671.8"/>
    <x v="2"/>
    <n v="3359"/>
    <n v="0"/>
    <n v="3359"/>
    <n v="2418.48"/>
    <n v="940.52"/>
    <n v="28"/>
    <s v="UPI"/>
  </r>
  <r>
    <s v="ORD0279"/>
    <x v="193"/>
    <x v="9"/>
    <n v="5"/>
    <s v="CUST0222"/>
    <x v="3"/>
    <x v="1"/>
    <x v="3"/>
    <x v="8"/>
    <n v="5"/>
    <n v="813.37"/>
    <x v="4"/>
    <n v="4066.85"/>
    <n v="203.3425"/>
    <n v="3863.5075000000002"/>
    <n v="2240.8343500000001"/>
    <n v="1622.6731500000001"/>
    <n v="42.000000000000007"/>
    <s v="Cash"/>
  </r>
  <r>
    <s v="ORD0280"/>
    <x v="5"/>
    <x v="4"/>
    <n v="9"/>
    <s v="CUST0120"/>
    <x v="0"/>
    <x v="2"/>
    <x v="5"/>
    <x v="28"/>
    <n v="1"/>
    <n v="9934.18"/>
    <x v="3"/>
    <n v="9934.18"/>
    <n v="993.41800000000012"/>
    <n v="8940.7620000000006"/>
    <n v="6079.7181600000013"/>
    <n v="2861.0438399999989"/>
    <n v="31.999999999999989"/>
    <s v="Cash"/>
  </r>
  <r>
    <s v="ORD0281"/>
    <x v="40"/>
    <x v="3"/>
    <n v="2"/>
    <s v="CUST0276"/>
    <x v="9"/>
    <x v="1"/>
    <x v="3"/>
    <x v="8"/>
    <n v="6"/>
    <n v="2153.67"/>
    <x v="3"/>
    <n v="12922.02"/>
    <n v="1292.202"/>
    <n v="11629.817999999999"/>
    <n v="6745.2944399999988"/>
    <n v="4884.5235600000015"/>
    <n v="42.000000000000007"/>
    <s v="UPI"/>
  </r>
  <r>
    <s v="ORD0282"/>
    <x v="191"/>
    <x v="6"/>
    <n v="7"/>
    <s v="CUST0216"/>
    <x v="8"/>
    <x v="2"/>
    <x v="1"/>
    <x v="6"/>
    <n v="1"/>
    <n v="2408.36"/>
    <x v="0"/>
    <n v="2408.36"/>
    <n v="481.67200000000003"/>
    <n v="1926.6880000000001"/>
    <n v="1001.87776"/>
    <n v="924.81024000000002"/>
    <n v="48"/>
    <s v="Cash"/>
  </r>
  <r>
    <s v="ORD0283"/>
    <x v="194"/>
    <x v="8"/>
    <n v="6"/>
    <s v="CUST0232"/>
    <x v="9"/>
    <x v="1"/>
    <x v="2"/>
    <x v="29"/>
    <n v="3"/>
    <n v="58873.83"/>
    <x v="3"/>
    <n v="176621.49"/>
    <n v="17662.149000000001"/>
    <n v="158959.34099999999"/>
    <n v="123988.28598"/>
    <n v="34971.05502"/>
    <n v="22"/>
    <s v="UPI"/>
  </r>
  <r>
    <s v="ORD0284"/>
    <x v="195"/>
    <x v="8"/>
    <n v="6"/>
    <s v="CUST0260"/>
    <x v="5"/>
    <x v="2"/>
    <x v="3"/>
    <x v="18"/>
    <n v="4"/>
    <n v="1723.42"/>
    <x v="4"/>
    <n v="6893.68"/>
    <n v="344.68400000000003"/>
    <n v="6548.9960000000001"/>
    <n v="3798.41768"/>
    <n v="2750.5783200000001"/>
    <n v="42"/>
    <s v="Cash"/>
  </r>
  <r>
    <s v="ORD0285"/>
    <x v="196"/>
    <x v="6"/>
    <n v="7"/>
    <s v="CUST0087"/>
    <x v="5"/>
    <x v="0"/>
    <x v="5"/>
    <x v="28"/>
    <n v="3"/>
    <n v="19230.86"/>
    <x v="3"/>
    <n v="57692.58"/>
    <n v="5769.2580000000007"/>
    <n v="51923.322"/>
    <n v="35307.858960000012"/>
    <n v="16615.463039999999"/>
    <n v="31.999999999999989"/>
    <s v="Credit Card"/>
  </r>
  <r>
    <s v="ORD0286"/>
    <x v="178"/>
    <x v="1"/>
    <n v="3"/>
    <s v="CUST0093"/>
    <x v="8"/>
    <x v="1"/>
    <x v="0"/>
    <x v="0"/>
    <n v="6"/>
    <n v="751.07"/>
    <x v="4"/>
    <n v="4506.42"/>
    <n v="225.321"/>
    <n v="4281.0990000000002"/>
    <n v="2354.6044499999998"/>
    <n v="1926.4945499999999"/>
    <n v="44.999999999999993"/>
    <s v="Net Banking"/>
  </r>
  <r>
    <s v="ORD0287"/>
    <x v="197"/>
    <x v="7"/>
    <n v="12"/>
    <s v="CUST0190"/>
    <x v="1"/>
    <x v="1"/>
    <x v="2"/>
    <x v="29"/>
    <n v="5"/>
    <n v="38609.43"/>
    <x v="0"/>
    <n v="193047.15"/>
    <n v="38609.43"/>
    <n v="154437.72"/>
    <n v="120461.4216"/>
    <n v="33976.2984"/>
    <n v="22"/>
    <s v="Cash"/>
  </r>
  <r>
    <s v="ORD0288"/>
    <x v="172"/>
    <x v="7"/>
    <n v="12"/>
    <s v="CUST0106"/>
    <x v="5"/>
    <x v="0"/>
    <x v="5"/>
    <x v="28"/>
    <n v="7"/>
    <n v="20558.18"/>
    <x v="1"/>
    <n v="143907.26"/>
    <n v="21586.089"/>
    <n v="122321.171"/>
    <n v="83178.396280000001"/>
    <n v="39142.774720000001"/>
    <n v="32"/>
    <s v="UPI"/>
  </r>
  <r>
    <s v="ORD0289"/>
    <x v="84"/>
    <x v="7"/>
    <n v="12"/>
    <s v="CUST0059"/>
    <x v="0"/>
    <x v="1"/>
    <x v="1"/>
    <x v="23"/>
    <n v="1"/>
    <n v="2236.3200000000002"/>
    <x v="2"/>
    <n v="2236.3200000000002"/>
    <n v="0"/>
    <n v="2236.3200000000002"/>
    <n v="1162.8864000000001"/>
    <n v="1073.4336000000001"/>
    <n v="48"/>
    <s v="Net Banking"/>
  </r>
  <r>
    <s v="ORD0290"/>
    <x v="115"/>
    <x v="6"/>
    <n v="7"/>
    <s v="CUST0046"/>
    <x v="8"/>
    <x v="1"/>
    <x v="3"/>
    <x v="8"/>
    <n v="6"/>
    <n v="2482.7600000000002"/>
    <x v="4"/>
    <n v="14896.56"/>
    <n v="744.82800000000009"/>
    <n v="14151.732"/>
    <n v="8208.0045600000012"/>
    <n v="5943.7274400000006"/>
    <n v="42"/>
    <s v="Net Banking"/>
  </r>
  <r>
    <s v="ORD0291"/>
    <x v="166"/>
    <x v="0"/>
    <n v="4"/>
    <s v="CUST0103"/>
    <x v="2"/>
    <x v="2"/>
    <x v="0"/>
    <x v="15"/>
    <n v="5"/>
    <n v="2201.5500000000002"/>
    <x v="0"/>
    <n v="11007.75"/>
    <n v="2201.5500000000002"/>
    <n v="8806.2000000000007"/>
    <n v="4843.4100000000008"/>
    <n v="3962.79"/>
    <n v="44.999999999999993"/>
    <s v="Debit Card"/>
  </r>
  <r>
    <s v="ORD0292"/>
    <x v="194"/>
    <x v="8"/>
    <n v="6"/>
    <s v="CUST0146"/>
    <x v="4"/>
    <x v="0"/>
    <x v="4"/>
    <x v="21"/>
    <n v="5"/>
    <n v="1004.03"/>
    <x v="2"/>
    <n v="5020.1499999999996"/>
    <n v="0"/>
    <n v="5020.1499999999996"/>
    <n v="3614.5079999999998"/>
    <n v="1405.6420000000001"/>
    <n v="28"/>
    <s v="Cash"/>
  </r>
  <r>
    <s v="ORD0293"/>
    <x v="182"/>
    <x v="1"/>
    <n v="3"/>
    <s v="CUST0113"/>
    <x v="8"/>
    <x v="0"/>
    <x v="1"/>
    <x v="25"/>
    <n v="3"/>
    <n v="2167.86"/>
    <x v="3"/>
    <n v="6503.58"/>
    <n v="650.35800000000006"/>
    <n v="5853.2219999999998"/>
    <n v="3043.67544"/>
    <n v="2809.5465600000002"/>
    <n v="48"/>
    <s v="UPI"/>
  </r>
  <r>
    <s v="ORD0294"/>
    <x v="198"/>
    <x v="4"/>
    <n v="9"/>
    <s v="CUST0266"/>
    <x v="4"/>
    <x v="1"/>
    <x v="1"/>
    <x v="23"/>
    <n v="1"/>
    <n v="2333.29"/>
    <x v="6"/>
    <n v="2333.29"/>
    <n v="583.32249999999999"/>
    <n v="1749.9675"/>
    <n v="909.98310000000004"/>
    <n v="839.98439999999994"/>
    <n v="48"/>
    <s v="UPI"/>
  </r>
  <r>
    <s v="ORD0295"/>
    <x v="189"/>
    <x v="3"/>
    <n v="2"/>
    <s v="CUST0002"/>
    <x v="5"/>
    <x v="1"/>
    <x v="0"/>
    <x v="3"/>
    <n v="3"/>
    <n v="4481.8500000000004"/>
    <x v="4"/>
    <n v="13445.55"/>
    <n v="672.27750000000015"/>
    <n v="12773.272499999999"/>
    <n v="7025.2998750000024"/>
    <n v="5747.9726249999994"/>
    <n v="44.999999999999993"/>
    <s v="UPI"/>
  </r>
  <r>
    <s v="ORD0296"/>
    <x v="186"/>
    <x v="4"/>
    <n v="9"/>
    <s v="CUST0213"/>
    <x v="8"/>
    <x v="1"/>
    <x v="3"/>
    <x v="24"/>
    <n v="3"/>
    <n v="1266.4000000000001"/>
    <x v="1"/>
    <n v="3799.2"/>
    <n v="569.88"/>
    <n v="3229.32"/>
    <n v="1873.0056"/>
    <n v="1356.3144"/>
    <n v="42.000000000000007"/>
    <s v="UPI"/>
  </r>
  <r>
    <s v="ORD0297"/>
    <x v="139"/>
    <x v="2"/>
    <n v="10"/>
    <s v="CUST0099"/>
    <x v="0"/>
    <x v="2"/>
    <x v="0"/>
    <x v="19"/>
    <n v="5"/>
    <n v="4308.71"/>
    <x v="3"/>
    <n v="21543.55"/>
    <n v="2154.355"/>
    <n v="19389.195"/>
    <n v="10664.05725"/>
    <n v="8725.1377499999999"/>
    <n v="45"/>
    <s v="Credit Card"/>
  </r>
  <r>
    <s v="ORD0298"/>
    <x v="199"/>
    <x v="11"/>
    <n v="1"/>
    <s v="CUST0156"/>
    <x v="3"/>
    <x v="1"/>
    <x v="0"/>
    <x v="0"/>
    <n v="4"/>
    <n v="4891.09"/>
    <x v="0"/>
    <n v="19564.36"/>
    <n v="3912.8719999999998"/>
    <n v="15651.487999999999"/>
    <n v="8608.3184000000019"/>
    <n v="7043.1695999999993"/>
    <n v="44.999999999999993"/>
    <s v="Credit Card"/>
  </r>
  <r>
    <s v="ORD0299"/>
    <x v="82"/>
    <x v="5"/>
    <n v="11"/>
    <s v="CUST0290"/>
    <x v="1"/>
    <x v="2"/>
    <x v="4"/>
    <x v="13"/>
    <n v="4"/>
    <n v="501.92"/>
    <x v="3"/>
    <n v="2007.68"/>
    <n v="200.768"/>
    <n v="1806.912"/>
    <n v="1300.9766400000001"/>
    <n v="505.93535999999989"/>
    <n v="28"/>
    <s v="Net Banking"/>
  </r>
  <r>
    <s v="ORD0300"/>
    <x v="200"/>
    <x v="3"/>
    <n v="2"/>
    <s v="CUST0202"/>
    <x v="4"/>
    <x v="1"/>
    <x v="2"/>
    <x v="2"/>
    <n v="1"/>
    <n v="61958.73"/>
    <x v="3"/>
    <n v="61958.73"/>
    <n v="6195.8730000000014"/>
    <n v="55762.857000000004"/>
    <n v="43495.028460000001"/>
    <n v="12267.82854"/>
    <n v="22"/>
    <s v="Debit Card"/>
  </r>
  <r>
    <s v="ORD0301"/>
    <x v="18"/>
    <x v="9"/>
    <n v="5"/>
    <s v="CUST0176"/>
    <x v="6"/>
    <x v="0"/>
    <x v="3"/>
    <x v="24"/>
    <n v="1"/>
    <n v="343.02"/>
    <x v="0"/>
    <n v="343.02"/>
    <n v="68.603999999999999"/>
    <n v="274.416"/>
    <n v="159.16128"/>
    <n v="115.25472000000001"/>
    <n v="42.000000000000007"/>
    <s v="Cash"/>
  </r>
  <r>
    <s v="ORD0302"/>
    <x v="17"/>
    <x v="0"/>
    <n v="4"/>
    <s v="CUST0067"/>
    <x v="6"/>
    <x v="0"/>
    <x v="1"/>
    <x v="25"/>
    <n v="2"/>
    <n v="1802.45"/>
    <x v="2"/>
    <n v="3604.9"/>
    <n v="0"/>
    <n v="3604.9"/>
    <n v="1874.548"/>
    <n v="1730.3520000000001"/>
    <n v="48.000000000000007"/>
    <s v="Debit Card"/>
  </r>
  <r>
    <s v="ORD0303"/>
    <x v="201"/>
    <x v="10"/>
    <n v="8"/>
    <s v="CUST0245"/>
    <x v="2"/>
    <x v="2"/>
    <x v="3"/>
    <x v="5"/>
    <n v="2"/>
    <n v="851.7"/>
    <x v="4"/>
    <n v="1703.4"/>
    <n v="85.170000000000016"/>
    <n v="1618.23"/>
    <n v="938.57339999999999"/>
    <n v="679.65660000000003"/>
    <n v="42"/>
    <s v="Net Banking"/>
  </r>
  <r>
    <s v="ORD0304"/>
    <x v="109"/>
    <x v="3"/>
    <n v="2"/>
    <s v="CUST0196"/>
    <x v="4"/>
    <x v="2"/>
    <x v="5"/>
    <x v="28"/>
    <n v="4"/>
    <n v="9564.25"/>
    <x v="6"/>
    <n v="38257"/>
    <n v="9564.25"/>
    <n v="28692.75"/>
    <n v="19511.07"/>
    <n v="9181.68"/>
    <n v="32"/>
    <s v="Net Banking"/>
  </r>
  <r>
    <s v="ORD0305"/>
    <x v="202"/>
    <x v="1"/>
    <n v="3"/>
    <s v="CUST0224"/>
    <x v="5"/>
    <x v="2"/>
    <x v="3"/>
    <x v="17"/>
    <n v="7"/>
    <n v="463.8"/>
    <x v="2"/>
    <n v="3246.6"/>
    <n v="0"/>
    <n v="3246.6"/>
    <n v="1883.028"/>
    <n v="1363.5719999999999"/>
    <n v="42.000000000000007"/>
    <s v="UPI"/>
  </r>
  <r>
    <s v="ORD0306"/>
    <x v="98"/>
    <x v="5"/>
    <n v="11"/>
    <s v="CUST0042"/>
    <x v="4"/>
    <x v="2"/>
    <x v="1"/>
    <x v="25"/>
    <n v="2"/>
    <n v="755.51"/>
    <x v="4"/>
    <n v="1511.02"/>
    <n v="75.551000000000002"/>
    <n v="1435.4690000000001"/>
    <n v="746.44388000000004"/>
    <n v="689.02512000000002"/>
    <n v="48"/>
    <s v="Credit Card"/>
  </r>
  <r>
    <s v="ORD0307"/>
    <x v="203"/>
    <x v="7"/>
    <n v="12"/>
    <s v="CUST0092"/>
    <x v="1"/>
    <x v="2"/>
    <x v="4"/>
    <x v="11"/>
    <n v="7"/>
    <n v="360.78"/>
    <x v="5"/>
    <n v="2525.46"/>
    <n v="757.63800000000003"/>
    <n v="1767.8219999999999"/>
    <n v="1272.8318400000001"/>
    <n v="494.99016000000012"/>
    <n v="28"/>
    <s v="Net Banking"/>
  </r>
  <r>
    <s v="ORD0308"/>
    <x v="173"/>
    <x v="0"/>
    <n v="4"/>
    <s v="CUST0099"/>
    <x v="4"/>
    <x v="0"/>
    <x v="5"/>
    <x v="28"/>
    <n v="3"/>
    <n v="7164.45"/>
    <x v="0"/>
    <n v="21493.35"/>
    <n v="4298.67"/>
    <n v="17194.68"/>
    <n v="11692.3824"/>
    <n v="5502.2975999999999"/>
    <n v="32"/>
    <s v="Credit Card"/>
  </r>
  <r>
    <s v="ORD0309"/>
    <x v="204"/>
    <x v="2"/>
    <n v="10"/>
    <s v="CUST0145"/>
    <x v="9"/>
    <x v="0"/>
    <x v="1"/>
    <x v="25"/>
    <n v="7"/>
    <n v="1503.95"/>
    <x v="2"/>
    <n v="10527.65"/>
    <n v="0"/>
    <n v="10527.65"/>
    <n v="5474.3779999999997"/>
    <n v="5053.2719999999999"/>
    <n v="48.000000000000007"/>
    <s v="Debit Card"/>
  </r>
  <r>
    <s v="ORD0310"/>
    <x v="34"/>
    <x v="0"/>
    <n v="4"/>
    <s v="CUST0246"/>
    <x v="9"/>
    <x v="0"/>
    <x v="5"/>
    <x v="12"/>
    <n v="3"/>
    <n v="10452.870000000001"/>
    <x v="3"/>
    <n v="31358.61"/>
    <n v="3135.8609999999999"/>
    <n v="28222.749"/>
    <n v="19191.46932"/>
    <n v="9031.2796799999996"/>
    <n v="32"/>
    <s v="Cash"/>
  </r>
  <r>
    <s v="ORD0311"/>
    <x v="160"/>
    <x v="11"/>
    <n v="1"/>
    <s v="CUST0070"/>
    <x v="8"/>
    <x v="1"/>
    <x v="2"/>
    <x v="2"/>
    <n v="4"/>
    <n v="34606.58"/>
    <x v="2"/>
    <n v="138426.32"/>
    <n v="0"/>
    <n v="138426.32"/>
    <n v="107972.52959999999"/>
    <n v="30453.790400000002"/>
    <n v="22"/>
    <s v="Credit Card"/>
  </r>
  <r>
    <s v="ORD0312"/>
    <x v="26"/>
    <x v="2"/>
    <n v="10"/>
    <s v="CUST0183"/>
    <x v="2"/>
    <x v="0"/>
    <x v="0"/>
    <x v="0"/>
    <n v="4"/>
    <n v="4650.42"/>
    <x v="3"/>
    <n v="18601.68"/>
    <n v="1860.1679999999999"/>
    <n v="16741.511999999999"/>
    <n v="9207.8315999999995"/>
    <n v="7533.6803999999993"/>
    <n v="45"/>
    <s v="UPI"/>
  </r>
  <r>
    <s v="ORD0313"/>
    <x v="205"/>
    <x v="10"/>
    <n v="8"/>
    <s v="CUST0179"/>
    <x v="9"/>
    <x v="0"/>
    <x v="3"/>
    <x v="18"/>
    <n v="3"/>
    <n v="2304.96"/>
    <x v="3"/>
    <n v="6914.88"/>
    <n v="691.48800000000006"/>
    <n v="6223.3919999999998"/>
    <n v="3609.56736"/>
    <n v="2613.8246399999998"/>
    <n v="42.000000000000007"/>
    <s v="Credit Card"/>
  </r>
  <r>
    <s v="ORD0314"/>
    <x v="206"/>
    <x v="0"/>
    <n v="4"/>
    <s v="CUST0163"/>
    <x v="3"/>
    <x v="2"/>
    <x v="3"/>
    <x v="24"/>
    <n v="7"/>
    <n v="1934.87"/>
    <x v="1"/>
    <n v="13544.09"/>
    <n v="2031.6134999999999"/>
    <n v="11512.476500000001"/>
    <n v="6677.2363699999996"/>
    <n v="4835.240130000001"/>
    <n v="42.000000000000007"/>
    <s v="UPI"/>
  </r>
  <r>
    <s v="ORD0315"/>
    <x v="207"/>
    <x v="10"/>
    <n v="8"/>
    <s v="CUST0013"/>
    <x v="0"/>
    <x v="0"/>
    <x v="3"/>
    <x v="17"/>
    <n v="7"/>
    <n v="2220.3200000000002"/>
    <x v="3"/>
    <n v="15542.24"/>
    <n v="1554.2239999999999"/>
    <n v="13988.016"/>
    <n v="8113.0492800000002"/>
    <n v="5874.9667200000013"/>
    <n v="42.000000000000007"/>
    <s v="Debit Card"/>
  </r>
  <r>
    <s v="ORD0316"/>
    <x v="208"/>
    <x v="5"/>
    <n v="11"/>
    <s v="CUST0204"/>
    <x v="4"/>
    <x v="2"/>
    <x v="4"/>
    <x v="11"/>
    <n v="2"/>
    <n v="204.6"/>
    <x v="4"/>
    <n v="409.2"/>
    <n v="20.46"/>
    <n v="388.74"/>
    <n v="279.89280000000002"/>
    <n v="108.8472"/>
    <n v="28"/>
    <s v="UPI"/>
  </r>
  <r>
    <s v="ORD0317"/>
    <x v="209"/>
    <x v="10"/>
    <n v="8"/>
    <s v="CUST0030"/>
    <x v="0"/>
    <x v="1"/>
    <x v="3"/>
    <x v="24"/>
    <n v="3"/>
    <n v="581.55999999999995"/>
    <x v="5"/>
    <n v="1744.68"/>
    <n v="523.40399999999988"/>
    <n v="1221.2760000000001"/>
    <n v="708.34007999999983"/>
    <n v="512.93592000000001"/>
    <n v="42.000000000000007"/>
    <s v="Cash"/>
  </r>
  <r>
    <s v="ORD0318"/>
    <x v="159"/>
    <x v="11"/>
    <n v="1"/>
    <s v="CUST0136"/>
    <x v="9"/>
    <x v="2"/>
    <x v="1"/>
    <x v="23"/>
    <n v="1"/>
    <n v="427.8"/>
    <x v="2"/>
    <n v="427.8"/>
    <n v="0"/>
    <n v="427.8"/>
    <n v="222.45599999999999"/>
    <n v="205.34399999999999"/>
    <n v="48"/>
    <s v="Cash"/>
  </r>
  <r>
    <s v="ORD0319"/>
    <x v="40"/>
    <x v="3"/>
    <n v="2"/>
    <s v="CUST0260"/>
    <x v="5"/>
    <x v="1"/>
    <x v="5"/>
    <x v="12"/>
    <n v="7"/>
    <n v="4493.6099999999997"/>
    <x v="3"/>
    <n v="31455.27"/>
    <n v="3145.527"/>
    <n v="28309.742999999991"/>
    <n v="19250.625240000001"/>
    <n v="9059.1177599999974"/>
    <n v="32"/>
    <s v="Debit Card"/>
  </r>
  <r>
    <s v="ORD0320"/>
    <x v="100"/>
    <x v="6"/>
    <n v="7"/>
    <s v="CUST0083"/>
    <x v="5"/>
    <x v="0"/>
    <x v="1"/>
    <x v="23"/>
    <n v="5"/>
    <n v="2502.6"/>
    <x v="2"/>
    <n v="12513"/>
    <n v="0"/>
    <n v="12513"/>
    <n v="6506.76"/>
    <n v="6006.24"/>
    <n v="48"/>
    <s v="Credit Card"/>
  </r>
  <r>
    <s v="ORD0321"/>
    <x v="201"/>
    <x v="10"/>
    <n v="8"/>
    <s v="CUST0013"/>
    <x v="1"/>
    <x v="1"/>
    <x v="0"/>
    <x v="4"/>
    <n v="6"/>
    <n v="776.24"/>
    <x v="2"/>
    <n v="4657.4400000000014"/>
    <n v="0"/>
    <n v="4657.4400000000014"/>
    <n v="2561.592000000001"/>
    <n v="2095.848"/>
    <n v="44.999999999999993"/>
    <s v="Credit Card"/>
  </r>
  <r>
    <s v="ORD0322"/>
    <x v="210"/>
    <x v="2"/>
    <n v="10"/>
    <s v="CUST0027"/>
    <x v="5"/>
    <x v="2"/>
    <x v="3"/>
    <x v="17"/>
    <n v="7"/>
    <n v="2330.15"/>
    <x v="3"/>
    <n v="16311.05"/>
    <n v="1631.105"/>
    <n v="14679.945"/>
    <n v="8514.3680999999997"/>
    <n v="6165.5769000000018"/>
    <n v="42.000000000000007"/>
    <s v="UPI"/>
  </r>
  <r>
    <s v="ORD0323"/>
    <x v="23"/>
    <x v="10"/>
    <n v="8"/>
    <s v="CUST0275"/>
    <x v="3"/>
    <x v="2"/>
    <x v="4"/>
    <x v="21"/>
    <n v="5"/>
    <n v="88.72"/>
    <x v="4"/>
    <n v="443.6"/>
    <n v="22.18"/>
    <n v="421.42"/>
    <n v="303.42239999999998"/>
    <n v="117.99760000000001"/>
    <n v="28.000000000000011"/>
    <s v="Credit Card"/>
  </r>
  <r>
    <s v="ORD0324"/>
    <x v="54"/>
    <x v="11"/>
    <n v="1"/>
    <s v="CUST0014"/>
    <x v="4"/>
    <x v="0"/>
    <x v="0"/>
    <x v="4"/>
    <n v="6"/>
    <n v="894.77"/>
    <x v="1"/>
    <n v="5368.62"/>
    <n v="805.29300000000001"/>
    <n v="4563.3270000000002"/>
    <n v="2509.829850000001"/>
    <n v="2053.4971500000001"/>
    <n v="44.999999999999993"/>
    <s v="Net Banking"/>
  </r>
  <r>
    <s v="ORD0325"/>
    <x v="129"/>
    <x v="7"/>
    <n v="12"/>
    <s v="CUST0264"/>
    <x v="4"/>
    <x v="1"/>
    <x v="4"/>
    <x v="26"/>
    <n v="6"/>
    <n v="648.20000000000005"/>
    <x v="4"/>
    <n v="3889.2"/>
    <n v="194.46"/>
    <n v="3694.74"/>
    <n v="2660.2127999999998"/>
    <n v="1034.5272"/>
    <n v="28"/>
    <s v="Credit Card"/>
  </r>
  <r>
    <s v="ORD0326"/>
    <x v="211"/>
    <x v="4"/>
    <n v="9"/>
    <s v="CUST0079"/>
    <x v="3"/>
    <x v="1"/>
    <x v="5"/>
    <x v="28"/>
    <n v="7"/>
    <n v="3722.47"/>
    <x v="1"/>
    <n v="26057.29"/>
    <n v="3908.593499999999"/>
    <n v="22148.696499999998"/>
    <n v="15061.11362"/>
    <n v="7087.5828799999981"/>
    <n v="32"/>
    <s v="Credit Card"/>
  </r>
  <r>
    <s v="ORD0327"/>
    <x v="88"/>
    <x v="7"/>
    <n v="12"/>
    <s v="CUST0088"/>
    <x v="4"/>
    <x v="2"/>
    <x v="5"/>
    <x v="16"/>
    <n v="2"/>
    <n v="8713.82"/>
    <x v="1"/>
    <n v="17427.64"/>
    <n v="2614.1460000000002"/>
    <n v="14813.494000000001"/>
    <n v="10073.17592"/>
    <n v="4740.3180799999991"/>
    <n v="32"/>
    <s v="Cash"/>
  </r>
  <r>
    <s v="ORD0328"/>
    <x v="212"/>
    <x v="5"/>
    <n v="11"/>
    <s v="CUST0147"/>
    <x v="3"/>
    <x v="1"/>
    <x v="1"/>
    <x v="1"/>
    <n v="4"/>
    <n v="536.24"/>
    <x v="3"/>
    <n v="2144.96"/>
    <n v="214.49600000000001"/>
    <n v="1930.4639999999999"/>
    <n v="1003.84128"/>
    <n v="926.62271999999996"/>
    <n v="48"/>
    <s v="Cash"/>
  </r>
  <r>
    <s v="ORD0329"/>
    <x v="213"/>
    <x v="0"/>
    <n v="4"/>
    <s v="CUST0198"/>
    <x v="1"/>
    <x v="1"/>
    <x v="5"/>
    <x v="16"/>
    <n v="7"/>
    <n v="23717.14"/>
    <x v="3"/>
    <n v="166019.98000000001"/>
    <n v="16601.998"/>
    <n v="149417.98199999999"/>
    <n v="101604.22775999999"/>
    <n v="47813.754239999987"/>
    <n v="32"/>
    <s v="UPI"/>
  </r>
  <r>
    <s v="ORD0330"/>
    <x v="110"/>
    <x v="6"/>
    <n v="7"/>
    <s v="CUST0120"/>
    <x v="0"/>
    <x v="0"/>
    <x v="5"/>
    <x v="16"/>
    <n v="5"/>
    <n v="11222.1"/>
    <x v="1"/>
    <n v="56110.5"/>
    <n v="8416.5749999999989"/>
    <n v="47693.925000000003"/>
    <n v="32431.86900000001"/>
    <n v="15262.056"/>
    <n v="31.999999999999989"/>
    <s v="Net Banking"/>
  </r>
  <r>
    <s v="ORD0331"/>
    <x v="47"/>
    <x v="10"/>
    <n v="8"/>
    <s v="CUST0273"/>
    <x v="6"/>
    <x v="1"/>
    <x v="1"/>
    <x v="23"/>
    <n v="5"/>
    <n v="3387.96"/>
    <x v="0"/>
    <n v="16939.8"/>
    <n v="3387.96"/>
    <n v="13551.84"/>
    <n v="7046.9567999999999"/>
    <n v="6504.8832000000002"/>
    <n v="48.000000000000007"/>
    <s v="UPI"/>
  </r>
  <r>
    <s v="ORD0332"/>
    <x v="119"/>
    <x v="11"/>
    <n v="1"/>
    <s v="CUST0101"/>
    <x v="5"/>
    <x v="1"/>
    <x v="0"/>
    <x v="4"/>
    <n v="3"/>
    <n v="3988.87"/>
    <x v="5"/>
    <n v="11966.61"/>
    <n v="3589.9830000000002"/>
    <n v="8376.6270000000004"/>
    <n v="4607.1448500000006"/>
    <n v="3769.4821499999998"/>
    <n v="44.999999999999993"/>
    <s v="UPI"/>
  </r>
  <r>
    <s v="ORD0333"/>
    <x v="214"/>
    <x v="7"/>
    <n v="12"/>
    <s v="CUST0013"/>
    <x v="4"/>
    <x v="2"/>
    <x v="5"/>
    <x v="16"/>
    <n v="6"/>
    <n v="19842.560000000001"/>
    <x v="2"/>
    <n v="119055.36"/>
    <n v="0"/>
    <n v="119055.36"/>
    <n v="80957.644800000009"/>
    <n v="38097.715200000013"/>
    <n v="32"/>
    <s v="Cash"/>
  </r>
  <r>
    <s v="ORD0334"/>
    <x v="215"/>
    <x v="11"/>
    <n v="1"/>
    <s v="CUST0100"/>
    <x v="0"/>
    <x v="2"/>
    <x v="5"/>
    <x v="16"/>
    <n v="1"/>
    <n v="17290.45"/>
    <x v="3"/>
    <n v="17290.45"/>
    <n v="1729.0450000000001"/>
    <n v="15561.405000000001"/>
    <n v="10581.7554"/>
    <n v="4979.6495999999988"/>
    <n v="31.999999999999989"/>
    <s v="Credit Card"/>
  </r>
  <r>
    <s v="ORD0335"/>
    <x v="205"/>
    <x v="10"/>
    <n v="8"/>
    <s v="CUST0149"/>
    <x v="1"/>
    <x v="0"/>
    <x v="0"/>
    <x v="15"/>
    <n v="2"/>
    <n v="4554.03"/>
    <x v="5"/>
    <n v="9108.06"/>
    <n v="2732.4180000000001"/>
    <n v="6375.6419999999998"/>
    <n v="3506.6030999999998"/>
    <n v="2869.0389"/>
    <n v="44.999999999999993"/>
    <s v="Cash"/>
  </r>
  <r>
    <s v="ORD0336"/>
    <x v="119"/>
    <x v="11"/>
    <n v="1"/>
    <s v="CUST0118"/>
    <x v="5"/>
    <x v="0"/>
    <x v="0"/>
    <x v="19"/>
    <n v="3"/>
    <n v="2522.8200000000002"/>
    <x v="2"/>
    <n v="7568.4600000000009"/>
    <n v="0"/>
    <n v="7568.4600000000009"/>
    <n v="4162.6530000000012"/>
    <n v="3405.8069999999998"/>
    <n v="44.999999999999993"/>
    <s v="Cash"/>
  </r>
  <r>
    <s v="ORD0337"/>
    <x v="188"/>
    <x v="2"/>
    <n v="10"/>
    <s v="CUST0280"/>
    <x v="4"/>
    <x v="0"/>
    <x v="1"/>
    <x v="23"/>
    <n v="2"/>
    <n v="248.49"/>
    <x v="3"/>
    <n v="496.98"/>
    <n v="49.698000000000008"/>
    <n v="447.28199999999998"/>
    <n v="232.58663999999999"/>
    <n v="214.69535999999999"/>
    <n v="48"/>
    <s v="Cash"/>
  </r>
  <r>
    <s v="ORD0338"/>
    <x v="216"/>
    <x v="9"/>
    <n v="5"/>
    <s v="CUST0268"/>
    <x v="5"/>
    <x v="2"/>
    <x v="3"/>
    <x v="18"/>
    <n v="1"/>
    <n v="1866.88"/>
    <x v="3"/>
    <n v="1866.88"/>
    <n v="186.68799999999999"/>
    <n v="1680.192"/>
    <n v="974.51135999999997"/>
    <n v="705.68064000000004"/>
    <n v="42.000000000000007"/>
    <s v="UPI"/>
  </r>
  <r>
    <s v="ORD0339"/>
    <x v="123"/>
    <x v="10"/>
    <n v="8"/>
    <s v="CUST0119"/>
    <x v="8"/>
    <x v="0"/>
    <x v="5"/>
    <x v="14"/>
    <n v="4"/>
    <n v="11447.07"/>
    <x v="0"/>
    <n v="45788.28"/>
    <n v="9157.6560000000009"/>
    <n v="36630.624000000003"/>
    <n v="24908.82432"/>
    <n v="11721.79968"/>
    <n v="32"/>
    <s v="Debit Card"/>
  </r>
  <r>
    <s v="ORD0340"/>
    <x v="170"/>
    <x v="8"/>
    <n v="6"/>
    <s v="CUST0134"/>
    <x v="0"/>
    <x v="2"/>
    <x v="5"/>
    <x v="28"/>
    <n v="3"/>
    <n v="11108.06"/>
    <x v="3"/>
    <n v="33324.18"/>
    <n v="3332.4180000000001"/>
    <n v="29991.761999999999"/>
    <n v="20394.398160000001"/>
    <n v="9597.3638399999982"/>
    <n v="32"/>
    <s v="UPI"/>
  </r>
  <r>
    <s v="ORD0341"/>
    <x v="3"/>
    <x v="3"/>
    <n v="2"/>
    <s v="CUST0016"/>
    <x v="9"/>
    <x v="2"/>
    <x v="5"/>
    <x v="14"/>
    <n v="7"/>
    <n v="10332.15"/>
    <x v="3"/>
    <n v="72325.05"/>
    <n v="7232.505000000001"/>
    <n v="65092.544999999998"/>
    <n v="44262.9306"/>
    <n v="20829.614399999999"/>
    <n v="32"/>
    <s v="Debit Card"/>
  </r>
  <r>
    <s v="ORD0342"/>
    <x v="38"/>
    <x v="8"/>
    <n v="6"/>
    <s v="CUST0045"/>
    <x v="5"/>
    <x v="1"/>
    <x v="3"/>
    <x v="8"/>
    <n v="1"/>
    <n v="1554.75"/>
    <x v="4"/>
    <n v="1554.75"/>
    <n v="77.737500000000011"/>
    <n v="1477.0125"/>
    <n v="856.66724999999997"/>
    <n v="620.34525000000008"/>
    <n v="42.000000000000007"/>
    <s v="Debit Card"/>
  </r>
  <r>
    <s v="ORD0343"/>
    <x v="195"/>
    <x v="8"/>
    <n v="6"/>
    <s v="CUST0218"/>
    <x v="6"/>
    <x v="0"/>
    <x v="5"/>
    <x v="28"/>
    <n v="2"/>
    <n v="13391.73"/>
    <x v="1"/>
    <n v="26783.46"/>
    <n v="4017.5189999999998"/>
    <n v="22765.940999999999"/>
    <n v="15480.83988"/>
    <n v="7285.1011199999994"/>
    <n v="32"/>
    <s v="Net Banking"/>
  </r>
  <r>
    <s v="ORD0344"/>
    <x v="217"/>
    <x v="5"/>
    <n v="11"/>
    <s v="CUST0278"/>
    <x v="3"/>
    <x v="2"/>
    <x v="0"/>
    <x v="0"/>
    <n v="2"/>
    <n v="4045.25"/>
    <x v="1"/>
    <n v="8090.5"/>
    <n v="1213.575"/>
    <n v="6876.9250000000002"/>
    <n v="3782.3087500000011"/>
    <n v="3094.61625"/>
    <n v="44.999999999999993"/>
    <s v="Credit Card"/>
  </r>
  <r>
    <s v="ORD0345"/>
    <x v="144"/>
    <x v="6"/>
    <n v="7"/>
    <s v="CUST0267"/>
    <x v="9"/>
    <x v="1"/>
    <x v="5"/>
    <x v="14"/>
    <n v="1"/>
    <n v="16504.310000000001"/>
    <x v="0"/>
    <n v="16504.310000000001"/>
    <n v="3300.862000000001"/>
    <n v="13203.448"/>
    <n v="8978.3446400000012"/>
    <n v="4225.1033599999992"/>
    <n v="32"/>
    <s v="Debit Card"/>
  </r>
  <r>
    <s v="ORD0346"/>
    <x v="72"/>
    <x v="5"/>
    <n v="11"/>
    <s v="CUST0188"/>
    <x v="3"/>
    <x v="1"/>
    <x v="2"/>
    <x v="10"/>
    <n v="7"/>
    <n v="60296.69"/>
    <x v="4"/>
    <n v="422076.83"/>
    <n v="21103.841499999999"/>
    <n v="400972.98849999998"/>
    <n v="312758.93102999998"/>
    <n v="88214.05747"/>
    <n v="22"/>
    <s v="Credit Card"/>
  </r>
  <r>
    <s v="ORD0347"/>
    <x v="95"/>
    <x v="2"/>
    <n v="10"/>
    <s v="CUST0248"/>
    <x v="5"/>
    <x v="2"/>
    <x v="2"/>
    <x v="27"/>
    <n v="2"/>
    <n v="8446.9699999999993"/>
    <x v="1"/>
    <n v="16893.939999999999"/>
    <n v="2534.0909999999999"/>
    <n v="14359.849"/>
    <n v="11200.682220000001"/>
    <n v="3159.16678"/>
    <n v="22"/>
    <s v="Debit Card"/>
  </r>
  <r>
    <s v="ORD0348"/>
    <x v="218"/>
    <x v="10"/>
    <n v="8"/>
    <s v="CUST0294"/>
    <x v="5"/>
    <x v="0"/>
    <x v="1"/>
    <x v="1"/>
    <n v="2"/>
    <n v="2442.75"/>
    <x v="2"/>
    <n v="4885.5"/>
    <n v="0"/>
    <n v="4885.5"/>
    <n v="2540.46"/>
    <n v="2345.04"/>
    <n v="48"/>
    <s v="Credit Card"/>
  </r>
  <r>
    <s v="ORD0349"/>
    <x v="79"/>
    <x v="2"/>
    <n v="10"/>
    <s v="CUST0093"/>
    <x v="1"/>
    <x v="2"/>
    <x v="1"/>
    <x v="25"/>
    <n v="7"/>
    <n v="344.87"/>
    <x v="4"/>
    <n v="2414.09"/>
    <n v="120.7045"/>
    <n v="2293.3854999999999"/>
    <n v="1192.5604599999999"/>
    <n v="1100.8250399999999"/>
    <n v="48"/>
    <s v="Cash"/>
  </r>
  <r>
    <s v="ORD0350"/>
    <x v="27"/>
    <x v="8"/>
    <n v="6"/>
    <s v="CUST0156"/>
    <x v="5"/>
    <x v="2"/>
    <x v="2"/>
    <x v="29"/>
    <n v="3"/>
    <n v="53209.14"/>
    <x v="0"/>
    <n v="159627.42000000001"/>
    <n v="31925.484"/>
    <n v="127701.936"/>
    <n v="99607.510079999993"/>
    <n v="28094.425919999991"/>
    <n v="22"/>
    <s v="Debit Card"/>
  </r>
  <r>
    <s v="ORD0351"/>
    <x v="219"/>
    <x v="4"/>
    <n v="9"/>
    <s v="CUST0089"/>
    <x v="4"/>
    <x v="1"/>
    <x v="3"/>
    <x v="5"/>
    <n v="2"/>
    <n v="1354.1"/>
    <x v="4"/>
    <n v="2708.2"/>
    <n v="135.41"/>
    <n v="2572.79"/>
    <n v="1492.2182"/>
    <n v="1080.5717999999999"/>
    <n v="42.000000000000007"/>
    <s v="Credit Card"/>
  </r>
  <r>
    <s v="ORD0352"/>
    <x v="220"/>
    <x v="4"/>
    <n v="9"/>
    <s v="CUST0273"/>
    <x v="9"/>
    <x v="0"/>
    <x v="0"/>
    <x v="3"/>
    <n v="3"/>
    <n v="4526.67"/>
    <x v="3"/>
    <n v="13580.01"/>
    <n v="1358.001"/>
    <n v="12222.009"/>
    <n v="6722.1049500000008"/>
    <n v="5499.9040499999992"/>
    <n v="44.999999999999993"/>
    <s v="Net Banking"/>
  </r>
  <r>
    <s v="ORD0353"/>
    <x v="221"/>
    <x v="7"/>
    <n v="12"/>
    <s v="CUST0039"/>
    <x v="8"/>
    <x v="1"/>
    <x v="4"/>
    <x v="13"/>
    <n v="4"/>
    <n v="334.44"/>
    <x v="1"/>
    <n v="1337.76"/>
    <n v="200.66399999999999"/>
    <n v="1137.096"/>
    <n v="818.70911999999998"/>
    <n v="318.38688000000002"/>
    <n v="28"/>
    <s v="Credit Card"/>
  </r>
  <r>
    <s v="ORD0354"/>
    <x v="44"/>
    <x v="7"/>
    <n v="12"/>
    <s v="CUST0036"/>
    <x v="9"/>
    <x v="0"/>
    <x v="1"/>
    <x v="25"/>
    <n v="6"/>
    <n v="2190.11"/>
    <x v="0"/>
    <n v="13140.66"/>
    <n v="2628.1320000000001"/>
    <n v="10512.528"/>
    <n v="5466.5145600000014"/>
    <n v="5046.0134399999997"/>
    <n v="48"/>
    <s v="Net Banking"/>
  </r>
  <r>
    <s v="ORD0355"/>
    <x v="205"/>
    <x v="10"/>
    <n v="8"/>
    <s v="CUST0091"/>
    <x v="5"/>
    <x v="2"/>
    <x v="5"/>
    <x v="12"/>
    <n v="4"/>
    <n v="6502.48"/>
    <x v="3"/>
    <n v="26009.919999999998"/>
    <n v="2600.9920000000002"/>
    <n v="23408.928"/>
    <n v="15918.071040000001"/>
    <n v="7490.8569599999992"/>
    <n v="32"/>
    <s v="UPI"/>
  </r>
  <r>
    <s v="ORD0356"/>
    <x v="88"/>
    <x v="7"/>
    <n v="12"/>
    <s v="CUST0265"/>
    <x v="5"/>
    <x v="1"/>
    <x v="3"/>
    <x v="18"/>
    <n v="4"/>
    <n v="1689.84"/>
    <x v="2"/>
    <n v="6759.36"/>
    <n v="0"/>
    <n v="6759.36"/>
    <n v="3920.4288000000001"/>
    <n v="2838.9312"/>
    <n v="42.000000000000007"/>
    <s v="Credit Card"/>
  </r>
  <r>
    <s v="ORD0357"/>
    <x v="187"/>
    <x v="9"/>
    <n v="5"/>
    <s v="CUST0117"/>
    <x v="7"/>
    <x v="1"/>
    <x v="2"/>
    <x v="10"/>
    <n v="5"/>
    <n v="35448.31"/>
    <x v="1"/>
    <n v="177241.55"/>
    <n v="26586.232499999998"/>
    <n v="150655.3175"/>
    <n v="117511.14765"/>
    <n v="33144.169849999991"/>
    <n v="21.999999999999989"/>
    <s v="Debit Card"/>
  </r>
  <r>
    <s v="ORD0358"/>
    <x v="50"/>
    <x v="7"/>
    <n v="12"/>
    <s v="CUST0181"/>
    <x v="4"/>
    <x v="2"/>
    <x v="4"/>
    <x v="26"/>
    <n v="1"/>
    <n v="955.68"/>
    <x v="4"/>
    <n v="955.68"/>
    <n v="47.783999999999999"/>
    <n v="907.89599999999996"/>
    <n v="653.68511999999998"/>
    <n v="254.21088"/>
    <n v="28"/>
    <s v="UPI"/>
  </r>
  <r>
    <s v="ORD0359"/>
    <x v="31"/>
    <x v="3"/>
    <n v="2"/>
    <s v="CUST0203"/>
    <x v="3"/>
    <x v="2"/>
    <x v="5"/>
    <x v="16"/>
    <n v="5"/>
    <n v="24423.38"/>
    <x v="2"/>
    <n v="122116.9"/>
    <n v="0"/>
    <n v="122116.9"/>
    <n v="83039.492000000013"/>
    <n v="39077.408000000003"/>
    <n v="32"/>
    <s v="Credit Card"/>
  </r>
  <r>
    <s v="ORD0360"/>
    <x v="103"/>
    <x v="6"/>
    <n v="7"/>
    <s v="CUST0221"/>
    <x v="6"/>
    <x v="2"/>
    <x v="2"/>
    <x v="2"/>
    <n v="6"/>
    <n v="57405.91"/>
    <x v="4"/>
    <n v="344435.46"/>
    <n v="17221.773000000001"/>
    <n v="327213.68699999998"/>
    <n v="255226.67585999999"/>
    <n v="71987.011139999988"/>
    <n v="21.999999999999989"/>
    <s v="Debit Card"/>
  </r>
  <r>
    <s v="ORD0361"/>
    <x v="222"/>
    <x v="9"/>
    <n v="5"/>
    <s v="CUST0188"/>
    <x v="0"/>
    <x v="1"/>
    <x v="3"/>
    <x v="5"/>
    <n v="4"/>
    <n v="1921.06"/>
    <x v="4"/>
    <n v="7684.24"/>
    <n v="384.21199999999999"/>
    <n v="7300.0280000000002"/>
    <n v="4234.0162399999999"/>
    <n v="3066.0117599999999"/>
    <n v="42.000000000000007"/>
    <s v="Net Banking"/>
  </r>
  <r>
    <s v="ORD0362"/>
    <x v="174"/>
    <x v="9"/>
    <n v="5"/>
    <s v="CUST0221"/>
    <x v="1"/>
    <x v="2"/>
    <x v="5"/>
    <x v="12"/>
    <n v="4"/>
    <n v="13694.65"/>
    <x v="4"/>
    <n v="54778.6"/>
    <n v="2738.93"/>
    <n v="52039.67"/>
    <n v="35386.975599999998"/>
    <n v="16652.6944"/>
    <n v="32"/>
    <s v="Cash"/>
  </r>
  <r>
    <s v="ORD0363"/>
    <x v="142"/>
    <x v="5"/>
    <n v="11"/>
    <s v="CUST0280"/>
    <x v="1"/>
    <x v="1"/>
    <x v="5"/>
    <x v="16"/>
    <n v="7"/>
    <n v="22288.67"/>
    <x v="3"/>
    <n v="156020.69"/>
    <n v="15602.069"/>
    <n v="140418.62100000001"/>
    <n v="95484.662280000019"/>
    <n v="44933.958720000002"/>
    <n v="32"/>
    <s v="Cash"/>
  </r>
  <r>
    <s v="ORD0364"/>
    <x v="122"/>
    <x v="11"/>
    <n v="1"/>
    <s v="CUST0181"/>
    <x v="1"/>
    <x v="1"/>
    <x v="5"/>
    <x v="16"/>
    <n v="4"/>
    <n v="5910.89"/>
    <x v="6"/>
    <n v="23643.56"/>
    <n v="5910.89"/>
    <n v="17732.669999999998"/>
    <n v="12058.2156"/>
    <n v="5674.4544000000014"/>
    <n v="32"/>
    <s v="Net Banking"/>
  </r>
  <r>
    <s v="ORD0365"/>
    <x v="223"/>
    <x v="7"/>
    <n v="12"/>
    <s v="CUST0249"/>
    <x v="5"/>
    <x v="0"/>
    <x v="4"/>
    <x v="9"/>
    <n v="5"/>
    <n v="930.38"/>
    <x v="2"/>
    <n v="4651.8999999999996"/>
    <n v="0"/>
    <n v="4651.8999999999996"/>
    <n v="3349.367999999999"/>
    <n v="1302.5319999999999"/>
    <n v="28.000000000000011"/>
    <s v="UPI"/>
  </r>
  <r>
    <s v="ORD0366"/>
    <x v="216"/>
    <x v="9"/>
    <n v="5"/>
    <s v="CUST0179"/>
    <x v="5"/>
    <x v="1"/>
    <x v="4"/>
    <x v="13"/>
    <n v="5"/>
    <n v="399.53"/>
    <x v="4"/>
    <n v="1997.65"/>
    <n v="99.882499999999993"/>
    <n v="1897.7674999999999"/>
    <n v="1366.3925999999999"/>
    <n v="531.37490000000003"/>
    <n v="28"/>
    <s v="Cash"/>
  </r>
  <r>
    <s v="ORD0367"/>
    <x v="224"/>
    <x v="5"/>
    <n v="11"/>
    <s v="CUST0030"/>
    <x v="9"/>
    <x v="2"/>
    <x v="4"/>
    <x v="11"/>
    <n v="3"/>
    <n v="812.5"/>
    <x v="1"/>
    <n v="2437.5"/>
    <n v="365.625"/>
    <n v="2071.875"/>
    <n v="1491.75"/>
    <n v="580.125"/>
    <n v="28"/>
    <s v="Debit Card"/>
  </r>
  <r>
    <s v="ORD0368"/>
    <x v="225"/>
    <x v="6"/>
    <n v="7"/>
    <s v="CUST0228"/>
    <x v="0"/>
    <x v="0"/>
    <x v="2"/>
    <x v="22"/>
    <n v="6"/>
    <n v="27206.99"/>
    <x v="5"/>
    <n v="163241.94"/>
    <n v="48972.582000000002"/>
    <n v="114269.35799999999"/>
    <n v="89130.09924000001"/>
    <n v="25139.258760000001"/>
    <n v="21.999999999999989"/>
    <s v="Net Banking"/>
  </r>
  <r>
    <s v="ORD0369"/>
    <x v="106"/>
    <x v="10"/>
    <n v="8"/>
    <s v="CUST0162"/>
    <x v="3"/>
    <x v="2"/>
    <x v="3"/>
    <x v="18"/>
    <n v="7"/>
    <n v="1406.79"/>
    <x v="1"/>
    <n v="9847.5299999999988"/>
    <n v="1477.1295"/>
    <n v="8370.4004999999997"/>
    <n v="4854.8322899999994"/>
    <n v="3515.5682099999999"/>
    <n v="42.000000000000007"/>
    <s v="Credit Card"/>
  </r>
  <r>
    <s v="ORD0370"/>
    <x v="226"/>
    <x v="10"/>
    <n v="8"/>
    <s v="CUST0153"/>
    <x v="9"/>
    <x v="2"/>
    <x v="2"/>
    <x v="10"/>
    <n v="1"/>
    <n v="42288.57"/>
    <x v="4"/>
    <n v="42288.57"/>
    <n v="2114.4285"/>
    <n v="40174.141499999998"/>
    <n v="31335.83037"/>
    <n v="8838.3111299999982"/>
    <n v="22"/>
    <s v="UPI"/>
  </r>
  <r>
    <s v="ORD0371"/>
    <x v="162"/>
    <x v="6"/>
    <n v="7"/>
    <s v="CUST0088"/>
    <x v="4"/>
    <x v="1"/>
    <x v="2"/>
    <x v="2"/>
    <n v="3"/>
    <n v="29049"/>
    <x v="6"/>
    <n v="87147"/>
    <n v="21786.75"/>
    <n v="65360.25"/>
    <n v="50980.995000000003"/>
    <n v="14379.254999999999"/>
    <n v="22"/>
    <s v="UPI"/>
  </r>
  <r>
    <s v="ORD0372"/>
    <x v="227"/>
    <x v="8"/>
    <n v="6"/>
    <s v="CUST0169"/>
    <x v="3"/>
    <x v="2"/>
    <x v="1"/>
    <x v="6"/>
    <n v="6"/>
    <n v="1337.19"/>
    <x v="2"/>
    <n v="8023.14"/>
    <n v="0"/>
    <n v="8023.14"/>
    <n v="4172.0328"/>
    <n v="3851.1071999999999"/>
    <n v="48.000000000000007"/>
    <s v="Cash"/>
  </r>
  <r>
    <s v="ORD0373"/>
    <x v="137"/>
    <x v="4"/>
    <n v="9"/>
    <s v="CUST0175"/>
    <x v="0"/>
    <x v="2"/>
    <x v="3"/>
    <x v="24"/>
    <n v="1"/>
    <n v="1782.81"/>
    <x v="1"/>
    <n v="1782.81"/>
    <n v="267.42149999999998"/>
    <n v="1515.3885"/>
    <n v="878.92532999999992"/>
    <n v="636.4631700000001"/>
    <n v="42.000000000000007"/>
    <s v="Debit Card"/>
  </r>
  <r>
    <s v="ORD0374"/>
    <x v="228"/>
    <x v="4"/>
    <n v="9"/>
    <s v="CUST0078"/>
    <x v="2"/>
    <x v="2"/>
    <x v="0"/>
    <x v="3"/>
    <n v="4"/>
    <n v="2613.9499999999998"/>
    <x v="2"/>
    <n v="10455.799999999999"/>
    <n v="0"/>
    <n v="10455.799999999999"/>
    <n v="5750.6900000000014"/>
    <n v="4705.1099999999988"/>
    <n v="44.999999999999993"/>
    <s v="Net Banking"/>
  </r>
  <r>
    <s v="ORD0375"/>
    <x v="29"/>
    <x v="4"/>
    <n v="9"/>
    <s v="CUST0168"/>
    <x v="7"/>
    <x v="2"/>
    <x v="0"/>
    <x v="15"/>
    <n v="3"/>
    <n v="3255.98"/>
    <x v="1"/>
    <n v="9767.94"/>
    <n v="1465.191"/>
    <n v="8302.7489999999998"/>
    <n v="4566.5119500000001"/>
    <n v="3736.2370500000002"/>
    <n v="44.999999999999993"/>
    <s v="Net Banking"/>
  </r>
  <r>
    <s v="ORD0376"/>
    <x v="48"/>
    <x v="2"/>
    <n v="10"/>
    <s v="CUST0147"/>
    <x v="2"/>
    <x v="2"/>
    <x v="4"/>
    <x v="13"/>
    <n v="5"/>
    <n v="1155.74"/>
    <x v="1"/>
    <n v="5778.7"/>
    <n v="866.80499999999995"/>
    <n v="4911.8950000000004"/>
    <n v="3536.5644000000002"/>
    <n v="1375.3306"/>
    <n v="28"/>
    <s v="Cash"/>
  </r>
  <r>
    <s v="ORD0377"/>
    <x v="229"/>
    <x v="9"/>
    <n v="5"/>
    <s v="CUST0007"/>
    <x v="1"/>
    <x v="1"/>
    <x v="5"/>
    <x v="12"/>
    <n v="6"/>
    <n v="17635.82"/>
    <x v="0"/>
    <n v="105814.92"/>
    <n v="21162.984"/>
    <n v="84651.936000000002"/>
    <n v="57563.316480000009"/>
    <n v="27088.619519999989"/>
    <n v="31.999999999999989"/>
    <s v="Credit Card"/>
  </r>
  <r>
    <s v="ORD0378"/>
    <x v="156"/>
    <x v="4"/>
    <n v="9"/>
    <s v="CUST0124"/>
    <x v="8"/>
    <x v="2"/>
    <x v="3"/>
    <x v="8"/>
    <n v="3"/>
    <n v="129.18"/>
    <x v="1"/>
    <n v="387.54"/>
    <n v="58.131"/>
    <n v="329.40899999999999"/>
    <n v="191.05722"/>
    <n v="138.35177999999999"/>
    <n v="42.000000000000007"/>
    <s v="Net Banking"/>
  </r>
  <r>
    <s v="ORD0379"/>
    <x v="230"/>
    <x v="5"/>
    <n v="11"/>
    <s v="CUST0005"/>
    <x v="3"/>
    <x v="0"/>
    <x v="1"/>
    <x v="7"/>
    <n v="3"/>
    <n v="1558.46"/>
    <x v="6"/>
    <n v="4675.38"/>
    <n v="1168.845"/>
    <n v="3506.5349999999999"/>
    <n v="1823.3982000000001"/>
    <n v="1683.1368"/>
    <n v="47.999999999999993"/>
    <s v="Debit Card"/>
  </r>
  <r>
    <s v="ORD0380"/>
    <x v="10"/>
    <x v="3"/>
    <n v="2"/>
    <s v="CUST0197"/>
    <x v="4"/>
    <x v="0"/>
    <x v="4"/>
    <x v="13"/>
    <n v="2"/>
    <n v="547.67999999999995"/>
    <x v="1"/>
    <n v="1095.3599999999999"/>
    <n v="164.304"/>
    <n v="931.05599999999993"/>
    <n v="670.36031999999989"/>
    <n v="260.69567999999998"/>
    <n v="28.000000000000011"/>
    <s v="UPI"/>
  </r>
  <r>
    <s v="ORD0381"/>
    <x v="148"/>
    <x v="9"/>
    <n v="5"/>
    <s v="CUST0215"/>
    <x v="7"/>
    <x v="0"/>
    <x v="0"/>
    <x v="19"/>
    <n v="6"/>
    <n v="4534.18"/>
    <x v="2"/>
    <n v="27205.08"/>
    <n v="0"/>
    <n v="27205.08"/>
    <n v="14962.794"/>
    <n v="12242.286"/>
    <n v="44.999999999999993"/>
    <s v="Cash"/>
  </r>
  <r>
    <s v="ORD0382"/>
    <x v="231"/>
    <x v="11"/>
    <n v="1"/>
    <s v="CUST0218"/>
    <x v="2"/>
    <x v="2"/>
    <x v="5"/>
    <x v="20"/>
    <n v="7"/>
    <n v="12220.43"/>
    <x v="5"/>
    <n v="85543.010000000009"/>
    <n v="25662.902999999998"/>
    <n v="59880.107000000004"/>
    <n v="40718.472759999997"/>
    <n v="19161.634239999999"/>
    <n v="32"/>
    <s v="Credit Card"/>
  </r>
  <r>
    <s v="ORD0383"/>
    <x v="232"/>
    <x v="5"/>
    <n v="11"/>
    <s v="CUST0219"/>
    <x v="8"/>
    <x v="1"/>
    <x v="0"/>
    <x v="0"/>
    <n v="6"/>
    <n v="3555.22"/>
    <x v="4"/>
    <n v="21331.32"/>
    <n v="1066.566"/>
    <n v="20264.754000000001"/>
    <n v="11145.6147"/>
    <n v="9119.1392999999989"/>
    <n v="44.999999999999993"/>
    <s v="Debit Card"/>
  </r>
  <r>
    <s v="ORD0384"/>
    <x v="134"/>
    <x v="4"/>
    <n v="9"/>
    <s v="CUST0280"/>
    <x v="2"/>
    <x v="0"/>
    <x v="5"/>
    <x v="20"/>
    <n v="1"/>
    <n v="19153.63"/>
    <x v="1"/>
    <n v="19153.63"/>
    <n v="2873.0445"/>
    <n v="16280.585499999999"/>
    <n v="11070.798140000001"/>
    <n v="5209.7873600000003"/>
    <n v="32"/>
    <s v="Debit Card"/>
  </r>
  <r>
    <s v="ORD0385"/>
    <x v="210"/>
    <x v="2"/>
    <n v="10"/>
    <s v="CUST0041"/>
    <x v="5"/>
    <x v="1"/>
    <x v="3"/>
    <x v="8"/>
    <n v="5"/>
    <n v="2321.25"/>
    <x v="2"/>
    <n v="11606.25"/>
    <n v="0"/>
    <n v="11606.25"/>
    <n v="6731.6249999999991"/>
    <n v="4874.6250000000009"/>
    <n v="42.000000000000007"/>
    <s v="Debit Card"/>
  </r>
  <r>
    <s v="ORD0386"/>
    <x v="233"/>
    <x v="5"/>
    <n v="11"/>
    <s v="CUST0207"/>
    <x v="2"/>
    <x v="2"/>
    <x v="4"/>
    <x v="21"/>
    <n v="5"/>
    <n v="67.38"/>
    <x v="5"/>
    <n v="336.9"/>
    <n v="101.07"/>
    <n v="235.83"/>
    <n v="169.79759999999999"/>
    <n v="66.032399999999996"/>
    <n v="28"/>
    <s v="UPI"/>
  </r>
  <r>
    <s v="ORD0387"/>
    <x v="213"/>
    <x v="0"/>
    <n v="4"/>
    <s v="CUST0083"/>
    <x v="2"/>
    <x v="2"/>
    <x v="3"/>
    <x v="5"/>
    <n v="4"/>
    <n v="104.84"/>
    <x v="4"/>
    <n v="419.36"/>
    <n v="20.968"/>
    <n v="398.392"/>
    <n v="231.06736000000001"/>
    <n v="167.32463999999999"/>
    <n v="42.000000000000007"/>
    <s v="Net Banking"/>
  </r>
  <r>
    <s v="ORD0388"/>
    <x v="234"/>
    <x v="1"/>
    <n v="3"/>
    <s v="CUST0248"/>
    <x v="5"/>
    <x v="0"/>
    <x v="3"/>
    <x v="24"/>
    <n v="6"/>
    <n v="2353.7399999999998"/>
    <x v="2"/>
    <n v="14122.44"/>
    <n v="0"/>
    <n v="14122.44"/>
    <n v="8191.0151999999989"/>
    <n v="5931.4247999999998"/>
    <n v="42.000000000000007"/>
    <s v="Net Banking"/>
  </r>
  <r>
    <s v="ORD0389"/>
    <x v="235"/>
    <x v="2"/>
    <n v="10"/>
    <s v="CUST0137"/>
    <x v="6"/>
    <x v="1"/>
    <x v="2"/>
    <x v="10"/>
    <n v="1"/>
    <n v="29979.97"/>
    <x v="6"/>
    <n v="29979.97"/>
    <n v="7494.9925000000003"/>
    <n v="22484.977500000001"/>
    <n v="17538.282449999999"/>
    <n v="4946.6950499999984"/>
    <n v="21.999999999999989"/>
    <s v="Credit Card"/>
  </r>
  <r>
    <s v="ORD0390"/>
    <x v="236"/>
    <x v="1"/>
    <n v="3"/>
    <s v="CUST0176"/>
    <x v="5"/>
    <x v="2"/>
    <x v="1"/>
    <x v="1"/>
    <n v="6"/>
    <n v="822.18"/>
    <x v="1"/>
    <n v="4933.08"/>
    <n v="739.96199999999999"/>
    <n v="4193.1180000000004"/>
    <n v="2180.4213599999998"/>
    <n v="2012.6966399999999"/>
    <n v="48"/>
    <s v="Credit Card"/>
  </r>
  <r>
    <s v="ORD0391"/>
    <x v="48"/>
    <x v="2"/>
    <n v="10"/>
    <s v="CUST0127"/>
    <x v="3"/>
    <x v="1"/>
    <x v="4"/>
    <x v="13"/>
    <n v="2"/>
    <n v="156.52000000000001"/>
    <x v="1"/>
    <n v="313.04000000000002"/>
    <n v="46.956000000000003"/>
    <n v="266.084"/>
    <n v="191.58047999999999"/>
    <n v="74.503520000000009"/>
    <n v="28"/>
    <s v="Net Banking"/>
  </r>
  <r>
    <s v="ORD0392"/>
    <x v="236"/>
    <x v="1"/>
    <n v="3"/>
    <s v="CUST0043"/>
    <x v="3"/>
    <x v="2"/>
    <x v="3"/>
    <x v="5"/>
    <n v="2"/>
    <n v="2491.0300000000002"/>
    <x v="4"/>
    <n v="4982.0600000000004"/>
    <n v="249.10300000000001"/>
    <n v="4732.9570000000003"/>
    <n v="2745.1150600000001"/>
    <n v="1987.84194"/>
    <n v="42.000000000000007"/>
    <s v="Credit Card"/>
  </r>
  <r>
    <s v="ORD0393"/>
    <x v="237"/>
    <x v="6"/>
    <n v="7"/>
    <s v="CUST0047"/>
    <x v="8"/>
    <x v="2"/>
    <x v="1"/>
    <x v="7"/>
    <n v="7"/>
    <n v="857.59"/>
    <x v="6"/>
    <n v="6003.13"/>
    <n v="1500.7825"/>
    <n v="4502.3474999999999"/>
    <n v="2341.2206999999999"/>
    <n v="2161.1268"/>
    <n v="48.000000000000007"/>
    <s v="Debit Card"/>
  </r>
  <r>
    <s v="ORD0394"/>
    <x v="238"/>
    <x v="2"/>
    <n v="10"/>
    <s v="CUST0161"/>
    <x v="4"/>
    <x v="0"/>
    <x v="3"/>
    <x v="5"/>
    <n v="5"/>
    <n v="1119.45"/>
    <x v="4"/>
    <n v="5597.25"/>
    <n v="279.86250000000001"/>
    <n v="5317.3874999999998"/>
    <n v="3084.08475"/>
    <n v="2233.3027499999998"/>
    <n v="42.000000000000007"/>
    <s v="Credit Card"/>
  </r>
  <r>
    <s v="ORD0395"/>
    <x v="175"/>
    <x v="3"/>
    <n v="2"/>
    <s v="CUST0174"/>
    <x v="7"/>
    <x v="0"/>
    <x v="3"/>
    <x v="24"/>
    <n v="4"/>
    <n v="2338.5100000000002"/>
    <x v="3"/>
    <n v="9354.0400000000009"/>
    <n v="935.40400000000011"/>
    <n v="8418.6360000000004"/>
    <n v="4882.8088799999996"/>
    <n v="3535.8271200000008"/>
    <n v="42.000000000000007"/>
    <s v="Debit Card"/>
  </r>
  <r>
    <s v="ORD0396"/>
    <x v="239"/>
    <x v="10"/>
    <n v="8"/>
    <s v="CUST0107"/>
    <x v="3"/>
    <x v="1"/>
    <x v="3"/>
    <x v="24"/>
    <n v="6"/>
    <n v="990.67"/>
    <x v="6"/>
    <n v="5944.02"/>
    <n v="1486.0050000000001"/>
    <n v="4458.0149999999994"/>
    <n v="2585.6486999999988"/>
    <n v="1872.3662999999999"/>
    <n v="42.000000000000007"/>
    <s v="Cash"/>
  </r>
  <r>
    <s v="ORD0397"/>
    <x v="235"/>
    <x v="2"/>
    <n v="10"/>
    <s v="CUST0187"/>
    <x v="9"/>
    <x v="0"/>
    <x v="2"/>
    <x v="22"/>
    <n v="6"/>
    <n v="57009.96"/>
    <x v="2"/>
    <n v="342059.76"/>
    <n v="0"/>
    <n v="342059.76"/>
    <n v="266806.6128"/>
    <n v="75253.147200000007"/>
    <n v="22"/>
    <s v="Credit Card"/>
  </r>
  <r>
    <s v="ORD0398"/>
    <x v="240"/>
    <x v="7"/>
    <n v="12"/>
    <s v="CUST0114"/>
    <x v="9"/>
    <x v="1"/>
    <x v="3"/>
    <x v="8"/>
    <n v="4"/>
    <n v="2100.7399999999998"/>
    <x v="3"/>
    <n v="8402.9599999999991"/>
    <n v="840.29599999999994"/>
    <n v="7562.6639999999989"/>
    <n v="4386.345119999999"/>
    <n v="3176.3188799999998"/>
    <n v="42.000000000000007"/>
    <s v="Credit Card"/>
  </r>
  <r>
    <s v="ORD0399"/>
    <x v="154"/>
    <x v="7"/>
    <n v="12"/>
    <s v="CUST0214"/>
    <x v="0"/>
    <x v="2"/>
    <x v="4"/>
    <x v="11"/>
    <n v="3"/>
    <n v="738.67"/>
    <x v="4"/>
    <n v="2216.0100000000002"/>
    <n v="110.8005"/>
    <n v="2105.2094999999999"/>
    <n v="1515.7508399999999"/>
    <n v="589.45866000000001"/>
    <n v="28"/>
    <s v="Cash"/>
  </r>
  <r>
    <s v="ORD0400"/>
    <x v="241"/>
    <x v="6"/>
    <n v="7"/>
    <s v="CUST0121"/>
    <x v="8"/>
    <x v="0"/>
    <x v="2"/>
    <x v="22"/>
    <n v="7"/>
    <n v="48638.720000000001"/>
    <x v="2"/>
    <n v="340471.03999999998"/>
    <n v="0"/>
    <n v="340471.03999999998"/>
    <n v="265567.41119999997"/>
    <n v="74903.628800000006"/>
    <n v="22"/>
    <s v="Net Banking"/>
  </r>
  <r>
    <s v="ORD0401"/>
    <x v="242"/>
    <x v="9"/>
    <n v="5"/>
    <s v="CUST0109"/>
    <x v="6"/>
    <x v="1"/>
    <x v="2"/>
    <x v="2"/>
    <n v="2"/>
    <n v="61724.28"/>
    <x v="1"/>
    <n v="123448.56"/>
    <n v="18517.284"/>
    <n v="104931.276"/>
    <n v="81846.395279999997"/>
    <n v="23084.880720000001"/>
    <n v="22"/>
    <s v="Cash"/>
  </r>
  <r>
    <s v="ORD0402"/>
    <x v="243"/>
    <x v="1"/>
    <n v="3"/>
    <s v="CUST0234"/>
    <x v="0"/>
    <x v="2"/>
    <x v="2"/>
    <x v="22"/>
    <n v="4"/>
    <n v="60699.98"/>
    <x v="3"/>
    <n v="242799.92"/>
    <n v="24279.991999999998"/>
    <n v="218519.92800000001"/>
    <n v="170445.54384"/>
    <n v="48074.384159999987"/>
    <n v="21.999999999999989"/>
    <s v="Net Banking"/>
  </r>
  <r>
    <s v="ORD0403"/>
    <x v="63"/>
    <x v="5"/>
    <n v="11"/>
    <s v="CUST0032"/>
    <x v="0"/>
    <x v="2"/>
    <x v="5"/>
    <x v="14"/>
    <n v="4"/>
    <n v="22134.31"/>
    <x v="0"/>
    <n v="88537.24"/>
    <n v="17707.448"/>
    <n v="70829.792000000001"/>
    <n v="48164.258560000002"/>
    <n v="22665.533439999999"/>
    <n v="32"/>
    <s v="Credit Card"/>
  </r>
  <r>
    <s v="ORD0404"/>
    <x v="244"/>
    <x v="8"/>
    <n v="6"/>
    <s v="CUST0213"/>
    <x v="3"/>
    <x v="0"/>
    <x v="5"/>
    <x v="12"/>
    <n v="2"/>
    <n v="23675.22"/>
    <x v="6"/>
    <n v="47350.44"/>
    <n v="11837.61"/>
    <n v="35512.83"/>
    <n v="24148.724399999999"/>
    <n v="11364.105600000001"/>
    <n v="32"/>
    <s v="Net Banking"/>
  </r>
  <r>
    <s v="ORD0405"/>
    <x v="40"/>
    <x v="3"/>
    <n v="2"/>
    <s v="CUST0076"/>
    <x v="0"/>
    <x v="1"/>
    <x v="4"/>
    <x v="21"/>
    <n v="1"/>
    <n v="1037.6400000000001"/>
    <x v="1"/>
    <n v="1037.6400000000001"/>
    <n v="155.64599999999999"/>
    <n v="881.99400000000014"/>
    <n v="635.03568000000007"/>
    <n v="246.9583200000001"/>
    <n v="28"/>
    <s v="UPI"/>
  </r>
  <r>
    <s v="ORD0406"/>
    <x v="117"/>
    <x v="2"/>
    <n v="10"/>
    <s v="CUST0112"/>
    <x v="0"/>
    <x v="2"/>
    <x v="1"/>
    <x v="23"/>
    <n v="7"/>
    <n v="791.54"/>
    <x v="1"/>
    <n v="5540.78"/>
    <n v="831.11699999999996"/>
    <n v="4709.6629999999996"/>
    <n v="2449.0247599999998"/>
    <n v="2260.6382400000002"/>
    <n v="48"/>
    <s v="Net Banking"/>
  </r>
  <r>
    <s v="ORD0407"/>
    <x v="245"/>
    <x v="9"/>
    <n v="5"/>
    <s v="CUST0209"/>
    <x v="2"/>
    <x v="1"/>
    <x v="0"/>
    <x v="3"/>
    <n v="2"/>
    <n v="2132.33"/>
    <x v="3"/>
    <n v="4264.66"/>
    <n v="426.46600000000001"/>
    <n v="3838.194"/>
    <n v="2111.0066999999999"/>
    <n v="1727.1873000000001"/>
    <n v="44.999999999999993"/>
    <s v="Credit Card"/>
  </r>
  <r>
    <s v="ORD0408"/>
    <x v="92"/>
    <x v="0"/>
    <n v="4"/>
    <s v="CUST0206"/>
    <x v="0"/>
    <x v="1"/>
    <x v="0"/>
    <x v="0"/>
    <n v="2"/>
    <n v="3355.74"/>
    <x v="1"/>
    <n v="6711.48"/>
    <n v="1006.722"/>
    <n v="5704.7579999999998"/>
    <n v="3137.6169"/>
    <n v="2567.1410999999998"/>
    <n v="45"/>
    <s v="Cash"/>
  </r>
  <r>
    <s v="ORD0409"/>
    <x v="128"/>
    <x v="8"/>
    <n v="6"/>
    <s v="CUST0019"/>
    <x v="7"/>
    <x v="0"/>
    <x v="3"/>
    <x v="5"/>
    <n v="5"/>
    <n v="1095.3699999999999"/>
    <x v="0"/>
    <n v="5476.8499999999995"/>
    <n v="1095.3699999999999"/>
    <n v="4381.4799999999996"/>
    <n v="2541.2584000000002"/>
    <n v="1840.2216000000001"/>
    <n v="42"/>
    <s v="UPI"/>
  </r>
  <r>
    <s v="ORD0410"/>
    <x v="154"/>
    <x v="7"/>
    <n v="12"/>
    <s v="CUST0239"/>
    <x v="8"/>
    <x v="2"/>
    <x v="3"/>
    <x v="17"/>
    <n v="5"/>
    <n v="2189.2600000000002"/>
    <x v="1"/>
    <n v="10946.3"/>
    <n v="1641.9449999999999"/>
    <n v="9304.3550000000014"/>
    <n v="5396.5259000000005"/>
    <n v="3907.8291000000008"/>
    <n v="42.000000000000007"/>
    <s v="Net Banking"/>
  </r>
  <r>
    <s v="ORD0411"/>
    <x v="210"/>
    <x v="2"/>
    <n v="10"/>
    <s v="CUST0007"/>
    <x v="2"/>
    <x v="2"/>
    <x v="5"/>
    <x v="16"/>
    <n v="1"/>
    <n v="7140.67"/>
    <x v="3"/>
    <n v="7140.67"/>
    <n v="714.06700000000001"/>
    <n v="6426.6030000000001"/>
    <n v="4370.09004"/>
    <n v="2056.51296"/>
    <n v="32"/>
    <s v="UPI"/>
  </r>
  <r>
    <s v="ORD0412"/>
    <x v="106"/>
    <x v="10"/>
    <n v="8"/>
    <s v="CUST0207"/>
    <x v="9"/>
    <x v="1"/>
    <x v="4"/>
    <x v="26"/>
    <n v="1"/>
    <n v="1035.9100000000001"/>
    <x v="1"/>
    <n v="1035.9100000000001"/>
    <n v="155.38650000000001"/>
    <n v="880.52350000000001"/>
    <n v="633.97691999999995"/>
    <n v="246.54658000000009"/>
    <n v="28.000000000000011"/>
    <s v="Cash"/>
  </r>
  <r>
    <s v="ORD0413"/>
    <x v="246"/>
    <x v="9"/>
    <n v="5"/>
    <s v="CUST0093"/>
    <x v="3"/>
    <x v="0"/>
    <x v="2"/>
    <x v="10"/>
    <n v="6"/>
    <n v="49236.29"/>
    <x v="3"/>
    <n v="295417.74"/>
    <n v="29541.774000000001"/>
    <n v="265875.96600000001"/>
    <n v="207383.25348000001"/>
    <n v="58492.712520000001"/>
    <n v="22"/>
    <s v="Debit Card"/>
  </r>
  <r>
    <s v="ORD0414"/>
    <x v="145"/>
    <x v="7"/>
    <n v="12"/>
    <s v="CUST0147"/>
    <x v="4"/>
    <x v="2"/>
    <x v="3"/>
    <x v="17"/>
    <n v="6"/>
    <n v="1999.74"/>
    <x v="3"/>
    <n v="11998.44"/>
    <n v="1199.8440000000001"/>
    <n v="10798.596"/>
    <n v="6263.1856800000014"/>
    <n v="4535.4103200000009"/>
    <n v="42.000000000000007"/>
    <s v="Debit Card"/>
  </r>
  <r>
    <s v="ORD0415"/>
    <x v="247"/>
    <x v="9"/>
    <n v="5"/>
    <s v="CUST0048"/>
    <x v="4"/>
    <x v="0"/>
    <x v="1"/>
    <x v="6"/>
    <n v="6"/>
    <n v="1479.83"/>
    <x v="0"/>
    <n v="8878.98"/>
    <n v="1775.796"/>
    <n v="7103.1839999999993"/>
    <n v="3693.6556799999998"/>
    <n v="3409.528319999999"/>
    <n v="48"/>
    <s v="UPI"/>
  </r>
  <r>
    <s v="ORD0416"/>
    <x v="61"/>
    <x v="7"/>
    <n v="12"/>
    <s v="CUST0173"/>
    <x v="4"/>
    <x v="0"/>
    <x v="0"/>
    <x v="19"/>
    <n v="7"/>
    <n v="866.11"/>
    <x v="1"/>
    <n v="6062.77"/>
    <n v="909.41550000000007"/>
    <n v="5153.3545000000004"/>
    <n v="2834.344975"/>
    <n v="2319.0095249999999"/>
    <n v="44.999999999999993"/>
    <s v="Net Banking"/>
  </r>
  <r>
    <s v="ORD0417"/>
    <x v="129"/>
    <x v="7"/>
    <n v="12"/>
    <s v="CUST0003"/>
    <x v="5"/>
    <x v="0"/>
    <x v="0"/>
    <x v="0"/>
    <n v="5"/>
    <n v="3574.83"/>
    <x v="3"/>
    <n v="17874.150000000001"/>
    <n v="1787.415"/>
    <n v="16086.735000000001"/>
    <n v="8847.7042500000007"/>
    <n v="7239.0307499999999"/>
    <n v="44.999999999999993"/>
    <s v="Cash"/>
  </r>
  <r>
    <s v="ORD0418"/>
    <x v="149"/>
    <x v="1"/>
    <n v="3"/>
    <s v="CUST0235"/>
    <x v="4"/>
    <x v="0"/>
    <x v="0"/>
    <x v="15"/>
    <n v="3"/>
    <n v="4112.01"/>
    <x v="1"/>
    <n v="12336.03"/>
    <n v="1850.4045000000001"/>
    <n v="10485.6255"/>
    <n v="5767.0940250000003"/>
    <n v="4718.5314749999998"/>
    <n v="44.999999999999993"/>
    <s v="UPI"/>
  </r>
  <r>
    <s v="ORD0419"/>
    <x v="14"/>
    <x v="7"/>
    <n v="12"/>
    <s v="CUST0136"/>
    <x v="3"/>
    <x v="0"/>
    <x v="0"/>
    <x v="3"/>
    <n v="2"/>
    <n v="4750.45"/>
    <x v="3"/>
    <n v="9500.9"/>
    <n v="950.09"/>
    <n v="8550.81"/>
    <n v="4702.9454999999998"/>
    <n v="3847.8645000000001"/>
    <n v="45"/>
    <s v="Net Banking"/>
  </r>
  <r>
    <s v="ORD0420"/>
    <x v="73"/>
    <x v="5"/>
    <n v="11"/>
    <s v="CUST0192"/>
    <x v="0"/>
    <x v="2"/>
    <x v="5"/>
    <x v="14"/>
    <n v="4"/>
    <n v="5657.3"/>
    <x v="1"/>
    <n v="22629.200000000001"/>
    <n v="3394.38"/>
    <n v="19234.82"/>
    <n v="13079.677600000001"/>
    <n v="6155.1423999999988"/>
    <n v="32"/>
    <s v="Net Banking"/>
  </r>
  <r>
    <s v="ORD0421"/>
    <x v="86"/>
    <x v="10"/>
    <n v="8"/>
    <s v="CUST0245"/>
    <x v="5"/>
    <x v="0"/>
    <x v="3"/>
    <x v="5"/>
    <n v="5"/>
    <n v="1669.92"/>
    <x v="6"/>
    <n v="8349.6"/>
    <n v="2087.4"/>
    <n v="6262.2000000000007"/>
    <n v="3632.076"/>
    <n v="2630.1240000000012"/>
    <n v="42.000000000000007"/>
    <s v="Cash"/>
  </r>
  <r>
    <s v="ORD0422"/>
    <x v="248"/>
    <x v="8"/>
    <n v="6"/>
    <s v="CUST0104"/>
    <x v="3"/>
    <x v="2"/>
    <x v="1"/>
    <x v="25"/>
    <n v="5"/>
    <n v="2552.17"/>
    <x v="3"/>
    <n v="12760.85"/>
    <n v="1276.085"/>
    <n v="11484.764999999999"/>
    <n v="5972.0778"/>
    <n v="5512.6871999999994"/>
    <n v="48"/>
    <s v="Credit Card"/>
  </r>
  <r>
    <s v="ORD0423"/>
    <x v="249"/>
    <x v="0"/>
    <n v="4"/>
    <s v="CUST0081"/>
    <x v="2"/>
    <x v="0"/>
    <x v="4"/>
    <x v="26"/>
    <n v="4"/>
    <n v="883"/>
    <x v="1"/>
    <n v="3532"/>
    <n v="529.79999999999995"/>
    <n v="3002.2"/>
    <n v="2161.5839999999998"/>
    <n v="840.61599999999999"/>
    <n v="28"/>
    <s v="Cash"/>
  </r>
  <r>
    <s v="ORD0424"/>
    <x v="50"/>
    <x v="7"/>
    <n v="12"/>
    <s v="CUST0294"/>
    <x v="3"/>
    <x v="1"/>
    <x v="5"/>
    <x v="12"/>
    <n v="6"/>
    <n v="20415.43"/>
    <x v="4"/>
    <n v="122492.58"/>
    <n v="6124.6290000000008"/>
    <n v="116367.951"/>
    <n v="79130.206680000003"/>
    <n v="37237.744319999998"/>
    <n v="32"/>
    <s v="Debit Card"/>
  </r>
  <r>
    <s v="ORD0425"/>
    <x v="209"/>
    <x v="10"/>
    <n v="8"/>
    <s v="CUST0110"/>
    <x v="6"/>
    <x v="1"/>
    <x v="1"/>
    <x v="1"/>
    <n v="1"/>
    <n v="1944.79"/>
    <x v="0"/>
    <n v="1944.79"/>
    <n v="388.95800000000003"/>
    <n v="1555.8320000000001"/>
    <n v="809.03264000000001"/>
    <n v="746.79935999999987"/>
    <n v="47.999999999999993"/>
    <s v="Net Banking"/>
  </r>
  <r>
    <s v="ORD0426"/>
    <x v="241"/>
    <x v="6"/>
    <n v="7"/>
    <s v="CUST0204"/>
    <x v="8"/>
    <x v="2"/>
    <x v="0"/>
    <x v="19"/>
    <n v="7"/>
    <n v="5908.18"/>
    <x v="0"/>
    <n v="41357.26"/>
    <n v="8271.4520000000011"/>
    <n v="33085.807999999997"/>
    <n v="18197.1944"/>
    <n v="14888.613600000001"/>
    <n v="44.999999999999993"/>
    <s v="Net Banking"/>
  </r>
  <r>
    <s v="ORD0427"/>
    <x v="35"/>
    <x v="0"/>
    <n v="4"/>
    <s v="CUST0178"/>
    <x v="5"/>
    <x v="2"/>
    <x v="3"/>
    <x v="18"/>
    <n v="7"/>
    <n v="1437.61"/>
    <x v="2"/>
    <n v="10063.27"/>
    <n v="0"/>
    <n v="10063.27"/>
    <n v="5836.6965999999984"/>
    <n v="4226.5734000000002"/>
    <n v="42.000000000000007"/>
    <s v="Net Banking"/>
  </r>
  <r>
    <s v="ORD0428"/>
    <x v="76"/>
    <x v="0"/>
    <n v="4"/>
    <s v="CUST0182"/>
    <x v="5"/>
    <x v="1"/>
    <x v="1"/>
    <x v="6"/>
    <n v="6"/>
    <n v="511.28"/>
    <x v="1"/>
    <n v="3067.68"/>
    <n v="460.15199999999999"/>
    <n v="2607.5279999999998"/>
    <n v="1355.9145599999999"/>
    <n v="1251.6134400000001"/>
    <n v="48"/>
    <s v="Cash"/>
  </r>
  <r>
    <s v="ORD0429"/>
    <x v="138"/>
    <x v="2"/>
    <n v="10"/>
    <s v="CUST0163"/>
    <x v="8"/>
    <x v="1"/>
    <x v="1"/>
    <x v="6"/>
    <n v="7"/>
    <n v="2844.45"/>
    <x v="1"/>
    <n v="19911.150000000001"/>
    <n v="2986.6725000000001"/>
    <n v="16924.477500000001"/>
    <n v="8800.7282999999989"/>
    <n v="8123.7491999999984"/>
    <n v="48"/>
    <s v="Debit Card"/>
  </r>
  <r>
    <s v="ORD0430"/>
    <x v="250"/>
    <x v="6"/>
    <n v="7"/>
    <s v="CUST0291"/>
    <x v="5"/>
    <x v="0"/>
    <x v="1"/>
    <x v="1"/>
    <n v="3"/>
    <n v="1539.84"/>
    <x v="2"/>
    <n v="4619.5200000000004"/>
    <n v="0"/>
    <n v="4619.5200000000004"/>
    <n v="2402.1504"/>
    <n v="2217.3696"/>
    <n v="47.999999999999993"/>
    <s v="UPI"/>
  </r>
  <r>
    <s v="ORD0431"/>
    <x v="80"/>
    <x v="7"/>
    <n v="12"/>
    <s v="CUST0125"/>
    <x v="2"/>
    <x v="1"/>
    <x v="3"/>
    <x v="24"/>
    <n v="2"/>
    <n v="1452.15"/>
    <x v="1"/>
    <n v="2904.3"/>
    <n v="435.64499999999998"/>
    <n v="2468.6550000000002"/>
    <n v="1431.8199"/>
    <n v="1036.8351"/>
    <n v="42.000000000000007"/>
    <s v="Cash"/>
  </r>
  <r>
    <s v="ORD0432"/>
    <x v="178"/>
    <x v="1"/>
    <n v="3"/>
    <s v="CUST0061"/>
    <x v="3"/>
    <x v="1"/>
    <x v="1"/>
    <x v="25"/>
    <n v="7"/>
    <n v="2618.91"/>
    <x v="1"/>
    <n v="18332.37"/>
    <n v="2749.8555000000001"/>
    <n v="15582.514499999999"/>
    <n v="8102.9075400000002"/>
    <n v="7479.6069599999992"/>
    <n v="48"/>
    <s v="Credit Card"/>
  </r>
  <r>
    <s v="ORD0433"/>
    <x v="43"/>
    <x v="6"/>
    <n v="7"/>
    <s v="CUST0149"/>
    <x v="4"/>
    <x v="0"/>
    <x v="0"/>
    <x v="15"/>
    <n v="5"/>
    <n v="3981.9"/>
    <x v="3"/>
    <n v="19909.5"/>
    <n v="1990.95"/>
    <n v="17918.55"/>
    <n v="9855.2025000000012"/>
    <n v="8063.347499999998"/>
    <n v="44.999999999999993"/>
    <s v="Credit Card"/>
  </r>
  <r>
    <s v="ORD0434"/>
    <x v="251"/>
    <x v="8"/>
    <n v="6"/>
    <s v="CUST0155"/>
    <x v="0"/>
    <x v="0"/>
    <x v="2"/>
    <x v="27"/>
    <n v="6"/>
    <n v="11040.84"/>
    <x v="3"/>
    <n v="66245.040000000008"/>
    <n v="6624.5040000000008"/>
    <n v="59620.536000000007"/>
    <n v="46504.018080000009"/>
    <n v="13116.51792"/>
    <n v="21.999999999999989"/>
    <s v="Debit Card"/>
  </r>
  <r>
    <s v="ORD0435"/>
    <x v="2"/>
    <x v="2"/>
    <n v="10"/>
    <s v="CUST0182"/>
    <x v="2"/>
    <x v="0"/>
    <x v="0"/>
    <x v="0"/>
    <n v="5"/>
    <n v="799.15"/>
    <x v="1"/>
    <n v="3995.75"/>
    <n v="599.36249999999995"/>
    <n v="3396.3874999999998"/>
    <n v="1868.0131249999999"/>
    <n v="1528.3743750000001"/>
    <n v="45"/>
    <s v="UPI"/>
  </r>
  <r>
    <s v="ORD0436"/>
    <x v="252"/>
    <x v="1"/>
    <n v="3"/>
    <s v="CUST0214"/>
    <x v="4"/>
    <x v="1"/>
    <x v="0"/>
    <x v="15"/>
    <n v="1"/>
    <n v="1486.46"/>
    <x v="1"/>
    <n v="1486.46"/>
    <n v="222.96899999999999"/>
    <n v="1263.491"/>
    <n v="694.92005000000006"/>
    <n v="568.57094999999993"/>
    <n v="44.999999999999993"/>
    <s v="Net Banking"/>
  </r>
  <r>
    <s v="ORD0437"/>
    <x v="193"/>
    <x v="9"/>
    <n v="5"/>
    <s v="CUST0059"/>
    <x v="1"/>
    <x v="0"/>
    <x v="5"/>
    <x v="14"/>
    <n v="4"/>
    <n v="17921.400000000001"/>
    <x v="2"/>
    <n v="71685.600000000006"/>
    <n v="0"/>
    <n v="71685.600000000006"/>
    <n v="48746.208000000013"/>
    <n v="22939.392"/>
    <n v="32"/>
    <s v="Debit Card"/>
  </r>
  <r>
    <s v="ORD0438"/>
    <x v="253"/>
    <x v="8"/>
    <n v="6"/>
    <s v="CUST0230"/>
    <x v="4"/>
    <x v="0"/>
    <x v="5"/>
    <x v="20"/>
    <n v="6"/>
    <n v="22336.35"/>
    <x v="1"/>
    <n v="134018.1"/>
    <n v="20102.715"/>
    <n v="113915.38499999999"/>
    <n v="77462.46179999999"/>
    <n v="36452.92319999999"/>
    <n v="32"/>
    <s v="Debit Card"/>
  </r>
  <r>
    <s v="ORD0439"/>
    <x v="145"/>
    <x v="7"/>
    <n v="12"/>
    <s v="CUST0209"/>
    <x v="6"/>
    <x v="1"/>
    <x v="3"/>
    <x v="18"/>
    <n v="6"/>
    <n v="1786.34"/>
    <x v="2"/>
    <n v="10718.04"/>
    <n v="0"/>
    <n v="10718.04"/>
    <n v="6216.4631999999992"/>
    <n v="4501.5767999999998"/>
    <n v="42.000000000000007"/>
    <s v="Net Banking"/>
  </r>
  <r>
    <s v="ORD0440"/>
    <x v="254"/>
    <x v="10"/>
    <n v="8"/>
    <s v="CUST0073"/>
    <x v="7"/>
    <x v="1"/>
    <x v="3"/>
    <x v="8"/>
    <n v="5"/>
    <n v="2020.18"/>
    <x v="6"/>
    <n v="10100.9"/>
    <n v="2525.2249999999999"/>
    <n v="7575.6749999999993"/>
    <n v="4393.8914999999997"/>
    <n v="3181.7835"/>
    <n v="42"/>
    <s v="Net Banking"/>
  </r>
  <r>
    <s v="ORD0441"/>
    <x v="201"/>
    <x v="10"/>
    <n v="8"/>
    <s v="CUST0207"/>
    <x v="9"/>
    <x v="0"/>
    <x v="2"/>
    <x v="29"/>
    <n v="7"/>
    <n v="42373.25"/>
    <x v="1"/>
    <n v="296612.75"/>
    <n v="44491.912499999999"/>
    <n v="252120.83749999999"/>
    <n v="196654.25325000001"/>
    <n v="55466.584249999993"/>
    <n v="21.999999999999989"/>
    <s v="Cash"/>
  </r>
  <r>
    <s v="ORD0442"/>
    <x v="66"/>
    <x v="10"/>
    <n v="8"/>
    <s v="CUST0298"/>
    <x v="7"/>
    <x v="0"/>
    <x v="1"/>
    <x v="25"/>
    <n v="7"/>
    <n v="1506.67"/>
    <x v="1"/>
    <n v="10546.69"/>
    <n v="1582.0035"/>
    <n v="8964.6864999999998"/>
    <n v="4661.6369800000002"/>
    <n v="4303.0495199999996"/>
    <n v="48"/>
    <s v="Credit Card"/>
  </r>
  <r>
    <s v="ORD0443"/>
    <x v="255"/>
    <x v="1"/>
    <n v="3"/>
    <s v="CUST0216"/>
    <x v="2"/>
    <x v="1"/>
    <x v="0"/>
    <x v="19"/>
    <n v="2"/>
    <n v="1761.51"/>
    <x v="3"/>
    <n v="3523.02"/>
    <n v="352.30200000000002"/>
    <n v="3170.7179999999998"/>
    <n v="1743.8949"/>
    <n v="1426.8231000000001"/>
    <n v="44.999999999999993"/>
    <s v="Cash"/>
  </r>
  <r>
    <s v="ORD0444"/>
    <x v="256"/>
    <x v="2"/>
    <n v="10"/>
    <s v="CUST0056"/>
    <x v="0"/>
    <x v="1"/>
    <x v="4"/>
    <x v="9"/>
    <n v="1"/>
    <n v="1162.93"/>
    <x v="3"/>
    <n v="1162.93"/>
    <n v="116.29300000000001"/>
    <n v="1046.6369999999999"/>
    <n v="753.57864000000006"/>
    <n v="293.05836000000011"/>
    <n v="28.000000000000011"/>
    <s v="Cash"/>
  </r>
  <r>
    <s v="ORD0445"/>
    <x v="216"/>
    <x v="9"/>
    <n v="5"/>
    <s v="CUST0036"/>
    <x v="9"/>
    <x v="0"/>
    <x v="0"/>
    <x v="4"/>
    <n v="1"/>
    <n v="2445.33"/>
    <x v="3"/>
    <n v="2445.33"/>
    <n v="244.53299999999999"/>
    <n v="2200.797"/>
    <n v="1210.4383499999999"/>
    <n v="990.3586499999999"/>
    <n v="44.999999999999993"/>
    <s v="Credit Card"/>
  </r>
  <r>
    <s v="ORD0446"/>
    <x v="251"/>
    <x v="8"/>
    <n v="6"/>
    <s v="CUST0096"/>
    <x v="9"/>
    <x v="0"/>
    <x v="4"/>
    <x v="26"/>
    <n v="2"/>
    <n v="1003.71"/>
    <x v="1"/>
    <n v="2007.42"/>
    <n v="301.113"/>
    <n v="1706.307"/>
    <n v="1228.5410400000001"/>
    <n v="477.76596000000001"/>
    <n v="28"/>
    <s v="Debit Card"/>
  </r>
  <r>
    <s v="ORD0447"/>
    <x v="22"/>
    <x v="0"/>
    <n v="4"/>
    <s v="CUST0223"/>
    <x v="2"/>
    <x v="2"/>
    <x v="0"/>
    <x v="3"/>
    <n v="6"/>
    <n v="5314.73"/>
    <x v="3"/>
    <n v="31888.38"/>
    <n v="3188.8380000000002"/>
    <n v="28699.542000000001"/>
    <n v="15784.748100000001"/>
    <n v="12914.793900000001"/>
    <n v="44.999999999999993"/>
    <s v="Net Banking"/>
  </r>
  <r>
    <s v="ORD0448"/>
    <x v="257"/>
    <x v="6"/>
    <n v="7"/>
    <s v="CUST0018"/>
    <x v="7"/>
    <x v="2"/>
    <x v="5"/>
    <x v="20"/>
    <n v="1"/>
    <n v="6791.33"/>
    <x v="3"/>
    <n v="6791.33"/>
    <n v="679.13300000000004"/>
    <n v="6112.1970000000001"/>
    <n v="4156.29396"/>
    <n v="1955.9030399999999"/>
    <n v="32"/>
    <s v="Net Banking"/>
  </r>
  <r>
    <s v="ORD0449"/>
    <x v="96"/>
    <x v="7"/>
    <n v="12"/>
    <s v="CUST0208"/>
    <x v="3"/>
    <x v="1"/>
    <x v="2"/>
    <x v="29"/>
    <n v="4"/>
    <n v="8901.92"/>
    <x v="3"/>
    <n v="35607.68"/>
    <n v="3560.768"/>
    <n v="32046.912"/>
    <n v="24996.591359999999"/>
    <n v="7050.3206399999981"/>
    <n v="21.999999999999989"/>
    <s v="Cash"/>
  </r>
  <r>
    <s v="ORD0450"/>
    <x v="175"/>
    <x v="3"/>
    <n v="2"/>
    <s v="CUST0018"/>
    <x v="0"/>
    <x v="1"/>
    <x v="3"/>
    <x v="8"/>
    <n v="4"/>
    <n v="967.37"/>
    <x v="0"/>
    <n v="3869.48"/>
    <n v="773.89600000000007"/>
    <n v="3095.5839999999998"/>
    <n v="1795.4387200000001"/>
    <n v="1300.14528"/>
    <n v="42"/>
    <s v="Debit Card"/>
  </r>
  <r>
    <s v="ORD0451"/>
    <x v="8"/>
    <x v="7"/>
    <n v="12"/>
    <s v="CUST0077"/>
    <x v="3"/>
    <x v="0"/>
    <x v="4"/>
    <x v="13"/>
    <n v="5"/>
    <n v="1073.3699999999999"/>
    <x v="0"/>
    <n v="5366.8499999999995"/>
    <n v="1073.3699999999999"/>
    <n v="4293.4799999999996"/>
    <n v="3091.3056000000001"/>
    <n v="1202.1744000000001"/>
    <n v="28"/>
    <s v="Cash"/>
  </r>
  <r>
    <s v="ORD0452"/>
    <x v="189"/>
    <x v="3"/>
    <n v="2"/>
    <s v="CUST0120"/>
    <x v="9"/>
    <x v="0"/>
    <x v="2"/>
    <x v="2"/>
    <n v="5"/>
    <n v="45715.03"/>
    <x v="4"/>
    <n v="228575.15"/>
    <n v="11428.7575"/>
    <n v="217146.39249999999"/>
    <n v="169374.18614999999"/>
    <n v="47772.206349999993"/>
    <n v="22"/>
    <s v="Cash"/>
  </r>
  <r>
    <s v="ORD0453"/>
    <x v="126"/>
    <x v="9"/>
    <n v="5"/>
    <s v="CUST0200"/>
    <x v="0"/>
    <x v="0"/>
    <x v="1"/>
    <x v="23"/>
    <n v="6"/>
    <n v="2924.85"/>
    <x v="4"/>
    <n v="17549.099999999999"/>
    <n v="877.45499999999993"/>
    <n v="16671.645"/>
    <n v="8669.2553999999982"/>
    <n v="8002.3895999999986"/>
    <n v="48"/>
    <s v="Debit Card"/>
  </r>
  <r>
    <s v="ORD0454"/>
    <x v="258"/>
    <x v="4"/>
    <n v="9"/>
    <s v="CUST0255"/>
    <x v="9"/>
    <x v="0"/>
    <x v="3"/>
    <x v="8"/>
    <n v="4"/>
    <n v="1436.28"/>
    <x v="0"/>
    <n v="5745.12"/>
    <n v="1149.0239999999999"/>
    <n v="4596.0959999999995"/>
    <n v="2665.7356799999998"/>
    <n v="1930.36032"/>
    <n v="42"/>
    <s v="UPI"/>
  </r>
  <r>
    <s v="ORD0455"/>
    <x v="28"/>
    <x v="9"/>
    <n v="5"/>
    <s v="CUST0013"/>
    <x v="2"/>
    <x v="0"/>
    <x v="2"/>
    <x v="10"/>
    <n v="7"/>
    <n v="20437.830000000002"/>
    <x v="6"/>
    <n v="143064.81"/>
    <n v="35766.202499999999"/>
    <n v="107298.6075"/>
    <n v="83692.913849999997"/>
    <n v="23605.693650000001"/>
    <n v="22"/>
    <s v="Cash"/>
  </r>
  <r>
    <s v="ORD0456"/>
    <x v="60"/>
    <x v="6"/>
    <n v="7"/>
    <s v="CUST0273"/>
    <x v="1"/>
    <x v="0"/>
    <x v="2"/>
    <x v="27"/>
    <n v="6"/>
    <n v="23126.1"/>
    <x v="1"/>
    <n v="138756.6"/>
    <n v="20813.489999999991"/>
    <n v="117943.11"/>
    <n v="91995.625799999994"/>
    <n v="25947.484199999992"/>
    <n v="21.999999999999989"/>
    <s v="Debit Card"/>
  </r>
  <r>
    <s v="ORD0457"/>
    <x v="166"/>
    <x v="0"/>
    <n v="4"/>
    <s v="CUST0229"/>
    <x v="8"/>
    <x v="2"/>
    <x v="4"/>
    <x v="9"/>
    <n v="3"/>
    <n v="323.87"/>
    <x v="6"/>
    <n v="971.61"/>
    <n v="242.9025"/>
    <n v="728.70749999999998"/>
    <n v="524.6694"/>
    <n v="204.03809999999999"/>
    <n v="28"/>
    <s v="Credit Card"/>
  </r>
  <r>
    <s v="ORD0458"/>
    <x v="259"/>
    <x v="4"/>
    <n v="9"/>
    <s v="CUST0096"/>
    <x v="4"/>
    <x v="2"/>
    <x v="5"/>
    <x v="20"/>
    <n v="7"/>
    <n v="15930.49"/>
    <x v="5"/>
    <n v="111513.43"/>
    <n v="33454.028999999988"/>
    <n v="78059.400999999998"/>
    <n v="53080.392679999997"/>
    <n v="24979.00831999999"/>
    <n v="32"/>
    <s v="Net Banking"/>
  </r>
  <r>
    <s v="ORD0459"/>
    <x v="260"/>
    <x v="8"/>
    <n v="6"/>
    <s v="CUST0116"/>
    <x v="3"/>
    <x v="0"/>
    <x v="1"/>
    <x v="6"/>
    <n v="6"/>
    <n v="874.68"/>
    <x v="3"/>
    <n v="5248.08"/>
    <n v="524.80799999999999"/>
    <n v="4723.2719999999999"/>
    <n v="2456.1014399999999"/>
    <n v="2267.17056"/>
    <n v="48.000000000000007"/>
    <s v="Net Banking"/>
  </r>
  <r>
    <s v="ORD0460"/>
    <x v="16"/>
    <x v="8"/>
    <n v="6"/>
    <s v="CUST0001"/>
    <x v="7"/>
    <x v="1"/>
    <x v="4"/>
    <x v="26"/>
    <n v="1"/>
    <n v="1030.93"/>
    <x v="6"/>
    <n v="1030.93"/>
    <n v="257.73250000000002"/>
    <n v="773.19749999999999"/>
    <n v="556.70219999999995"/>
    <n v="216.49529999999999"/>
    <n v="28.000000000000011"/>
    <s v="UPI"/>
  </r>
  <r>
    <s v="ORD0461"/>
    <x v="118"/>
    <x v="2"/>
    <n v="10"/>
    <s v="CUST0072"/>
    <x v="8"/>
    <x v="1"/>
    <x v="0"/>
    <x v="3"/>
    <n v="1"/>
    <n v="4753.6000000000004"/>
    <x v="6"/>
    <n v="4753.6000000000004"/>
    <n v="1188.4000000000001"/>
    <n v="3565.2"/>
    <n v="1960.86"/>
    <n v="1604.34"/>
    <n v="44.999999999999993"/>
    <s v="Debit Card"/>
  </r>
  <r>
    <s v="ORD0462"/>
    <x v="247"/>
    <x v="9"/>
    <n v="5"/>
    <s v="CUST0221"/>
    <x v="9"/>
    <x v="2"/>
    <x v="3"/>
    <x v="5"/>
    <n v="7"/>
    <n v="1954.65"/>
    <x v="4"/>
    <n v="13682.55"/>
    <n v="684.12750000000005"/>
    <n v="12998.422500000001"/>
    <n v="7539.0850499999997"/>
    <n v="5459.3374500000009"/>
    <n v="42.000000000000007"/>
    <s v="Net Banking"/>
  </r>
  <r>
    <s v="ORD0463"/>
    <x v="115"/>
    <x v="6"/>
    <n v="7"/>
    <s v="CUST0139"/>
    <x v="1"/>
    <x v="2"/>
    <x v="3"/>
    <x v="17"/>
    <n v="6"/>
    <n v="310.12"/>
    <x v="4"/>
    <n v="1860.72"/>
    <n v="93.036000000000001"/>
    <n v="1767.684"/>
    <n v="1025.2567200000001"/>
    <n v="742.42728000000011"/>
    <n v="42.000000000000007"/>
    <s v="Debit Card"/>
  </r>
  <r>
    <s v="ORD0464"/>
    <x v="105"/>
    <x v="1"/>
    <n v="3"/>
    <s v="CUST0147"/>
    <x v="1"/>
    <x v="0"/>
    <x v="3"/>
    <x v="8"/>
    <n v="7"/>
    <n v="737.19"/>
    <x v="1"/>
    <n v="5160.33"/>
    <n v="774.04949999999997"/>
    <n v="4386.2804999999998"/>
    <n v="2544.0426900000002"/>
    <n v="1842.2378100000001"/>
    <n v="42.000000000000007"/>
    <s v="Credit Card"/>
  </r>
  <r>
    <s v="ORD0465"/>
    <x v="175"/>
    <x v="3"/>
    <n v="2"/>
    <s v="CUST0177"/>
    <x v="6"/>
    <x v="0"/>
    <x v="1"/>
    <x v="7"/>
    <n v="3"/>
    <n v="1870.89"/>
    <x v="3"/>
    <n v="5612.67"/>
    <n v="561.26700000000005"/>
    <n v="5051.4030000000002"/>
    <n v="2626.7295600000002"/>
    <n v="2424.67344"/>
    <n v="48"/>
    <s v="Cash"/>
  </r>
  <r>
    <s v="ORD0466"/>
    <x v="31"/>
    <x v="3"/>
    <n v="2"/>
    <s v="CUST0083"/>
    <x v="2"/>
    <x v="1"/>
    <x v="2"/>
    <x v="2"/>
    <n v="1"/>
    <n v="27772.5"/>
    <x v="3"/>
    <n v="27772.5"/>
    <n v="2777.25"/>
    <n v="24995.25"/>
    <n v="19496.294999999998"/>
    <n v="5498.9549999999981"/>
    <n v="21.999999999999989"/>
    <s v="Cash"/>
  </r>
  <r>
    <s v="ORD0467"/>
    <x v="261"/>
    <x v="6"/>
    <n v="7"/>
    <s v="CUST0137"/>
    <x v="1"/>
    <x v="1"/>
    <x v="2"/>
    <x v="22"/>
    <n v="7"/>
    <n v="64136.21"/>
    <x v="6"/>
    <n v="448953.47"/>
    <n v="112238.36749999999"/>
    <n v="336715.10249999998"/>
    <n v="262637.77995"/>
    <n v="74077.322549999983"/>
    <n v="22"/>
    <s v="UPI"/>
  </r>
  <r>
    <s v="ORD0468"/>
    <x v="238"/>
    <x v="2"/>
    <n v="10"/>
    <s v="CUST0073"/>
    <x v="2"/>
    <x v="0"/>
    <x v="3"/>
    <x v="18"/>
    <n v="2"/>
    <n v="112.06"/>
    <x v="2"/>
    <n v="224.12"/>
    <n v="0"/>
    <n v="224.12"/>
    <n v="129.9896"/>
    <n v="94.130400000000009"/>
    <n v="42.000000000000007"/>
    <s v="Debit Card"/>
  </r>
  <r>
    <s v="ORD0469"/>
    <x v="128"/>
    <x v="8"/>
    <n v="6"/>
    <s v="CUST0271"/>
    <x v="7"/>
    <x v="2"/>
    <x v="1"/>
    <x v="7"/>
    <n v="3"/>
    <n v="2698.26"/>
    <x v="2"/>
    <n v="8094.7800000000007"/>
    <n v="0"/>
    <n v="8094.7800000000007"/>
    <n v="4209.2856000000002"/>
    <n v="3885.4944"/>
    <n v="48.000000000000007"/>
    <s v="Cash"/>
  </r>
  <r>
    <s v="ORD0470"/>
    <x v="95"/>
    <x v="2"/>
    <n v="10"/>
    <s v="CUST0132"/>
    <x v="0"/>
    <x v="1"/>
    <x v="5"/>
    <x v="28"/>
    <n v="7"/>
    <n v="22403.200000000001"/>
    <x v="6"/>
    <n v="156822.39999999999"/>
    <n v="39205.599999999999"/>
    <n v="117616.8"/>
    <n v="79979.423999999999"/>
    <n v="37637.375999999989"/>
    <n v="32"/>
    <s v="UPI"/>
  </r>
  <r>
    <s v="ORD0471"/>
    <x v="157"/>
    <x v="1"/>
    <n v="3"/>
    <s v="CUST0116"/>
    <x v="5"/>
    <x v="2"/>
    <x v="4"/>
    <x v="9"/>
    <n v="3"/>
    <n v="443.42"/>
    <x v="3"/>
    <n v="1330.26"/>
    <n v="133.02600000000001"/>
    <n v="1197.2339999999999"/>
    <n v="862.00847999999996"/>
    <n v="335.22552000000002"/>
    <n v="28"/>
    <s v="UPI"/>
  </r>
  <r>
    <s v="ORD0472"/>
    <x v="139"/>
    <x v="2"/>
    <n v="10"/>
    <s v="CUST0025"/>
    <x v="9"/>
    <x v="2"/>
    <x v="1"/>
    <x v="1"/>
    <n v="7"/>
    <n v="3334.67"/>
    <x v="4"/>
    <n v="23342.69"/>
    <n v="1167.1344999999999"/>
    <n v="22175.555499999999"/>
    <n v="11531.288860000001"/>
    <n v="10644.26664"/>
    <n v="47.999999999999993"/>
    <s v="Net Banking"/>
  </r>
  <r>
    <s v="ORD0473"/>
    <x v="262"/>
    <x v="1"/>
    <n v="3"/>
    <s v="CUST0091"/>
    <x v="4"/>
    <x v="2"/>
    <x v="2"/>
    <x v="29"/>
    <n v="3"/>
    <n v="27605.59"/>
    <x v="1"/>
    <n v="82816.77"/>
    <n v="12422.5155"/>
    <n v="70394.25450000001"/>
    <n v="54907.518510000009"/>
    <n v="15486.735989999999"/>
    <n v="22"/>
    <s v="Debit Card"/>
  </r>
  <r>
    <s v="ORD0474"/>
    <x v="226"/>
    <x v="10"/>
    <n v="8"/>
    <s v="CUST0200"/>
    <x v="0"/>
    <x v="1"/>
    <x v="3"/>
    <x v="17"/>
    <n v="2"/>
    <n v="1445.39"/>
    <x v="6"/>
    <n v="2890.78"/>
    <n v="722.69500000000005"/>
    <n v="2168.085"/>
    <n v="1257.4893"/>
    <n v="910.59570000000008"/>
    <n v="42.000000000000007"/>
    <s v="Net Banking"/>
  </r>
  <r>
    <s v="ORD0475"/>
    <x v="130"/>
    <x v="10"/>
    <n v="8"/>
    <s v="CUST0197"/>
    <x v="3"/>
    <x v="1"/>
    <x v="1"/>
    <x v="1"/>
    <n v="7"/>
    <n v="1393.09"/>
    <x v="2"/>
    <n v="9751.6299999999992"/>
    <n v="0"/>
    <n v="9751.6299999999992"/>
    <n v="5070.8476000000001"/>
    <n v="4680.7823999999991"/>
    <n v="47.999999999999993"/>
    <s v="UPI"/>
  </r>
  <r>
    <s v="ORD0476"/>
    <x v="61"/>
    <x v="7"/>
    <n v="12"/>
    <s v="CUST0090"/>
    <x v="1"/>
    <x v="1"/>
    <x v="0"/>
    <x v="19"/>
    <n v="3"/>
    <n v="4122.95"/>
    <x v="3"/>
    <n v="12368.85"/>
    <n v="1236.885"/>
    <n v="11131.965"/>
    <n v="6122.5807499999992"/>
    <n v="5009.3842499999992"/>
    <n v="45"/>
    <s v="Net Banking"/>
  </r>
  <r>
    <s v="ORD0477"/>
    <x v="53"/>
    <x v="10"/>
    <n v="8"/>
    <s v="CUST0184"/>
    <x v="4"/>
    <x v="1"/>
    <x v="5"/>
    <x v="14"/>
    <n v="6"/>
    <n v="8342.59"/>
    <x v="5"/>
    <n v="50055.54"/>
    <n v="15016.662"/>
    <n v="35038.877999999997"/>
    <n v="23826.437040000001"/>
    <n v="11212.44096"/>
    <n v="31.999999999999989"/>
    <s v="UPI"/>
  </r>
  <r>
    <s v="ORD0478"/>
    <x v="263"/>
    <x v="1"/>
    <n v="3"/>
    <s v="CUST0249"/>
    <x v="2"/>
    <x v="0"/>
    <x v="2"/>
    <x v="27"/>
    <n v="7"/>
    <n v="20440.810000000001"/>
    <x v="5"/>
    <n v="143085.67000000001"/>
    <n v="42925.701000000001"/>
    <n v="100159.969"/>
    <n v="78124.77582000001"/>
    <n v="22035.193179999998"/>
    <n v="22"/>
    <s v="Net Banking"/>
  </r>
  <r>
    <s v="ORD0479"/>
    <x v="129"/>
    <x v="7"/>
    <n v="12"/>
    <s v="CUST0008"/>
    <x v="8"/>
    <x v="2"/>
    <x v="2"/>
    <x v="27"/>
    <n v="6"/>
    <n v="35208.97"/>
    <x v="3"/>
    <n v="211253.82"/>
    <n v="21125.382000000001"/>
    <n v="190128.43799999999"/>
    <n v="148300.18164"/>
    <n v="41828.256359999999"/>
    <n v="22"/>
    <s v="Net Banking"/>
  </r>
  <r>
    <s v="ORD0480"/>
    <x v="264"/>
    <x v="9"/>
    <n v="5"/>
    <s v="CUST0163"/>
    <x v="1"/>
    <x v="2"/>
    <x v="4"/>
    <x v="9"/>
    <n v="1"/>
    <n v="462.08"/>
    <x v="6"/>
    <n v="462.08"/>
    <n v="115.52"/>
    <n v="346.56"/>
    <n v="249.5232"/>
    <n v="97.036799999999999"/>
    <n v="28"/>
    <s v="Debit Card"/>
  </r>
  <r>
    <s v="ORD0481"/>
    <x v="265"/>
    <x v="4"/>
    <n v="9"/>
    <s v="CUST0006"/>
    <x v="9"/>
    <x v="0"/>
    <x v="2"/>
    <x v="27"/>
    <n v="7"/>
    <n v="25287.3"/>
    <x v="6"/>
    <n v="177011.1"/>
    <n v="44252.775000000001"/>
    <n v="132758.32500000001"/>
    <n v="103551.4935"/>
    <n v="29206.8315"/>
    <n v="22"/>
    <s v="UPI"/>
  </r>
  <r>
    <s v="ORD0482"/>
    <x v="266"/>
    <x v="10"/>
    <n v="8"/>
    <s v="CUST0198"/>
    <x v="4"/>
    <x v="0"/>
    <x v="5"/>
    <x v="14"/>
    <n v="2"/>
    <n v="23584.95"/>
    <x v="3"/>
    <n v="47169.9"/>
    <n v="4716.9900000000007"/>
    <n v="42452.91"/>
    <n v="28867.978800000001"/>
    <n v="13584.931200000001"/>
    <n v="32"/>
    <s v="UPI"/>
  </r>
  <r>
    <s v="ORD0483"/>
    <x v="267"/>
    <x v="4"/>
    <n v="9"/>
    <s v="CUST0019"/>
    <x v="7"/>
    <x v="2"/>
    <x v="4"/>
    <x v="11"/>
    <n v="6"/>
    <n v="128.72"/>
    <x v="3"/>
    <n v="772.31999999999994"/>
    <n v="77.231999999999999"/>
    <n v="695.08799999999997"/>
    <n v="500.46336000000002"/>
    <n v="194.62464"/>
    <n v="28"/>
    <s v="Debit Card"/>
  </r>
  <r>
    <s v="ORD0484"/>
    <x v="213"/>
    <x v="0"/>
    <n v="4"/>
    <s v="CUST0145"/>
    <x v="0"/>
    <x v="1"/>
    <x v="3"/>
    <x v="5"/>
    <n v="2"/>
    <n v="2100.75"/>
    <x v="0"/>
    <n v="4201.5"/>
    <n v="840.30000000000007"/>
    <n v="3361.2"/>
    <n v="1949.4960000000001"/>
    <n v="1411.704"/>
    <n v="42"/>
    <s v="UPI"/>
  </r>
  <r>
    <s v="ORD0485"/>
    <x v="214"/>
    <x v="7"/>
    <n v="12"/>
    <s v="CUST0239"/>
    <x v="6"/>
    <x v="1"/>
    <x v="0"/>
    <x v="4"/>
    <n v="5"/>
    <n v="3424.14"/>
    <x v="3"/>
    <n v="17120.7"/>
    <n v="1712.07"/>
    <n v="15408.63"/>
    <n v="8474.7465000000011"/>
    <n v="6933.8834999999999"/>
    <n v="44.999999999999993"/>
    <s v="Cash"/>
  </r>
  <r>
    <s v="ORD0486"/>
    <x v="50"/>
    <x v="7"/>
    <n v="12"/>
    <s v="CUST0136"/>
    <x v="1"/>
    <x v="1"/>
    <x v="0"/>
    <x v="0"/>
    <n v="5"/>
    <n v="4405.63"/>
    <x v="2"/>
    <n v="22028.15"/>
    <n v="0"/>
    <n v="22028.15"/>
    <n v="12115.4825"/>
    <n v="9912.6674999999996"/>
    <n v="44.999999999999993"/>
    <s v="UPI"/>
  </r>
  <r>
    <s v="ORD0487"/>
    <x v="268"/>
    <x v="3"/>
    <n v="2"/>
    <s v="CUST0125"/>
    <x v="3"/>
    <x v="1"/>
    <x v="5"/>
    <x v="20"/>
    <n v="7"/>
    <n v="23521.84"/>
    <x v="6"/>
    <n v="164652.88"/>
    <n v="41163.22"/>
    <n v="123489.66"/>
    <n v="83972.968800000002"/>
    <n v="39516.691200000001"/>
    <n v="32"/>
    <s v="Credit Card"/>
  </r>
  <r>
    <s v="ORD0488"/>
    <x v="269"/>
    <x v="6"/>
    <n v="7"/>
    <s v="CUST0173"/>
    <x v="0"/>
    <x v="2"/>
    <x v="1"/>
    <x v="1"/>
    <n v="5"/>
    <n v="1514.15"/>
    <x v="3"/>
    <n v="7570.75"/>
    <n v="757.07500000000005"/>
    <n v="6813.6750000000002"/>
    <n v="3543.1109999999999"/>
    <n v="3270.5639999999999"/>
    <n v="48"/>
    <s v="Net Banking"/>
  </r>
  <r>
    <s v="ORD0489"/>
    <x v="32"/>
    <x v="0"/>
    <n v="4"/>
    <s v="CUST0146"/>
    <x v="1"/>
    <x v="0"/>
    <x v="0"/>
    <x v="15"/>
    <n v="5"/>
    <n v="5532.83"/>
    <x v="4"/>
    <n v="27664.15"/>
    <n v="1383.2075"/>
    <n v="26280.942500000001"/>
    <n v="14454.518375"/>
    <n v="11826.424125"/>
    <n v="44.999999999999993"/>
    <s v="Net Banking"/>
  </r>
  <r>
    <s v="ORD0490"/>
    <x v="270"/>
    <x v="6"/>
    <n v="7"/>
    <s v="CUST0106"/>
    <x v="8"/>
    <x v="1"/>
    <x v="0"/>
    <x v="4"/>
    <n v="6"/>
    <n v="2288.66"/>
    <x v="2"/>
    <n v="13731.96"/>
    <n v="0"/>
    <n v="13731.96"/>
    <n v="7552.5780000000004"/>
    <n v="6179.3819999999987"/>
    <n v="44.999999999999993"/>
    <s v="UPI"/>
  </r>
  <r>
    <s v="ORD0491"/>
    <x v="271"/>
    <x v="2"/>
    <n v="10"/>
    <s v="CUST0291"/>
    <x v="5"/>
    <x v="2"/>
    <x v="3"/>
    <x v="8"/>
    <n v="5"/>
    <n v="2157.2600000000002"/>
    <x v="0"/>
    <n v="10786.3"/>
    <n v="2157.2600000000002"/>
    <n v="8629.0400000000009"/>
    <n v="5004.8432000000003"/>
    <n v="3624.1968000000011"/>
    <n v="42.000000000000007"/>
    <s v="Debit Card"/>
  </r>
  <r>
    <s v="ORD0492"/>
    <x v="272"/>
    <x v="4"/>
    <n v="9"/>
    <s v="CUST0270"/>
    <x v="8"/>
    <x v="0"/>
    <x v="5"/>
    <x v="28"/>
    <n v="3"/>
    <n v="24946.51"/>
    <x v="4"/>
    <n v="74839.53"/>
    <n v="3741.9765000000002"/>
    <n v="71097.553499999995"/>
    <n v="48346.336380000001"/>
    <n v="22751.21711999999"/>
    <n v="32"/>
    <s v="Debit Card"/>
  </r>
  <r>
    <s v="ORD0493"/>
    <x v="23"/>
    <x v="10"/>
    <n v="8"/>
    <s v="CUST0069"/>
    <x v="6"/>
    <x v="1"/>
    <x v="2"/>
    <x v="10"/>
    <n v="7"/>
    <n v="11744.45"/>
    <x v="6"/>
    <n v="82211.150000000009"/>
    <n v="20552.787499999999"/>
    <n v="61658.362500000003"/>
    <n v="48093.522749999996"/>
    <n v="13564.839749999999"/>
    <n v="22"/>
    <s v="Cash"/>
  </r>
  <r>
    <s v="ORD0494"/>
    <x v="130"/>
    <x v="10"/>
    <n v="8"/>
    <s v="CUST0094"/>
    <x v="0"/>
    <x v="1"/>
    <x v="2"/>
    <x v="10"/>
    <n v="2"/>
    <n v="59183.98"/>
    <x v="2"/>
    <n v="118367.96"/>
    <n v="0"/>
    <n v="118367.96"/>
    <n v="92327.008800000011"/>
    <n v="26040.9512"/>
    <n v="21.999999999999989"/>
    <s v="UPI"/>
  </r>
  <r>
    <s v="ORD0495"/>
    <x v="136"/>
    <x v="5"/>
    <n v="11"/>
    <s v="CUST0011"/>
    <x v="9"/>
    <x v="2"/>
    <x v="3"/>
    <x v="17"/>
    <n v="4"/>
    <n v="905.5"/>
    <x v="2"/>
    <n v="3622"/>
    <n v="0"/>
    <n v="3622"/>
    <n v="2100.7600000000002"/>
    <n v="1521.24"/>
    <n v="42.000000000000007"/>
    <s v="UPI"/>
  </r>
  <r>
    <s v="ORD0496"/>
    <x v="252"/>
    <x v="1"/>
    <n v="3"/>
    <s v="CUST0272"/>
    <x v="8"/>
    <x v="1"/>
    <x v="5"/>
    <x v="20"/>
    <n v="4"/>
    <n v="3308.43"/>
    <x v="6"/>
    <n v="13233.72"/>
    <n v="3308.43"/>
    <n v="9925.2899999999991"/>
    <n v="6749.1971999999996"/>
    <n v="3176.092799999999"/>
    <n v="32"/>
    <s v="Debit Card"/>
  </r>
  <r>
    <s v="ORD0497"/>
    <x v="250"/>
    <x v="6"/>
    <n v="7"/>
    <s v="CUST0239"/>
    <x v="2"/>
    <x v="2"/>
    <x v="5"/>
    <x v="14"/>
    <n v="6"/>
    <n v="20086.349999999999"/>
    <x v="3"/>
    <n v="120518.1"/>
    <n v="12051.81"/>
    <n v="108466.29"/>
    <n v="73757.0772"/>
    <n v="34709.212799999987"/>
    <n v="32"/>
    <s v="Credit Card"/>
  </r>
  <r>
    <s v="ORD0498"/>
    <x v="273"/>
    <x v="5"/>
    <n v="11"/>
    <s v="CUST0191"/>
    <x v="0"/>
    <x v="0"/>
    <x v="3"/>
    <x v="8"/>
    <n v="3"/>
    <n v="1458.57"/>
    <x v="0"/>
    <n v="4375.71"/>
    <n v="875.14200000000005"/>
    <n v="3500.5680000000002"/>
    <n v="2030.32944"/>
    <n v="1470.23856"/>
    <n v="42.000000000000007"/>
    <s v="Cash"/>
  </r>
  <r>
    <s v="ORD0499"/>
    <x v="148"/>
    <x v="9"/>
    <n v="5"/>
    <s v="CUST0292"/>
    <x v="9"/>
    <x v="2"/>
    <x v="4"/>
    <x v="26"/>
    <n v="3"/>
    <n v="976.5"/>
    <x v="4"/>
    <n v="2929.5"/>
    <n v="146.47499999999999"/>
    <n v="2783.0250000000001"/>
    <n v="2003.778"/>
    <n v="779.24700000000007"/>
    <n v="28"/>
    <s v="Cash"/>
  </r>
  <r>
    <s v="ORD0500"/>
    <x v="235"/>
    <x v="2"/>
    <n v="10"/>
    <s v="CUST0151"/>
    <x v="2"/>
    <x v="1"/>
    <x v="4"/>
    <x v="9"/>
    <n v="5"/>
    <n v="770.43"/>
    <x v="4"/>
    <n v="3852.15"/>
    <n v="192.60749999999999"/>
    <n v="3659.5425"/>
    <n v="2634.8706000000002"/>
    <n v="1024.6719000000001"/>
    <n v="28"/>
    <s v="Cash"/>
  </r>
  <r>
    <s v="ORD0501"/>
    <x v="33"/>
    <x v="9"/>
    <n v="5"/>
    <s v="CUST0275"/>
    <x v="2"/>
    <x v="2"/>
    <x v="1"/>
    <x v="7"/>
    <n v="5"/>
    <n v="2600.85"/>
    <x v="3"/>
    <n v="13004.25"/>
    <n v="1300.425"/>
    <n v="11703.825000000001"/>
    <n v="6085.9889999999996"/>
    <n v="5617.8360000000002"/>
    <n v="48"/>
    <s v="Debit Card"/>
  </r>
  <r>
    <s v="ORD0502"/>
    <x v="155"/>
    <x v="5"/>
    <n v="11"/>
    <s v="CUST0164"/>
    <x v="4"/>
    <x v="0"/>
    <x v="0"/>
    <x v="3"/>
    <n v="5"/>
    <n v="1320.87"/>
    <x v="4"/>
    <n v="6604.3499999999995"/>
    <n v="330.21749999999997"/>
    <n v="6274.1324999999997"/>
    <n v="3450.7728750000001"/>
    <n v="2823.3596250000001"/>
    <n v="44.999999999999993"/>
    <s v="Net Banking"/>
  </r>
  <r>
    <s v="ORD0503"/>
    <x v="80"/>
    <x v="7"/>
    <n v="12"/>
    <s v="CUST0221"/>
    <x v="6"/>
    <x v="0"/>
    <x v="4"/>
    <x v="13"/>
    <n v="5"/>
    <n v="438.16"/>
    <x v="0"/>
    <n v="2190.8000000000002"/>
    <n v="438.16000000000008"/>
    <n v="1752.64"/>
    <n v="1261.9007999999999"/>
    <n v="490.73919999999998"/>
    <n v="28"/>
    <s v="Cash"/>
  </r>
  <r>
    <s v="ORD0504"/>
    <x v="274"/>
    <x v="5"/>
    <n v="11"/>
    <s v="CUST0148"/>
    <x v="3"/>
    <x v="0"/>
    <x v="3"/>
    <x v="5"/>
    <n v="3"/>
    <n v="1655.45"/>
    <x v="6"/>
    <n v="4966.3500000000004"/>
    <n v="1241.5875000000001"/>
    <n v="3724.7624999999998"/>
    <n v="2160.3622500000001"/>
    <n v="1564.4002499999999"/>
    <n v="42"/>
    <s v="Net Banking"/>
  </r>
  <r>
    <s v="ORD0505"/>
    <x v="165"/>
    <x v="7"/>
    <n v="12"/>
    <s v="CUST0300"/>
    <x v="4"/>
    <x v="2"/>
    <x v="4"/>
    <x v="26"/>
    <n v="3"/>
    <n v="464.55"/>
    <x v="1"/>
    <n v="1393.65"/>
    <n v="209.04750000000001"/>
    <n v="1184.6025"/>
    <n v="852.91379999999992"/>
    <n v="331.68869999999998"/>
    <n v="28"/>
    <s v="UPI"/>
  </r>
  <r>
    <s v="ORD0506"/>
    <x v="275"/>
    <x v="0"/>
    <n v="4"/>
    <s v="CUST0163"/>
    <x v="3"/>
    <x v="2"/>
    <x v="0"/>
    <x v="19"/>
    <n v="3"/>
    <n v="1429.84"/>
    <x v="3"/>
    <n v="4289.5200000000004"/>
    <n v="428.952"/>
    <n v="3860.5679999999988"/>
    <n v="2123.3123999999998"/>
    <n v="1737.2556"/>
    <n v="44.999999999999993"/>
    <s v="Debit Card"/>
  </r>
  <r>
    <s v="ORD0507"/>
    <x v="78"/>
    <x v="0"/>
    <n v="4"/>
    <s v="CUST0194"/>
    <x v="1"/>
    <x v="2"/>
    <x v="1"/>
    <x v="7"/>
    <n v="2"/>
    <n v="1633.39"/>
    <x v="3"/>
    <n v="3266.78"/>
    <n v="326.67800000000011"/>
    <n v="2940.1019999999999"/>
    <n v="1528.85304"/>
    <n v="1411.2489599999999"/>
    <n v="48"/>
    <s v="Debit Card"/>
  </r>
  <r>
    <s v="ORD0508"/>
    <x v="1"/>
    <x v="1"/>
    <n v="3"/>
    <s v="CUST0095"/>
    <x v="8"/>
    <x v="2"/>
    <x v="2"/>
    <x v="2"/>
    <n v="3"/>
    <n v="39702.870000000003"/>
    <x v="0"/>
    <n v="119108.61"/>
    <n v="23821.722000000009"/>
    <n v="95286.888000000006"/>
    <n v="74323.77264000001"/>
    <n v="20963.11536"/>
    <n v="21.999999999999989"/>
    <s v="Cash"/>
  </r>
  <r>
    <s v="ORD0509"/>
    <x v="72"/>
    <x v="5"/>
    <n v="11"/>
    <s v="CUST0280"/>
    <x v="6"/>
    <x v="1"/>
    <x v="0"/>
    <x v="3"/>
    <n v="5"/>
    <n v="4709.5"/>
    <x v="4"/>
    <n v="23547.5"/>
    <n v="1177.375"/>
    <n v="22370.125"/>
    <n v="12303.56875"/>
    <n v="10066.55625"/>
    <n v="45"/>
    <s v="Debit Card"/>
  </r>
  <r>
    <s v="ORD0510"/>
    <x v="74"/>
    <x v="2"/>
    <n v="10"/>
    <s v="CUST0195"/>
    <x v="2"/>
    <x v="1"/>
    <x v="5"/>
    <x v="28"/>
    <n v="3"/>
    <n v="24186.02"/>
    <x v="4"/>
    <n v="72558.06"/>
    <n v="3627.9029999999998"/>
    <n v="68930.156999999992"/>
    <n v="46872.506759999997"/>
    <n v="22057.650239999999"/>
    <n v="32"/>
    <s v="Credit Card"/>
  </r>
  <r>
    <s v="ORD0511"/>
    <x v="98"/>
    <x v="5"/>
    <n v="11"/>
    <s v="CUST0284"/>
    <x v="3"/>
    <x v="2"/>
    <x v="5"/>
    <x v="20"/>
    <n v="4"/>
    <n v="2530.29"/>
    <x v="3"/>
    <n v="10121.16"/>
    <n v="1012.116"/>
    <n v="9109.0439999999999"/>
    <n v="6194.1499200000007"/>
    <n v="2914.8940799999991"/>
    <n v="31.999999999999989"/>
    <s v="Cash"/>
  </r>
  <r>
    <s v="ORD0512"/>
    <x v="147"/>
    <x v="2"/>
    <n v="10"/>
    <s v="CUST0246"/>
    <x v="5"/>
    <x v="2"/>
    <x v="2"/>
    <x v="29"/>
    <n v="5"/>
    <n v="45685.02"/>
    <x v="1"/>
    <n v="228425.1"/>
    <n v="34263.764999999992"/>
    <n v="194161.33499999999"/>
    <n v="151445.8413"/>
    <n v="42715.493699999992"/>
    <n v="22"/>
    <s v="Credit Card"/>
  </r>
  <r>
    <s v="ORD0513"/>
    <x v="240"/>
    <x v="7"/>
    <n v="12"/>
    <s v="CUST0089"/>
    <x v="4"/>
    <x v="2"/>
    <x v="3"/>
    <x v="8"/>
    <n v="1"/>
    <n v="2492.58"/>
    <x v="4"/>
    <n v="2492.58"/>
    <n v="124.629"/>
    <n v="2367.951"/>
    <n v="1373.41158"/>
    <n v="994.53942000000006"/>
    <n v="42.000000000000007"/>
    <s v="Credit Card"/>
  </r>
  <r>
    <s v="ORD0514"/>
    <x v="191"/>
    <x v="6"/>
    <n v="7"/>
    <s v="CUST0060"/>
    <x v="4"/>
    <x v="2"/>
    <x v="5"/>
    <x v="12"/>
    <n v="1"/>
    <n v="8318.31"/>
    <x v="2"/>
    <n v="8318.31"/>
    <n v="0"/>
    <n v="8318.31"/>
    <n v="5656.4507999999996"/>
    <n v="2661.8591999999999"/>
    <n v="32"/>
    <s v="Cash"/>
  </r>
  <r>
    <s v="ORD0515"/>
    <x v="133"/>
    <x v="8"/>
    <n v="6"/>
    <s v="CUST0194"/>
    <x v="9"/>
    <x v="2"/>
    <x v="4"/>
    <x v="9"/>
    <n v="3"/>
    <n v="778.42"/>
    <x v="0"/>
    <n v="2335.2600000000002"/>
    <n v="467.05200000000002"/>
    <n v="1868.2080000000001"/>
    <n v="1345.1097600000001"/>
    <n v="523.09824000000003"/>
    <n v="28"/>
    <s v="Credit Card"/>
  </r>
  <r>
    <s v="ORD0516"/>
    <x v="276"/>
    <x v="0"/>
    <n v="4"/>
    <s v="CUST0128"/>
    <x v="2"/>
    <x v="0"/>
    <x v="4"/>
    <x v="13"/>
    <n v="5"/>
    <n v="741.05"/>
    <x v="3"/>
    <n v="3705.25"/>
    <n v="370.52499999999998"/>
    <n v="3334.7249999999999"/>
    <n v="2401.002"/>
    <n v="933.72299999999996"/>
    <n v="28"/>
    <s v="Net Banking"/>
  </r>
  <r>
    <s v="ORD0517"/>
    <x v="277"/>
    <x v="11"/>
    <n v="1"/>
    <s v="CUST0217"/>
    <x v="8"/>
    <x v="2"/>
    <x v="4"/>
    <x v="13"/>
    <n v="7"/>
    <n v="852.51"/>
    <x v="6"/>
    <n v="5967.57"/>
    <n v="1491.8924999999999"/>
    <n v="4475.6774999999998"/>
    <n v="3222.4877999999999"/>
    <n v="1253.1896999999999"/>
    <n v="28"/>
    <s v="Cash"/>
  </r>
  <r>
    <s v="ORD0518"/>
    <x v="87"/>
    <x v="11"/>
    <n v="1"/>
    <s v="CUST0187"/>
    <x v="9"/>
    <x v="2"/>
    <x v="4"/>
    <x v="11"/>
    <n v="3"/>
    <n v="341.68"/>
    <x v="0"/>
    <n v="1025.04"/>
    <n v="205.00800000000001"/>
    <n v="820.03199999999993"/>
    <n v="590.4230399999999"/>
    <n v="229.60896"/>
    <n v="28.000000000000011"/>
    <s v="Cash"/>
  </r>
  <r>
    <s v="ORD0519"/>
    <x v="96"/>
    <x v="7"/>
    <n v="12"/>
    <s v="CUST0288"/>
    <x v="8"/>
    <x v="2"/>
    <x v="1"/>
    <x v="6"/>
    <n v="7"/>
    <n v="2036.71"/>
    <x v="3"/>
    <n v="14256.97"/>
    <n v="1425.6969999999999"/>
    <n v="12831.272999999999"/>
    <n v="6672.2619600000007"/>
    <n v="6159.0110400000003"/>
    <n v="48"/>
    <s v="Credit Card"/>
  </r>
  <r>
    <s v="ORD0520"/>
    <x v="278"/>
    <x v="4"/>
    <n v="9"/>
    <s v="CUST0206"/>
    <x v="8"/>
    <x v="2"/>
    <x v="1"/>
    <x v="25"/>
    <n v="3"/>
    <n v="1526.69"/>
    <x v="1"/>
    <n v="4580.07"/>
    <n v="687.01049999999998"/>
    <n v="3893.0594999999998"/>
    <n v="2024.39094"/>
    <n v="1868.6685600000001"/>
    <n v="48"/>
    <s v="UPI"/>
  </r>
  <r>
    <s v="ORD0521"/>
    <x v="279"/>
    <x v="1"/>
    <n v="3"/>
    <s v="CUST0251"/>
    <x v="6"/>
    <x v="1"/>
    <x v="4"/>
    <x v="9"/>
    <n v="6"/>
    <n v="155.91"/>
    <x v="0"/>
    <n v="935.46"/>
    <n v="187.09200000000001"/>
    <n v="748.36800000000005"/>
    <n v="538.82496000000003"/>
    <n v="209.54303999999999"/>
    <n v="28"/>
    <s v="UPI"/>
  </r>
  <r>
    <s v="ORD0522"/>
    <x v="117"/>
    <x v="2"/>
    <n v="10"/>
    <s v="CUST0219"/>
    <x v="3"/>
    <x v="1"/>
    <x v="4"/>
    <x v="21"/>
    <n v="7"/>
    <n v="681.2"/>
    <x v="3"/>
    <n v="4768.4000000000005"/>
    <n v="476.84000000000009"/>
    <n v="4291.5600000000004"/>
    <n v="3089.9232000000002"/>
    <n v="1201.6368"/>
    <n v="28"/>
    <s v="Cash"/>
  </r>
  <r>
    <s v="ORD0523"/>
    <x v="165"/>
    <x v="7"/>
    <n v="12"/>
    <s v="CUST0054"/>
    <x v="2"/>
    <x v="1"/>
    <x v="3"/>
    <x v="8"/>
    <n v="7"/>
    <n v="2469.61"/>
    <x v="3"/>
    <n v="17287.27"/>
    <n v="1728.7270000000001"/>
    <n v="15558.543"/>
    <n v="9023.9549399999996"/>
    <n v="6534.58806"/>
    <n v="42"/>
    <s v="Debit Card"/>
  </r>
  <r>
    <s v="ORD0524"/>
    <x v="103"/>
    <x v="6"/>
    <n v="7"/>
    <s v="CUST0008"/>
    <x v="7"/>
    <x v="2"/>
    <x v="5"/>
    <x v="12"/>
    <n v="5"/>
    <n v="9379.24"/>
    <x v="3"/>
    <n v="46896.2"/>
    <n v="4689.62"/>
    <n v="42206.579999999987"/>
    <n v="28700.474399999999"/>
    <n v="13506.105600000001"/>
    <n v="32"/>
    <s v="Cash"/>
  </r>
  <r>
    <s v="ORD0525"/>
    <x v="120"/>
    <x v="8"/>
    <n v="6"/>
    <s v="CUST0276"/>
    <x v="3"/>
    <x v="1"/>
    <x v="1"/>
    <x v="6"/>
    <n v="3"/>
    <n v="594.54999999999995"/>
    <x v="1"/>
    <n v="1783.65"/>
    <n v="267.54750000000001"/>
    <n v="1516.1025"/>
    <n v="788.37329999999997"/>
    <n v="727.72919999999999"/>
    <n v="48"/>
    <s v="Debit Card"/>
  </r>
  <r>
    <s v="ORD0526"/>
    <x v="204"/>
    <x v="2"/>
    <n v="10"/>
    <s v="CUST0188"/>
    <x v="3"/>
    <x v="0"/>
    <x v="4"/>
    <x v="13"/>
    <n v="3"/>
    <n v="762.05"/>
    <x v="4"/>
    <n v="2286.15"/>
    <n v="114.3075"/>
    <n v="2171.8425000000002"/>
    <n v="1563.7266"/>
    <n v="608.11590000000001"/>
    <n v="28"/>
    <s v="Cash"/>
  </r>
  <r>
    <s v="ORD0527"/>
    <x v="173"/>
    <x v="0"/>
    <n v="4"/>
    <s v="CUST0200"/>
    <x v="2"/>
    <x v="0"/>
    <x v="1"/>
    <x v="25"/>
    <n v="5"/>
    <n v="3004.87"/>
    <x v="4"/>
    <n v="15024.35"/>
    <n v="751.21749999999997"/>
    <n v="14273.1325"/>
    <n v="7422.0288999999993"/>
    <n v="6851.1035999999986"/>
    <n v="48"/>
    <s v="Credit Card"/>
  </r>
  <r>
    <s v="ORD0528"/>
    <x v="138"/>
    <x v="2"/>
    <n v="10"/>
    <s v="CUST0240"/>
    <x v="0"/>
    <x v="1"/>
    <x v="1"/>
    <x v="6"/>
    <n v="4"/>
    <n v="2745.99"/>
    <x v="1"/>
    <n v="10983.96"/>
    <n v="1647.5940000000001"/>
    <n v="9336.366"/>
    <n v="4854.91032"/>
    <n v="4481.45568"/>
    <n v="48"/>
    <s v="Debit Card"/>
  </r>
  <r>
    <s v="ORD0529"/>
    <x v="93"/>
    <x v="8"/>
    <n v="6"/>
    <s v="CUST0275"/>
    <x v="5"/>
    <x v="0"/>
    <x v="5"/>
    <x v="14"/>
    <n v="3"/>
    <n v="23482.25"/>
    <x v="3"/>
    <n v="70446.75"/>
    <n v="7044.6750000000002"/>
    <n v="63402.074999999997"/>
    <n v="43113.411"/>
    <n v="20288.664000000001"/>
    <n v="32"/>
    <s v="UPI"/>
  </r>
  <r>
    <s v="ORD0530"/>
    <x v="53"/>
    <x v="10"/>
    <n v="8"/>
    <s v="CUST0263"/>
    <x v="0"/>
    <x v="2"/>
    <x v="2"/>
    <x v="29"/>
    <n v="3"/>
    <n v="54165.69"/>
    <x v="1"/>
    <n v="162497.07"/>
    <n v="24374.5605"/>
    <n v="138122.50949999999"/>
    <n v="107735.55740999999"/>
    <n v="30386.95209000001"/>
    <n v="22"/>
    <s v="UPI"/>
  </r>
  <r>
    <s v="ORD0531"/>
    <x v="93"/>
    <x v="8"/>
    <n v="6"/>
    <s v="CUST0046"/>
    <x v="9"/>
    <x v="2"/>
    <x v="4"/>
    <x v="9"/>
    <n v="6"/>
    <n v="437.9"/>
    <x v="6"/>
    <n v="2627.4"/>
    <n v="656.84999999999991"/>
    <n v="1970.55"/>
    <n v="1418.796"/>
    <n v="551.75399999999991"/>
    <n v="28"/>
    <s v="UPI"/>
  </r>
  <r>
    <s v="ORD0532"/>
    <x v="280"/>
    <x v="0"/>
    <n v="4"/>
    <s v="CUST0007"/>
    <x v="2"/>
    <x v="1"/>
    <x v="4"/>
    <x v="13"/>
    <n v="1"/>
    <n v="1161.53"/>
    <x v="1"/>
    <n v="1161.53"/>
    <n v="174.2295"/>
    <n v="987.30049999999994"/>
    <n v="710.85635999999988"/>
    <n v="276.44414000000012"/>
    <n v="28.000000000000011"/>
    <s v="UPI"/>
  </r>
  <r>
    <s v="ORD0533"/>
    <x v="86"/>
    <x v="10"/>
    <n v="8"/>
    <s v="CUST0026"/>
    <x v="3"/>
    <x v="0"/>
    <x v="1"/>
    <x v="7"/>
    <n v="7"/>
    <n v="1249.3399999999999"/>
    <x v="1"/>
    <n v="8745.3799999999992"/>
    <n v="1311.807"/>
    <n v="7433.5729999999994"/>
    <n v="3865.4579600000002"/>
    <n v="3568.1150400000001"/>
    <n v="48"/>
    <s v="Debit Card"/>
  </r>
  <r>
    <s v="ORD0534"/>
    <x v="172"/>
    <x v="7"/>
    <n v="12"/>
    <s v="CUST0273"/>
    <x v="7"/>
    <x v="0"/>
    <x v="0"/>
    <x v="4"/>
    <n v="6"/>
    <n v="1390.58"/>
    <x v="1"/>
    <n v="8343.48"/>
    <n v="1251.5219999999999"/>
    <n v="7091.9579999999996"/>
    <n v="3900.5769"/>
    <n v="3191.3811000000001"/>
    <n v="44.999999999999993"/>
    <s v="Net Banking"/>
  </r>
  <r>
    <s v="ORD0535"/>
    <x v="70"/>
    <x v="8"/>
    <n v="6"/>
    <s v="CUST0047"/>
    <x v="9"/>
    <x v="0"/>
    <x v="4"/>
    <x v="13"/>
    <n v="1"/>
    <n v="527.04999999999995"/>
    <x v="3"/>
    <n v="527.04999999999995"/>
    <n v="52.704999999999998"/>
    <n v="474.34500000000003"/>
    <n v="341.52839999999998"/>
    <n v="132.81659999999999"/>
    <n v="28"/>
    <s v="Credit Card"/>
  </r>
  <r>
    <s v="ORD0536"/>
    <x v="212"/>
    <x v="5"/>
    <n v="11"/>
    <s v="CUST0169"/>
    <x v="2"/>
    <x v="0"/>
    <x v="2"/>
    <x v="10"/>
    <n v="2"/>
    <n v="49638.07"/>
    <x v="4"/>
    <n v="99276.14"/>
    <n v="4963.8070000000007"/>
    <n v="94312.332999999999"/>
    <n v="73563.619739999995"/>
    <n v="20748.71326"/>
    <n v="22.000000000000011"/>
    <s v="Net Banking"/>
  </r>
  <r>
    <s v="ORD0537"/>
    <x v="116"/>
    <x v="5"/>
    <n v="11"/>
    <s v="CUST0188"/>
    <x v="4"/>
    <x v="2"/>
    <x v="4"/>
    <x v="13"/>
    <n v="3"/>
    <n v="438.8"/>
    <x v="4"/>
    <n v="1316.4"/>
    <n v="65.820000000000007"/>
    <n v="1250.58"/>
    <n v="900.41760000000011"/>
    <n v="350.16239999999999"/>
    <n v="28"/>
    <s v="Debit Card"/>
  </r>
  <r>
    <s v="ORD0538"/>
    <x v="281"/>
    <x v="10"/>
    <n v="8"/>
    <s v="CUST0189"/>
    <x v="7"/>
    <x v="2"/>
    <x v="0"/>
    <x v="0"/>
    <n v="1"/>
    <n v="730.8"/>
    <x v="3"/>
    <n v="730.8"/>
    <n v="73.08"/>
    <n v="657.71999999999991"/>
    <n v="361.74599999999998"/>
    <n v="295.97399999999988"/>
    <n v="44.999999999999993"/>
    <s v="Cash"/>
  </r>
  <r>
    <s v="ORD0539"/>
    <x v="282"/>
    <x v="4"/>
    <n v="9"/>
    <s v="CUST0146"/>
    <x v="7"/>
    <x v="1"/>
    <x v="3"/>
    <x v="18"/>
    <n v="3"/>
    <n v="1458.04"/>
    <x v="6"/>
    <n v="4374.12"/>
    <n v="1093.53"/>
    <n v="3280.59"/>
    <n v="1902.7421999999999"/>
    <n v="1377.8478"/>
    <n v="42.000000000000007"/>
    <s v="Debit Card"/>
  </r>
  <r>
    <s v="ORD0540"/>
    <x v="215"/>
    <x v="11"/>
    <n v="1"/>
    <s v="CUST0039"/>
    <x v="3"/>
    <x v="0"/>
    <x v="0"/>
    <x v="0"/>
    <n v="5"/>
    <n v="943.38"/>
    <x v="6"/>
    <n v="4716.8999999999996"/>
    <n v="1179.2249999999999"/>
    <n v="3537.6750000000002"/>
    <n v="1945.7212500000001"/>
    <n v="1591.9537499999999"/>
    <n v="44.999999999999993"/>
    <s v="Credit Card"/>
  </r>
  <r>
    <s v="ORD0541"/>
    <x v="32"/>
    <x v="0"/>
    <n v="4"/>
    <s v="CUST0255"/>
    <x v="0"/>
    <x v="2"/>
    <x v="0"/>
    <x v="15"/>
    <n v="6"/>
    <n v="2478.87"/>
    <x v="3"/>
    <n v="14873.22"/>
    <n v="1487.3219999999999"/>
    <n v="13385.897999999999"/>
    <n v="7362.2439000000004"/>
    <n v="6023.6540999999988"/>
    <n v="44.999999999999993"/>
    <s v="Credit Card"/>
  </r>
  <r>
    <s v="ORD0542"/>
    <x v="50"/>
    <x v="7"/>
    <n v="12"/>
    <s v="CUST0152"/>
    <x v="5"/>
    <x v="1"/>
    <x v="5"/>
    <x v="16"/>
    <n v="5"/>
    <n v="11368.06"/>
    <x v="1"/>
    <n v="56840.3"/>
    <n v="8526.0449999999983"/>
    <n v="48314.254999999997"/>
    <n v="32853.693399999996"/>
    <n v="15460.56159999999"/>
    <n v="31.999999999999989"/>
    <s v="Credit Card"/>
  </r>
  <r>
    <s v="ORD0543"/>
    <x v="78"/>
    <x v="0"/>
    <n v="4"/>
    <s v="CUST0229"/>
    <x v="5"/>
    <x v="0"/>
    <x v="4"/>
    <x v="11"/>
    <n v="5"/>
    <n v="62.07"/>
    <x v="6"/>
    <n v="310.35000000000002"/>
    <n v="77.587500000000006"/>
    <n v="232.76249999999999"/>
    <n v="167.589"/>
    <n v="65.173500000000018"/>
    <n v="28.000000000000011"/>
    <s v="UPI"/>
  </r>
  <r>
    <s v="ORD0544"/>
    <x v="259"/>
    <x v="4"/>
    <n v="9"/>
    <s v="CUST0190"/>
    <x v="9"/>
    <x v="1"/>
    <x v="1"/>
    <x v="1"/>
    <n v="4"/>
    <n v="2887.48"/>
    <x v="4"/>
    <n v="11549.92"/>
    <n v="577.49599999999998"/>
    <n v="10972.424000000001"/>
    <n v="5705.6604799999996"/>
    <n v="5266.7635200000004"/>
    <n v="48"/>
    <s v="Cash"/>
  </r>
  <r>
    <s v="ORD0545"/>
    <x v="283"/>
    <x v="8"/>
    <n v="6"/>
    <s v="CUST0236"/>
    <x v="5"/>
    <x v="2"/>
    <x v="4"/>
    <x v="26"/>
    <n v="2"/>
    <n v="739.38"/>
    <x v="6"/>
    <n v="1478.76"/>
    <n v="369.69"/>
    <n v="1109.07"/>
    <n v="798.53039999999987"/>
    <n v="310.53960000000012"/>
    <n v="28.000000000000011"/>
    <s v="UPI"/>
  </r>
  <r>
    <s v="ORD0546"/>
    <x v="145"/>
    <x v="7"/>
    <n v="12"/>
    <s v="CUST0210"/>
    <x v="6"/>
    <x v="2"/>
    <x v="3"/>
    <x v="5"/>
    <n v="7"/>
    <n v="2069.17"/>
    <x v="0"/>
    <n v="14484.19"/>
    <n v="2896.8380000000002"/>
    <n v="11587.352000000001"/>
    <n v="6720.6641600000003"/>
    <n v="4866.6878400000014"/>
    <n v="42.000000000000007"/>
    <s v="Net Banking"/>
  </r>
  <r>
    <s v="ORD0547"/>
    <x v="277"/>
    <x v="11"/>
    <n v="1"/>
    <s v="CUST0185"/>
    <x v="9"/>
    <x v="1"/>
    <x v="5"/>
    <x v="12"/>
    <n v="4"/>
    <n v="23546.01"/>
    <x v="3"/>
    <n v="94184.04"/>
    <n v="9418.4040000000005"/>
    <n v="84765.635999999999"/>
    <n v="57640.63248"/>
    <n v="27125.003519999998"/>
    <n v="32"/>
    <s v="Cash"/>
  </r>
  <r>
    <s v="ORD0548"/>
    <x v="114"/>
    <x v="10"/>
    <n v="8"/>
    <s v="CUST0150"/>
    <x v="9"/>
    <x v="1"/>
    <x v="0"/>
    <x v="19"/>
    <n v="3"/>
    <n v="3941.08"/>
    <x v="1"/>
    <n v="11823.24"/>
    <n v="1773.4860000000001"/>
    <n v="10049.754000000001"/>
    <n v="5527.364700000001"/>
    <n v="4522.3892999999998"/>
    <n v="44.999999999999993"/>
    <s v="Credit Card"/>
  </r>
  <r>
    <s v="ORD0549"/>
    <x v="46"/>
    <x v="3"/>
    <n v="2"/>
    <s v="CUST0123"/>
    <x v="7"/>
    <x v="1"/>
    <x v="3"/>
    <x v="5"/>
    <n v="2"/>
    <n v="1403.2"/>
    <x v="3"/>
    <n v="2806.4"/>
    <n v="280.64"/>
    <n v="2525.7600000000002"/>
    <n v="1464.9408000000001"/>
    <n v="1060.8191999999999"/>
    <n v="42.000000000000007"/>
    <s v="Cash"/>
  </r>
  <r>
    <s v="ORD0550"/>
    <x v="231"/>
    <x v="11"/>
    <n v="1"/>
    <s v="CUST0147"/>
    <x v="7"/>
    <x v="1"/>
    <x v="3"/>
    <x v="5"/>
    <n v="6"/>
    <n v="1024.25"/>
    <x v="0"/>
    <n v="6145.5"/>
    <n v="1229.0999999999999"/>
    <n v="4916.3999999999996"/>
    <n v="2851.5120000000002"/>
    <n v="2064.8879999999999"/>
    <n v="42.000000000000007"/>
    <s v="Cash"/>
  </r>
  <r>
    <s v="ORD0551"/>
    <x v="284"/>
    <x v="8"/>
    <n v="6"/>
    <s v="CUST0016"/>
    <x v="7"/>
    <x v="2"/>
    <x v="0"/>
    <x v="4"/>
    <n v="3"/>
    <n v="841.23"/>
    <x v="2"/>
    <n v="2523.69"/>
    <n v="0"/>
    <n v="2523.69"/>
    <n v="1388.0295000000001"/>
    <n v="1135.6605"/>
    <n v="44.999999999999993"/>
    <s v="Net Banking"/>
  </r>
  <r>
    <s v="ORD0552"/>
    <x v="49"/>
    <x v="5"/>
    <n v="11"/>
    <s v="CUST0001"/>
    <x v="2"/>
    <x v="1"/>
    <x v="4"/>
    <x v="21"/>
    <n v="2"/>
    <n v="263.07"/>
    <x v="3"/>
    <n v="526.14"/>
    <n v="52.613999999999997"/>
    <n v="473.52600000000001"/>
    <n v="340.93871999999988"/>
    <n v="132.58727999999999"/>
    <n v="28.000000000000011"/>
    <s v="UPI"/>
  </r>
  <r>
    <s v="ORD0553"/>
    <x v="116"/>
    <x v="5"/>
    <n v="11"/>
    <s v="CUST0279"/>
    <x v="5"/>
    <x v="1"/>
    <x v="0"/>
    <x v="19"/>
    <n v="1"/>
    <n v="1198.19"/>
    <x v="4"/>
    <n v="1198.19"/>
    <n v="59.909500000000008"/>
    <n v="1138.2805000000001"/>
    <n v="626.05427500000008"/>
    <n v="512.226225"/>
    <n v="44.999999999999993"/>
    <s v="Debit Card"/>
  </r>
  <r>
    <s v="ORD0554"/>
    <x v="159"/>
    <x v="11"/>
    <n v="1"/>
    <s v="CUST0146"/>
    <x v="3"/>
    <x v="1"/>
    <x v="5"/>
    <x v="12"/>
    <n v="6"/>
    <n v="11098.14"/>
    <x v="1"/>
    <n v="66588.84"/>
    <n v="9988.3259999999991"/>
    <n v="56600.514000000003"/>
    <n v="38488.349520000003"/>
    <n v="18112.164479999989"/>
    <n v="31.999999999999989"/>
    <s v="UPI"/>
  </r>
  <r>
    <s v="ORD0555"/>
    <x v="164"/>
    <x v="10"/>
    <n v="8"/>
    <s v="CUST0006"/>
    <x v="1"/>
    <x v="1"/>
    <x v="0"/>
    <x v="19"/>
    <n v="4"/>
    <n v="2344.54"/>
    <x v="4"/>
    <n v="9378.16"/>
    <n v="468.90800000000002"/>
    <n v="8909.2520000000004"/>
    <n v="4900.088600000001"/>
    <n v="4009.163399999999"/>
    <n v="44.999999999999993"/>
    <s v="Net Banking"/>
  </r>
  <r>
    <s v="ORD0556"/>
    <x v="269"/>
    <x v="6"/>
    <n v="7"/>
    <s v="CUST0066"/>
    <x v="2"/>
    <x v="1"/>
    <x v="2"/>
    <x v="22"/>
    <n v="4"/>
    <n v="18204.8"/>
    <x v="0"/>
    <n v="72819.199999999997"/>
    <n v="14563.84"/>
    <n v="58255.360000000001"/>
    <n v="45439.180800000002"/>
    <n v="12816.1792"/>
    <n v="22"/>
    <s v="Credit Card"/>
  </r>
  <r>
    <s v="ORD0557"/>
    <x v="284"/>
    <x v="8"/>
    <n v="6"/>
    <s v="CUST0203"/>
    <x v="7"/>
    <x v="1"/>
    <x v="0"/>
    <x v="19"/>
    <n v="7"/>
    <n v="2903.78"/>
    <x v="1"/>
    <n v="20326.46"/>
    <n v="3048.969000000001"/>
    <n v="17277.491000000002"/>
    <n v="9502.6200500000014"/>
    <n v="7774.8709500000004"/>
    <n v="44.999999999999993"/>
    <s v="Credit Card"/>
  </r>
  <r>
    <s v="ORD0558"/>
    <x v="239"/>
    <x v="10"/>
    <n v="8"/>
    <s v="CUST0193"/>
    <x v="7"/>
    <x v="1"/>
    <x v="4"/>
    <x v="11"/>
    <n v="6"/>
    <n v="889.78"/>
    <x v="3"/>
    <n v="5338.68"/>
    <n v="533.86800000000005"/>
    <n v="4804.8119999999999"/>
    <n v="3459.4646400000001"/>
    <n v="1345.34736"/>
    <n v="28"/>
    <s v="Credit Card"/>
  </r>
  <r>
    <s v="ORD0559"/>
    <x v="263"/>
    <x v="1"/>
    <n v="3"/>
    <s v="CUST0028"/>
    <x v="6"/>
    <x v="2"/>
    <x v="0"/>
    <x v="15"/>
    <n v="4"/>
    <n v="4523.59"/>
    <x v="3"/>
    <n v="18094.36"/>
    <n v="1809.4359999999999"/>
    <n v="16284.924000000001"/>
    <n v="8956.7082000000009"/>
    <n v="7328.2157999999999"/>
    <n v="44.999999999999993"/>
    <s v="Net Banking"/>
  </r>
  <r>
    <s v="ORD0560"/>
    <x v="161"/>
    <x v="0"/>
    <n v="4"/>
    <s v="CUST0126"/>
    <x v="0"/>
    <x v="0"/>
    <x v="5"/>
    <x v="14"/>
    <n v="7"/>
    <n v="11855.92"/>
    <x v="3"/>
    <n v="82991.44"/>
    <n v="8299.1440000000002"/>
    <n v="74692.296000000002"/>
    <n v="50790.761280000013"/>
    <n v="23901.53472"/>
    <n v="32"/>
    <s v="Debit Card"/>
  </r>
  <r>
    <s v="ORD0561"/>
    <x v="70"/>
    <x v="8"/>
    <n v="6"/>
    <s v="CUST0282"/>
    <x v="1"/>
    <x v="2"/>
    <x v="4"/>
    <x v="21"/>
    <n v="4"/>
    <n v="889.7"/>
    <x v="1"/>
    <n v="3558.8"/>
    <n v="533.82000000000005"/>
    <n v="3024.98"/>
    <n v="2177.9856"/>
    <n v="846.99440000000004"/>
    <n v="28"/>
    <s v="UPI"/>
  </r>
  <r>
    <s v="ORD0562"/>
    <x v="102"/>
    <x v="1"/>
    <n v="3"/>
    <s v="CUST0158"/>
    <x v="4"/>
    <x v="1"/>
    <x v="4"/>
    <x v="21"/>
    <n v="7"/>
    <n v="398.25"/>
    <x v="1"/>
    <n v="2787.75"/>
    <n v="418.16250000000002"/>
    <n v="2369.5875000000001"/>
    <n v="1706.1030000000001"/>
    <n v="663.48450000000003"/>
    <n v="28"/>
    <s v="Net Banking"/>
  </r>
  <r>
    <s v="ORD0563"/>
    <x v="82"/>
    <x v="5"/>
    <n v="11"/>
    <s v="CUST0168"/>
    <x v="7"/>
    <x v="0"/>
    <x v="3"/>
    <x v="5"/>
    <n v="5"/>
    <n v="639.04999999999995"/>
    <x v="2"/>
    <n v="3195.25"/>
    <n v="0"/>
    <n v="3195.25"/>
    <n v="1853.2449999999999"/>
    <n v="1342.0050000000001"/>
    <n v="42.000000000000007"/>
    <s v="Cash"/>
  </r>
  <r>
    <s v="ORD0564"/>
    <x v="83"/>
    <x v="7"/>
    <n v="12"/>
    <s v="CUST0287"/>
    <x v="9"/>
    <x v="0"/>
    <x v="4"/>
    <x v="9"/>
    <n v="3"/>
    <n v="849.2"/>
    <x v="1"/>
    <n v="2547.6"/>
    <n v="382.14"/>
    <n v="2165.46"/>
    <n v="1559.1312"/>
    <n v="606.32880000000023"/>
    <n v="28"/>
    <s v="Net Banking"/>
  </r>
  <r>
    <s v="ORD0565"/>
    <x v="244"/>
    <x v="8"/>
    <n v="6"/>
    <s v="CUST0028"/>
    <x v="3"/>
    <x v="0"/>
    <x v="0"/>
    <x v="15"/>
    <n v="5"/>
    <n v="5515.78"/>
    <x v="2"/>
    <n v="27578.9"/>
    <n v="0"/>
    <n v="27578.9"/>
    <n v="15168.395"/>
    <n v="12410.504999999999"/>
    <n v="44.999999999999993"/>
    <s v="Credit Card"/>
  </r>
  <r>
    <s v="ORD0566"/>
    <x v="271"/>
    <x v="2"/>
    <n v="10"/>
    <s v="CUST0075"/>
    <x v="4"/>
    <x v="1"/>
    <x v="4"/>
    <x v="9"/>
    <n v="3"/>
    <n v="378.47"/>
    <x v="1"/>
    <n v="1135.4100000000001"/>
    <n v="170.3115"/>
    <n v="965.09850000000006"/>
    <n v="694.87092000000007"/>
    <n v="270.22757999999999"/>
    <n v="28"/>
    <s v="Debit Card"/>
  </r>
  <r>
    <s v="ORD0567"/>
    <x v="207"/>
    <x v="10"/>
    <n v="8"/>
    <s v="CUST0237"/>
    <x v="7"/>
    <x v="0"/>
    <x v="3"/>
    <x v="24"/>
    <n v="2"/>
    <n v="1814.59"/>
    <x v="3"/>
    <n v="3629.18"/>
    <n v="362.91800000000001"/>
    <n v="3266.2620000000002"/>
    <n v="1894.4319599999999"/>
    <n v="1371.8300400000001"/>
    <n v="42.000000000000007"/>
    <s v="Cash"/>
  </r>
  <r>
    <s v="ORD0568"/>
    <x v="285"/>
    <x v="8"/>
    <n v="6"/>
    <s v="CUST0226"/>
    <x v="7"/>
    <x v="1"/>
    <x v="1"/>
    <x v="25"/>
    <n v="1"/>
    <n v="3043.49"/>
    <x v="1"/>
    <n v="3043.49"/>
    <n v="456.52350000000001"/>
    <n v="2586.9665"/>
    <n v="1345.2225800000001"/>
    <n v="1241.7439199999999"/>
    <n v="48"/>
    <s v="UPI"/>
  </r>
  <r>
    <s v="ORD0569"/>
    <x v="286"/>
    <x v="11"/>
    <n v="1"/>
    <s v="CUST0236"/>
    <x v="1"/>
    <x v="1"/>
    <x v="4"/>
    <x v="26"/>
    <n v="3"/>
    <n v="344.11"/>
    <x v="3"/>
    <n v="1032.33"/>
    <n v="103.233"/>
    <n v="929.09699999999998"/>
    <n v="668.94983999999999"/>
    <n v="260.14715999999999"/>
    <n v="28"/>
    <s v="Credit Card"/>
  </r>
  <r>
    <s v="ORD0570"/>
    <x v="8"/>
    <x v="7"/>
    <n v="12"/>
    <s v="CUST0048"/>
    <x v="0"/>
    <x v="1"/>
    <x v="1"/>
    <x v="1"/>
    <n v="5"/>
    <n v="2140.37"/>
    <x v="3"/>
    <n v="10701.85"/>
    <n v="1070.1849999999999"/>
    <n v="9631.6649999999991"/>
    <n v="5008.4657999999999"/>
    <n v="4623.1991999999991"/>
    <n v="48"/>
    <s v="Credit Card"/>
  </r>
  <r>
    <s v="ORD0571"/>
    <x v="199"/>
    <x v="11"/>
    <n v="1"/>
    <s v="CUST0015"/>
    <x v="6"/>
    <x v="1"/>
    <x v="2"/>
    <x v="10"/>
    <n v="4"/>
    <n v="41001.730000000003"/>
    <x v="2"/>
    <n v="164006.92000000001"/>
    <n v="0"/>
    <n v="164006.92000000001"/>
    <n v="127925.3976"/>
    <n v="36081.522400000002"/>
    <n v="22"/>
    <s v="Net Banking"/>
  </r>
  <r>
    <s v="ORD0572"/>
    <x v="287"/>
    <x v="9"/>
    <n v="5"/>
    <s v="CUST0069"/>
    <x v="0"/>
    <x v="2"/>
    <x v="5"/>
    <x v="14"/>
    <n v="4"/>
    <n v="8484.9500000000007"/>
    <x v="3"/>
    <n v="33939.800000000003"/>
    <n v="3393.98"/>
    <n v="30545.82"/>
    <n v="20771.157599999999"/>
    <n v="9774.6624000000011"/>
    <n v="32"/>
    <s v="Credit Card"/>
  </r>
  <r>
    <s v="ORD0573"/>
    <x v="173"/>
    <x v="0"/>
    <n v="4"/>
    <s v="CUST0189"/>
    <x v="3"/>
    <x v="1"/>
    <x v="5"/>
    <x v="28"/>
    <n v="5"/>
    <n v="23464.16"/>
    <x v="5"/>
    <n v="117320.8"/>
    <n v="35196.239999999998"/>
    <n v="82124.56"/>
    <n v="55844.700800000013"/>
    <n v="26279.859199999992"/>
    <n v="31.999999999999989"/>
    <s v="Net Banking"/>
  </r>
  <r>
    <s v="ORD0574"/>
    <x v="55"/>
    <x v="4"/>
    <n v="9"/>
    <s v="CUST0141"/>
    <x v="9"/>
    <x v="0"/>
    <x v="3"/>
    <x v="8"/>
    <n v="5"/>
    <n v="431.5"/>
    <x v="0"/>
    <n v="2157.5"/>
    <n v="431.5"/>
    <n v="1726"/>
    <n v="1001.08"/>
    <n v="724.92000000000007"/>
    <n v="42.000000000000007"/>
    <s v="UPI"/>
  </r>
  <r>
    <s v="ORD0575"/>
    <x v="288"/>
    <x v="5"/>
    <n v="11"/>
    <s v="CUST0296"/>
    <x v="0"/>
    <x v="2"/>
    <x v="5"/>
    <x v="16"/>
    <n v="6"/>
    <n v="11740.36"/>
    <x v="4"/>
    <n v="70442.16"/>
    <n v="3522.1080000000002"/>
    <n v="66920.051999999996"/>
    <n v="45505.63536"/>
    <n v="21414.416639999999"/>
    <n v="32"/>
    <s v="Credit Card"/>
  </r>
  <r>
    <s v="ORD0576"/>
    <x v="12"/>
    <x v="8"/>
    <n v="6"/>
    <s v="CUST0276"/>
    <x v="0"/>
    <x v="2"/>
    <x v="1"/>
    <x v="7"/>
    <n v="7"/>
    <n v="699.52"/>
    <x v="4"/>
    <n v="4896.6399999999994"/>
    <n v="244.83199999999999"/>
    <n v="4651.8079999999991"/>
    <n v="2418.9401600000001"/>
    <n v="2232.867839999999"/>
    <n v="48"/>
    <s v="Credit Card"/>
  </r>
  <r>
    <s v="ORD0577"/>
    <x v="285"/>
    <x v="8"/>
    <n v="6"/>
    <s v="CUST0070"/>
    <x v="7"/>
    <x v="0"/>
    <x v="1"/>
    <x v="25"/>
    <n v="2"/>
    <n v="2097.6999999999998"/>
    <x v="4"/>
    <n v="4195.3999999999996"/>
    <n v="209.77"/>
    <n v="3985.63"/>
    <n v="2072.5275999999999"/>
    <n v="1913.1024"/>
    <n v="48"/>
    <s v="Credit Card"/>
  </r>
  <r>
    <s v="ORD0578"/>
    <x v="69"/>
    <x v="1"/>
    <n v="3"/>
    <s v="CUST0144"/>
    <x v="1"/>
    <x v="2"/>
    <x v="4"/>
    <x v="13"/>
    <n v="4"/>
    <n v="907"/>
    <x v="4"/>
    <n v="3628"/>
    <n v="181.4"/>
    <n v="3446.6"/>
    <n v="2481.5520000000001"/>
    <n v="965.04800000000023"/>
    <n v="28.000000000000011"/>
    <s v="UPI"/>
  </r>
  <r>
    <s v="ORD0579"/>
    <x v="40"/>
    <x v="3"/>
    <n v="2"/>
    <s v="CUST0030"/>
    <x v="7"/>
    <x v="2"/>
    <x v="4"/>
    <x v="21"/>
    <n v="1"/>
    <n v="806.37"/>
    <x v="1"/>
    <n v="806.37"/>
    <n v="120.9555"/>
    <n v="685.41449999999998"/>
    <n v="493.49844000000002"/>
    <n v="191.91605999999999"/>
    <n v="28"/>
    <s v="Debit Card"/>
  </r>
  <r>
    <s v="ORD0580"/>
    <x v="289"/>
    <x v="1"/>
    <n v="3"/>
    <s v="CUST0273"/>
    <x v="0"/>
    <x v="1"/>
    <x v="5"/>
    <x v="20"/>
    <n v="4"/>
    <n v="15999.28"/>
    <x v="3"/>
    <n v="63997.120000000003"/>
    <n v="6399.7120000000004"/>
    <n v="57597.408000000003"/>
    <n v="39166.237439999997"/>
    <n v="18431.170559999999"/>
    <n v="32"/>
    <s v="Credit Card"/>
  </r>
  <r>
    <s v="ORD0581"/>
    <x v="151"/>
    <x v="3"/>
    <n v="2"/>
    <s v="CUST0285"/>
    <x v="3"/>
    <x v="1"/>
    <x v="2"/>
    <x v="10"/>
    <n v="6"/>
    <n v="47348.4"/>
    <x v="6"/>
    <n v="284090.40000000002"/>
    <n v="71022.600000000006"/>
    <n v="213067.8"/>
    <n v="166192.88399999999"/>
    <n v="46874.915999999997"/>
    <n v="22"/>
    <s v="Debit Card"/>
  </r>
  <r>
    <s v="ORD0582"/>
    <x v="290"/>
    <x v="11"/>
    <n v="1"/>
    <s v="CUST0166"/>
    <x v="7"/>
    <x v="0"/>
    <x v="3"/>
    <x v="17"/>
    <n v="6"/>
    <n v="848.95"/>
    <x v="0"/>
    <n v="5093.7000000000007"/>
    <n v="1018.74"/>
    <n v="4074.96"/>
    <n v="2363.4767999999999"/>
    <n v="1711.483200000001"/>
    <n v="42.000000000000007"/>
    <s v="Debit Card"/>
  </r>
  <r>
    <s v="ORD0583"/>
    <x v="291"/>
    <x v="5"/>
    <n v="11"/>
    <s v="CUST0109"/>
    <x v="8"/>
    <x v="2"/>
    <x v="3"/>
    <x v="8"/>
    <n v="4"/>
    <n v="794.66"/>
    <x v="0"/>
    <n v="3178.64"/>
    <n v="635.72800000000007"/>
    <n v="2542.9119999999998"/>
    <n v="1474.88896"/>
    <n v="1068.02304"/>
    <n v="42.000000000000007"/>
    <s v="Debit Card"/>
  </r>
  <r>
    <s v="ORD0584"/>
    <x v="259"/>
    <x v="4"/>
    <n v="9"/>
    <s v="CUST0230"/>
    <x v="0"/>
    <x v="1"/>
    <x v="1"/>
    <x v="23"/>
    <n v="7"/>
    <n v="2567.63"/>
    <x v="3"/>
    <n v="17973.41"/>
    <n v="1797.3409999999999"/>
    <n v="16176.069"/>
    <n v="8411.5558799999999"/>
    <n v="7764.5131199999996"/>
    <n v="48"/>
    <s v="Debit Card"/>
  </r>
  <r>
    <s v="ORD0585"/>
    <x v="230"/>
    <x v="5"/>
    <n v="11"/>
    <s v="CUST0165"/>
    <x v="3"/>
    <x v="1"/>
    <x v="5"/>
    <x v="28"/>
    <n v="5"/>
    <n v="16811.07"/>
    <x v="3"/>
    <n v="84055.35"/>
    <n v="8405.5350000000017"/>
    <n v="75649.815000000002"/>
    <n v="51441.874200000013"/>
    <n v="24207.9408"/>
    <n v="32"/>
    <s v="Debit Card"/>
  </r>
  <r>
    <s v="ORD0586"/>
    <x v="292"/>
    <x v="3"/>
    <n v="2"/>
    <s v="CUST0270"/>
    <x v="8"/>
    <x v="1"/>
    <x v="3"/>
    <x v="5"/>
    <n v="4"/>
    <n v="2341.2800000000002"/>
    <x v="3"/>
    <n v="9365.1200000000008"/>
    <n v="936.51200000000017"/>
    <n v="8428.6080000000002"/>
    <n v="4888.5926399999998"/>
    <n v="3540.0153599999999"/>
    <n v="42.000000000000007"/>
    <s v="Credit Card"/>
  </r>
  <r>
    <s v="ORD0587"/>
    <x v="225"/>
    <x v="6"/>
    <n v="7"/>
    <s v="CUST0050"/>
    <x v="6"/>
    <x v="1"/>
    <x v="5"/>
    <x v="12"/>
    <n v="7"/>
    <n v="4095.61"/>
    <x v="3"/>
    <n v="28669.27"/>
    <n v="2866.9270000000001"/>
    <n v="25802.343000000001"/>
    <n v="17545.593239999998"/>
    <n v="8256.7497599999988"/>
    <n v="32"/>
    <s v="Net Banking"/>
  </r>
  <r>
    <s v="ORD0588"/>
    <x v="293"/>
    <x v="7"/>
    <n v="12"/>
    <s v="CUST0241"/>
    <x v="8"/>
    <x v="0"/>
    <x v="5"/>
    <x v="14"/>
    <n v="5"/>
    <n v="5633.22"/>
    <x v="2"/>
    <n v="28166.1"/>
    <n v="0"/>
    <n v="28166.1"/>
    <n v="19152.948"/>
    <n v="9013.1519999999982"/>
    <n v="31.999999999999989"/>
    <s v="UPI"/>
  </r>
  <r>
    <s v="ORD0589"/>
    <x v="88"/>
    <x v="7"/>
    <n v="12"/>
    <s v="CUST0192"/>
    <x v="3"/>
    <x v="0"/>
    <x v="5"/>
    <x v="12"/>
    <n v="2"/>
    <n v="12414.96"/>
    <x v="6"/>
    <n v="24829.919999999998"/>
    <n v="6207.48"/>
    <n v="18622.439999999999"/>
    <n v="12663.2592"/>
    <n v="5959.1807999999983"/>
    <n v="32"/>
    <s v="Credit Card"/>
  </r>
  <r>
    <s v="ORD0590"/>
    <x v="294"/>
    <x v="6"/>
    <n v="7"/>
    <s v="CUST0085"/>
    <x v="9"/>
    <x v="0"/>
    <x v="1"/>
    <x v="25"/>
    <n v="6"/>
    <n v="3068.28"/>
    <x v="3"/>
    <n v="18409.68"/>
    <n v="1840.9680000000001"/>
    <n v="16568.712"/>
    <n v="8615.7302400000008"/>
    <n v="7952.9817599999988"/>
    <n v="47.999999999999993"/>
    <s v="Net Banking"/>
  </r>
  <r>
    <s v="ORD0591"/>
    <x v="156"/>
    <x v="4"/>
    <n v="9"/>
    <s v="CUST0130"/>
    <x v="6"/>
    <x v="2"/>
    <x v="5"/>
    <x v="20"/>
    <n v="2"/>
    <n v="17654.8"/>
    <x v="4"/>
    <n v="35309.599999999999"/>
    <n v="1765.48"/>
    <n v="33544.120000000003"/>
    <n v="22810.0016"/>
    <n v="10734.118399999999"/>
    <n v="31.999999999999989"/>
    <s v="UPI"/>
  </r>
  <r>
    <s v="ORD0592"/>
    <x v="232"/>
    <x v="5"/>
    <n v="11"/>
    <s v="CUST0165"/>
    <x v="1"/>
    <x v="2"/>
    <x v="1"/>
    <x v="7"/>
    <n v="4"/>
    <n v="205.42"/>
    <x v="3"/>
    <n v="821.68"/>
    <n v="82.168000000000006"/>
    <n v="739.51199999999994"/>
    <n v="384.54624000000001"/>
    <n v="354.96575999999988"/>
    <n v="47.999999999999993"/>
    <s v="Credit Card"/>
  </r>
  <r>
    <s v="ORD0593"/>
    <x v="295"/>
    <x v="6"/>
    <n v="7"/>
    <s v="CUST0214"/>
    <x v="5"/>
    <x v="0"/>
    <x v="5"/>
    <x v="16"/>
    <n v="1"/>
    <n v="14961.03"/>
    <x v="3"/>
    <n v="14961.03"/>
    <n v="1496.1030000000001"/>
    <n v="13464.927"/>
    <n v="9156.1503599999996"/>
    <n v="4308.77664"/>
    <n v="32"/>
    <s v="Debit Card"/>
  </r>
  <r>
    <s v="ORD0594"/>
    <x v="296"/>
    <x v="0"/>
    <n v="4"/>
    <s v="CUST0216"/>
    <x v="6"/>
    <x v="2"/>
    <x v="5"/>
    <x v="20"/>
    <n v="7"/>
    <n v="23398.18"/>
    <x v="3"/>
    <n v="163787.26"/>
    <n v="16378.726000000001"/>
    <n v="147408.53400000001"/>
    <n v="100237.80312"/>
    <n v="47170.730880000003"/>
    <n v="32"/>
    <s v="Debit Card"/>
  </r>
  <r>
    <s v="ORD0595"/>
    <x v="260"/>
    <x v="8"/>
    <n v="6"/>
    <s v="CUST0228"/>
    <x v="5"/>
    <x v="0"/>
    <x v="3"/>
    <x v="5"/>
    <n v="1"/>
    <n v="1824.92"/>
    <x v="2"/>
    <n v="1824.92"/>
    <n v="0"/>
    <n v="1824.92"/>
    <n v="1058.4536000000001"/>
    <n v="766.46640000000002"/>
    <n v="42"/>
    <s v="Credit Card"/>
  </r>
  <r>
    <s v="ORD0596"/>
    <x v="221"/>
    <x v="7"/>
    <n v="12"/>
    <s v="CUST0113"/>
    <x v="9"/>
    <x v="1"/>
    <x v="2"/>
    <x v="22"/>
    <n v="5"/>
    <n v="12626.36"/>
    <x v="3"/>
    <n v="63131.8"/>
    <n v="6313.18"/>
    <n v="56818.62"/>
    <n v="44318.5236"/>
    <n v="12500.0964"/>
    <n v="22"/>
    <s v="Credit Card"/>
  </r>
  <r>
    <s v="ORD0597"/>
    <x v="234"/>
    <x v="1"/>
    <n v="3"/>
    <s v="CUST0196"/>
    <x v="7"/>
    <x v="1"/>
    <x v="5"/>
    <x v="20"/>
    <n v="7"/>
    <n v="17610.72"/>
    <x v="2"/>
    <n v="123275.04"/>
    <n v="0"/>
    <n v="123275.04"/>
    <n v="83827.027200000011"/>
    <n v="39448.012799999997"/>
    <n v="32"/>
    <s v="Credit Card"/>
  </r>
  <r>
    <s v="ORD0598"/>
    <x v="297"/>
    <x v="4"/>
    <n v="9"/>
    <s v="CUST0052"/>
    <x v="4"/>
    <x v="1"/>
    <x v="4"/>
    <x v="9"/>
    <n v="6"/>
    <n v="949.88"/>
    <x v="6"/>
    <n v="5699.28"/>
    <n v="1424.82"/>
    <n v="4274.46"/>
    <n v="3077.6111999999998"/>
    <n v="1196.8488"/>
    <n v="28"/>
    <s v="Net Banking"/>
  </r>
  <r>
    <s v="ORD0599"/>
    <x v="136"/>
    <x v="5"/>
    <n v="11"/>
    <s v="CUST0184"/>
    <x v="7"/>
    <x v="0"/>
    <x v="2"/>
    <x v="29"/>
    <n v="3"/>
    <n v="26575.24"/>
    <x v="5"/>
    <n v="79725.72"/>
    <n v="23917.716"/>
    <n v="55808.004000000001"/>
    <n v="43530.243119999999"/>
    <n v="12277.76088"/>
    <n v="22"/>
    <s v="Debit Card"/>
  </r>
  <r>
    <s v="ORD0600"/>
    <x v="291"/>
    <x v="5"/>
    <n v="11"/>
    <s v="CUST0083"/>
    <x v="5"/>
    <x v="1"/>
    <x v="2"/>
    <x v="10"/>
    <n v="6"/>
    <n v="21746.42"/>
    <x v="4"/>
    <n v="130478.52"/>
    <n v="6523.9259999999986"/>
    <n v="123954.594"/>
    <n v="96684.583319999991"/>
    <n v="27270.010679999988"/>
    <n v="22"/>
    <s v="Cash"/>
  </r>
  <r>
    <s v="ORD0601"/>
    <x v="161"/>
    <x v="0"/>
    <n v="4"/>
    <s v="CUST0126"/>
    <x v="7"/>
    <x v="2"/>
    <x v="4"/>
    <x v="26"/>
    <n v="6"/>
    <n v="554.44000000000005"/>
    <x v="5"/>
    <n v="3326.64"/>
    <n v="997.99200000000008"/>
    <n v="2328.6480000000001"/>
    <n v="1676.6265599999999"/>
    <n v="652.02144000000021"/>
    <n v="28.000000000000011"/>
    <s v="Credit Card"/>
  </r>
  <r>
    <s v="ORD0602"/>
    <x v="215"/>
    <x v="11"/>
    <n v="1"/>
    <s v="CUST0207"/>
    <x v="1"/>
    <x v="0"/>
    <x v="4"/>
    <x v="11"/>
    <n v="2"/>
    <n v="392.3"/>
    <x v="4"/>
    <n v="784.6"/>
    <n v="39.229999999999997"/>
    <n v="745.37"/>
    <n v="536.66639999999995"/>
    <n v="208.70360000000011"/>
    <n v="28.000000000000011"/>
    <s v="Debit Card"/>
  </r>
  <r>
    <s v="ORD0603"/>
    <x v="298"/>
    <x v="3"/>
    <n v="2"/>
    <s v="CUST0198"/>
    <x v="9"/>
    <x v="2"/>
    <x v="0"/>
    <x v="0"/>
    <n v="2"/>
    <n v="5501.86"/>
    <x v="4"/>
    <n v="11003.72"/>
    <n v="550.18600000000004"/>
    <n v="10453.534"/>
    <n v="5749.4437000000007"/>
    <n v="4704.0902999999989"/>
    <n v="44.999999999999993"/>
    <s v="UPI"/>
  </r>
  <r>
    <s v="ORD0604"/>
    <x v="299"/>
    <x v="10"/>
    <n v="8"/>
    <s v="CUST0054"/>
    <x v="1"/>
    <x v="0"/>
    <x v="1"/>
    <x v="6"/>
    <n v="5"/>
    <n v="658.71"/>
    <x v="3"/>
    <n v="3293.55"/>
    <n v="329.35500000000002"/>
    <n v="2964.1950000000002"/>
    <n v="1541.3814"/>
    <n v="1422.8136"/>
    <n v="48"/>
    <s v="UPI"/>
  </r>
  <r>
    <s v="ORD0605"/>
    <x v="213"/>
    <x v="0"/>
    <n v="4"/>
    <s v="CUST0181"/>
    <x v="0"/>
    <x v="1"/>
    <x v="5"/>
    <x v="20"/>
    <n v="3"/>
    <n v="2823.58"/>
    <x v="0"/>
    <n v="8470.74"/>
    <n v="1694.1479999999999"/>
    <n v="6776.5919999999996"/>
    <n v="4608.0825599999998"/>
    <n v="2168.5094399999998"/>
    <n v="32"/>
    <s v="Net Banking"/>
  </r>
  <r>
    <s v="ORD0606"/>
    <x v="225"/>
    <x v="6"/>
    <n v="7"/>
    <s v="CUST0125"/>
    <x v="8"/>
    <x v="2"/>
    <x v="4"/>
    <x v="13"/>
    <n v="7"/>
    <n v="731.05"/>
    <x v="1"/>
    <n v="5117.3499999999995"/>
    <n v="767.60249999999985"/>
    <n v="4349.7474999999986"/>
    <n v="3131.8182000000002"/>
    <n v="1217.9293"/>
    <n v="28"/>
    <s v="UPI"/>
  </r>
  <r>
    <s v="ORD0607"/>
    <x v="197"/>
    <x v="7"/>
    <n v="12"/>
    <s v="CUST0211"/>
    <x v="4"/>
    <x v="0"/>
    <x v="2"/>
    <x v="22"/>
    <n v="6"/>
    <n v="14738.68"/>
    <x v="3"/>
    <n v="88432.08"/>
    <n v="8843.2080000000005"/>
    <n v="79588.872000000003"/>
    <n v="62079.320160000003"/>
    <n v="17509.55184"/>
    <n v="22"/>
    <s v="UPI"/>
  </r>
  <r>
    <s v="ORD0608"/>
    <x v="143"/>
    <x v="2"/>
    <n v="10"/>
    <s v="CUST0282"/>
    <x v="8"/>
    <x v="1"/>
    <x v="5"/>
    <x v="14"/>
    <n v="5"/>
    <n v="24002.11"/>
    <x v="5"/>
    <n v="120010.55"/>
    <n v="36003.165000000001"/>
    <n v="84007.385000000009"/>
    <n v="57125.02180000001"/>
    <n v="26882.3632"/>
    <n v="32"/>
    <s v="Net Banking"/>
  </r>
  <r>
    <s v="ORD0609"/>
    <x v="3"/>
    <x v="3"/>
    <n v="2"/>
    <s v="CUST0097"/>
    <x v="0"/>
    <x v="0"/>
    <x v="3"/>
    <x v="17"/>
    <n v="1"/>
    <n v="1794.29"/>
    <x v="3"/>
    <n v="1794.29"/>
    <n v="179.429"/>
    <n v="1614.8610000000001"/>
    <n v="936.61937999999986"/>
    <n v="678.24162000000001"/>
    <n v="42.000000000000007"/>
    <s v="Credit Card"/>
  </r>
  <r>
    <s v="ORD0610"/>
    <x v="40"/>
    <x v="3"/>
    <n v="2"/>
    <s v="CUST0169"/>
    <x v="0"/>
    <x v="1"/>
    <x v="3"/>
    <x v="18"/>
    <n v="7"/>
    <n v="1619.83"/>
    <x v="3"/>
    <n v="11338.81"/>
    <n v="1133.8810000000001"/>
    <n v="10204.929"/>
    <n v="5918.8588199999986"/>
    <n v="4286.0701800000006"/>
    <n v="42.000000000000007"/>
    <s v="Credit Card"/>
  </r>
  <r>
    <s v="ORD0611"/>
    <x v="300"/>
    <x v="3"/>
    <n v="2"/>
    <s v="CUST0270"/>
    <x v="6"/>
    <x v="0"/>
    <x v="5"/>
    <x v="20"/>
    <n v="3"/>
    <n v="4053.33"/>
    <x v="3"/>
    <n v="12159.99"/>
    <n v="1215.999"/>
    <n v="10943.991"/>
    <n v="7441.913880000001"/>
    <n v="3502.077119999999"/>
    <n v="31.999999999999989"/>
    <s v="Credit Card"/>
  </r>
  <r>
    <s v="ORD0612"/>
    <x v="218"/>
    <x v="10"/>
    <n v="8"/>
    <s v="CUST0097"/>
    <x v="2"/>
    <x v="1"/>
    <x v="4"/>
    <x v="26"/>
    <n v="4"/>
    <n v="684.73"/>
    <x v="4"/>
    <n v="2738.92"/>
    <n v="136.946"/>
    <n v="2601.9740000000002"/>
    <n v="1873.42128"/>
    <n v="728.55272000000014"/>
    <n v="28"/>
    <s v="Debit Card"/>
  </r>
  <r>
    <s v="ORD0613"/>
    <x v="124"/>
    <x v="6"/>
    <n v="7"/>
    <s v="CUST0187"/>
    <x v="4"/>
    <x v="0"/>
    <x v="2"/>
    <x v="27"/>
    <n v="7"/>
    <n v="51280.72"/>
    <x v="1"/>
    <n v="358965.04"/>
    <n v="53844.756000000001"/>
    <n v="305120.28399999999"/>
    <n v="237993.82152000011"/>
    <n v="67126.462479999987"/>
    <n v="21.999999999999989"/>
    <s v="Cash"/>
  </r>
  <r>
    <s v="ORD0614"/>
    <x v="140"/>
    <x v="0"/>
    <n v="4"/>
    <s v="CUST0203"/>
    <x v="2"/>
    <x v="2"/>
    <x v="1"/>
    <x v="7"/>
    <n v="7"/>
    <n v="857.84"/>
    <x v="3"/>
    <n v="6004.88"/>
    <n v="600.48800000000006"/>
    <n v="5404.3919999999998"/>
    <n v="2810.2838400000001"/>
    <n v="2594.1081600000002"/>
    <n v="48"/>
    <s v="Debit Card"/>
  </r>
  <r>
    <s v="ORD0615"/>
    <x v="34"/>
    <x v="0"/>
    <n v="4"/>
    <s v="CUST0120"/>
    <x v="8"/>
    <x v="2"/>
    <x v="4"/>
    <x v="9"/>
    <n v="1"/>
    <n v="142.66999999999999"/>
    <x v="4"/>
    <n v="142.66999999999999"/>
    <n v="7.1334999999999997"/>
    <n v="135.53649999999999"/>
    <n v="97.586279999999988"/>
    <n v="37.950220000000002"/>
    <n v="28"/>
    <s v="UPI"/>
  </r>
  <r>
    <s v="ORD0616"/>
    <x v="132"/>
    <x v="9"/>
    <n v="5"/>
    <s v="CUST0273"/>
    <x v="9"/>
    <x v="0"/>
    <x v="2"/>
    <x v="27"/>
    <n v="4"/>
    <n v="15025.11"/>
    <x v="3"/>
    <n v="60100.44"/>
    <n v="6010.0440000000008"/>
    <n v="54090.396000000001"/>
    <n v="42190.508880000001"/>
    <n v="11899.887119999999"/>
    <n v="22"/>
    <s v="Debit Card"/>
  </r>
  <r>
    <s v="ORD0617"/>
    <x v="203"/>
    <x v="7"/>
    <n v="12"/>
    <s v="CUST0274"/>
    <x v="2"/>
    <x v="2"/>
    <x v="1"/>
    <x v="7"/>
    <n v="2"/>
    <n v="3118.78"/>
    <x v="1"/>
    <n v="6237.56"/>
    <n v="935.63400000000001"/>
    <n v="5301.9260000000004"/>
    <n v="2757.0015199999998"/>
    <n v="2544.9244800000001"/>
    <n v="48"/>
    <s v="Credit Card"/>
  </r>
  <r>
    <s v="ORD0618"/>
    <x v="301"/>
    <x v="11"/>
    <n v="1"/>
    <s v="CUST0047"/>
    <x v="3"/>
    <x v="2"/>
    <x v="2"/>
    <x v="2"/>
    <n v="6"/>
    <n v="51309.95"/>
    <x v="3"/>
    <n v="307859.7"/>
    <n v="30785.97"/>
    <n v="277073.73"/>
    <n v="216117.50940000001"/>
    <n v="60956.220600000001"/>
    <n v="22"/>
    <s v="Cash"/>
  </r>
  <r>
    <s v="ORD0619"/>
    <x v="29"/>
    <x v="4"/>
    <n v="9"/>
    <s v="CUST0154"/>
    <x v="8"/>
    <x v="0"/>
    <x v="3"/>
    <x v="17"/>
    <n v="2"/>
    <n v="2306.1"/>
    <x v="3"/>
    <n v="4612.2"/>
    <n v="461.22"/>
    <n v="4150.9799999999996"/>
    <n v="2407.5684000000001"/>
    <n v="1743.4115999999999"/>
    <n v="42.000000000000007"/>
    <s v="Debit Card"/>
  </r>
  <r>
    <s v="ORD0620"/>
    <x v="147"/>
    <x v="2"/>
    <n v="10"/>
    <s v="CUST0184"/>
    <x v="7"/>
    <x v="1"/>
    <x v="3"/>
    <x v="24"/>
    <n v="1"/>
    <n v="818.16"/>
    <x v="3"/>
    <n v="818.16"/>
    <n v="81.816000000000003"/>
    <n v="736.34399999999994"/>
    <n v="427.07951999999989"/>
    <n v="309.26447999999999"/>
    <n v="42.000000000000007"/>
    <s v="Credit Card"/>
  </r>
  <r>
    <s v="ORD0621"/>
    <x v="214"/>
    <x v="7"/>
    <n v="12"/>
    <s v="CUST0189"/>
    <x v="5"/>
    <x v="0"/>
    <x v="0"/>
    <x v="15"/>
    <n v="4"/>
    <n v="5675.46"/>
    <x v="1"/>
    <n v="22701.84"/>
    <n v="3405.2759999999998"/>
    <n v="19296.563999999998"/>
    <n v="10613.110199999999"/>
    <n v="8683.4537999999993"/>
    <n v="45"/>
    <s v="UPI"/>
  </r>
  <r>
    <s v="ORD0622"/>
    <x v="159"/>
    <x v="11"/>
    <n v="1"/>
    <s v="CUST0157"/>
    <x v="0"/>
    <x v="0"/>
    <x v="5"/>
    <x v="14"/>
    <n v="6"/>
    <n v="17659.52"/>
    <x v="3"/>
    <n v="105957.12"/>
    <n v="10595.712"/>
    <n v="95361.407999999996"/>
    <n v="64845.757440000001"/>
    <n v="30515.650559999991"/>
    <n v="32"/>
    <s v="UPI"/>
  </r>
  <r>
    <s v="ORD0623"/>
    <x v="136"/>
    <x v="5"/>
    <n v="11"/>
    <s v="CUST0026"/>
    <x v="3"/>
    <x v="2"/>
    <x v="3"/>
    <x v="8"/>
    <n v="2"/>
    <n v="589.75"/>
    <x v="4"/>
    <n v="1179.5"/>
    <n v="58.975000000000001"/>
    <n v="1120.5250000000001"/>
    <n v="649.90449999999998"/>
    <n v="470.62050000000011"/>
    <n v="42.000000000000007"/>
    <s v="Debit Card"/>
  </r>
  <r>
    <s v="ORD0624"/>
    <x v="183"/>
    <x v="1"/>
    <n v="3"/>
    <s v="CUST0286"/>
    <x v="8"/>
    <x v="0"/>
    <x v="1"/>
    <x v="6"/>
    <n v="2"/>
    <n v="3358.54"/>
    <x v="3"/>
    <n v="6717.08"/>
    <n v="671.70800000000008"/>
    <n v="6045.3719999999994"/>
    <n v="3143.5934400000001"/>
    <n v="2901.7785600000002"/>
    <n v="48"/>
    <s v="UPI"/>
  </r>
  <r>
    <s v="ORD0625"/>
    <x v="265"/>
    <x v="4"/>
    <n v="9"/>
    <s v="CUST0066"/>
    <x v="2"/>
    <x v="2"/>
    <x v="4"/>
    <x v="9"/>
    <n v="6"/>
    <n v="563.74"/>
    <x v="4"/>
    <n v="3382.44"/>
    <n v="169.12200000000001"/>
    <n v="3213.3180000000002"/>
    <n v="2313.58896"/>
    <n v="899.72904000000017"/>
    <n v="28"/>
    <s v="UPI"/>
  </r>
  <r>
    <s v="ORD0626"/>
    <x v="302"/>
    <x v="4"/>
    <n v="9"/>
    <s v="CUST0183"/>
    <x v="1"/>
    <x v="0"/>
    <x v="0"/>
    <x v="4"/>
    <n v="2"/>
    <n v="1342.29"/>
    <x v="1"/>
    <n v="2684.58"/>
    <n v="402.68700000000001"/>
    <n v="2281.893"/>
    <n v="1255.04115"/>
    <n v="1026.85185"/>
    <n v="45"/>
    <s v="Debit Card"/>
  </r>
  <r>
    <s v="ORD0627"/>
    <x v="59"/>
    <x v="8"/>
    <n v="6"/>
    <s v="CUST0278"/>
    <x v="4"/>
    <x v="1"/>
    <x v="0"/>
    <x v="19"/>
    <n v="5"/>
    <n v="3336.22"/>
    <x v="3"/>
    <n v="16681.099999999999"/>
    <n v="1668.11"/>
    <n v="15012.99"/>
    <n v="8257.1445000000003"/>
    <n v="6755.8454999999976"/>
    <n v="44.999999999999993"/>
    <s v="Debit Card"/>
  </r>
  <r>
    <s v="ORD0628"/>
    <x v="255"/>
    <x v="1"/>
    <n v="3"/>
    <s v="CUST0135"/>
    <x v="9"/>
    <x v="1"/>
    <x v="3"/>
    <x v="18"/>
    <n v="6"/>
    <n v="596.78"/>
    <x v="0"/>
    <n v="3580.68"/>
    <n v="716.13599999999997"/>
    <n v="2864.5439999999999"/>
    <n v="1661.43552"/>
    <n v="1203.1084800000001"/>
    <n v="42.000000000000007"/>
    <s v="Credit Card"/>
  </r>
  <r>
    <s v="ORD0629"/>
    <x v="243"/>
    <x v="1"/>
    <n v="3"/>
    <s v="CUST0017"/>
    <x v="2"/>
    <x v="2"/>
    <x v="1"/>
    <x v="7"/>
    <n v="5"/>
    <n v="593.04999999999995"/>
    <x v="4"/>
    <n v="2965.25"/>
    <n v="148.26249999999999"/>
    <n v="2816.9875000000002"/>
    <n v="1464.8335"/>
    <n v="1352.154"/>
    <n v="48"/>
    <s v="UPI"/>
  </r>
  <r>
    <s v="ORD0630"/>
    <x v="55"/>
    <x v="4"/>
    <n v="9"/>
    <s v="CUST0014"/>
    <x v="0"/>
    <x v="0"/>
    <x v="4"/>
    <x v="26"/>
    <n v="2"/>
    <n v="816.97"/>
    <x v="3"/>
    <n v="1633.94"/>
    <n v="163.39400000000001"/>
    <n v="1470.546"/>
    <n v="1058.79312"/>
    <n v="411.75288"/>
    <n v="28"/>
    <s v="Cash"/>
  </r>
  <r>
    <s v="ORD0631"/>
    <x v="139"/>
    <x v="2"/>
    <n v="10"/>
    <s v="CUST0122"/>
    <x v="8"/>
    <x v="2"/>
    <x v="0"/>
    <x v="0"/>
    <n v="7"/>
    <n v="1923.97"/>
    <x v="2"/>
    <n v="13467.79"/>
    <n v="0"/>
    <n v="13467.79"/>
    <n v="7407.2845000000007"/>
    <n v="6060.5055000000002"/>
    <n v="45"/>
    <s v="Debit Card"/>
  </r>
  <r>
    <s v="ORD0632"/>
    <x v="11"/>
    <x v="4"/>
    <n v="9"/>
    <s v="CUST0106"/>
    <x v="9"/>
    <x v="0"/>
    <x v="0"/>
    <x v="15"/>
    <n v="7"/>
    <n v="3803.21"/>
    <x v="4"/>
    <n v="26622.47"/>
    <n v="1331.1234999999999"/>
    <n v="25291.3465"/>
    <n v="13910.240575"/>
    <n v="11381.105925"/>
    <n v="44.999999999999993"/>
    <s v="Cash"/>
  </r>
  <r>
    <s v="ORD0633"/>
    <x v="24"/>
    <x v="7"/>
    <n v="12"/>
    <s v="CUST0262"/>
    <x v="1"/>
    <x v="2"/>
    <x v="1"/>
    <x v="25"/>
    <n v="3"/>
    <n v="3244.59"/>
    <x v="0"/>
    <n v="9733.77"/>
    <n v="1946.7539999999999"/>
    <n v="7787.0160000000014"/>
    <n v="4049.2483200000011"/>
    <n v="3737.7676799999999"/>
    <n v="48"/>
    <s v="Debit Card"/>
  </r>
  <r>
    <s v="ORD0634"/>
    <x v="71"/>
    <x v="9"/>
    <n v="5"/>
    <s v="CUST0228"/>
    <x v="2"/>
    <x v="2"/>
    <x v="2"/>
    <x v="29"/>
    <n v="2"/>
    <n v="38133.43"/>
    <x v="3"/>
    <n v="76266.86"/>
    <n v="7626.6860000000006"/>
    <n v="68640.173999999999"/>
    <n v="53539.335720000003"/>
    <n v="15100.83828"/>
    <n v="21.999999999999989"/>
    <s v="Cash"/>
  </r>
  <r>
    <s v="ORD0635"/>
    <x v="221"/>
    <x v="7"/>
    <n v="12"/>
    <s v="CUST0149"/>
    <x v="4"/>
    <x v="0"/>
    <x v="0"/>
    <x v="4"/>
    <n v="5"/>
    <n v="4120.6899999999996"/>
    <x v="3"/>
    <n v="20603.45"/>
    <n v="2060.3449999999998"/>
    <n v="18543.105"/>
    <n v="10198.70775"/>
    <n v="8344.3972499999982"/>
    <n v="45"/>
    <s v="UPI"/>
  </r>
  <r>
    <s v="ORD0636"/>
    <x v="187"/>
    <x v="9"/>
    <n v="5"/>
    <s v="CUST0086"/>
    <x v="2"/>
    <x v="1"/>
    <x v="5"/>
    <x v="20"/>
    <n v="6"/>
    <n v="21319.35"/>
    <x v="0"/>
    <n v="127916.1"/>
    <n v="25583.22"/>
    <n v="102332.88"/>
    <n v="69586.358399999997"/>
    <n v="32746.521599999989"/>
    <n v="32"/>
    <s v="UPI"/>
  </r>
  <r>
    <s v="ORD0637"/>
    <x v="58"/>
    <x v="3"/>
    <n v="2"/>
    <s v="CUST0200"/>
    <x v="9"/>
    <x v="0"/>
    <x v="5"/>
    <x v="16"/>
    <n v="6"/>
    <n v="13412.9"/>
    <x v="2"/>
    <n v="80477.399999999994"/>
    <n v="0"/>
    <n v="80477.399999999994"/>
    <n v="54724.631999999998"/>
    <n v="25752.768"/>
    <n v="32"/>
    <s v="UPI"/>
  </r>
  <r>
    <s v="ORD0638"/>
    <x v="189"/>
    <x v="3"/>
    <n v="2"/>
    <s v="CUST0244"/>
    <x v="2"/>
    <x v="1"/>
    <x v="2"/>
    <x v="27"/>
    <n v="3"/>
    <n v="52631.01"/>
    <x v="0"/>
    <n v="157893.03"/>
    <n v="31578.606"/>
    <n v="126314.424"/>
    <n v="98525.250719999996"/>
    <n v="27789.173279999999"/>
    <n v="22"/>
    <s v="UPI"/>
  </r>
  <r>
    <s v="ORD0639"/>
    <x v="16"/>
    <x v="8"/>
    <n v="6"/>
    <s v="CUST0226"/>
    <x v="3"/>
    <x v="0"/>
    <x v="5"/>
    <x v="16"/>
    <n v="2"/>
    <n v="15478.18"/>
    <x v="2"/>
    <n v="30956.36"/>
    <n v="0"/>
    <n v="30956.36"/>
    <n v="21050.324799999999"/>
    <n v="9906.0351999999984"/>
    <n v="32"/>
    <s v="UPI"/>
  </r>
  <r>
    <s v="ORD0640"/>
    <x v="303"/>
    <x v="10"/>
    <n v="8"/>
    <s v="CUST0084"/>
    <x v="7"/>
    <x v="1"/>
    <x v="5"/>
    <x v="20"/>
    <n v="2"/>
    <n v="4762.66"/>
    <x v="3"/>
    <n v="9525.32"/>
    <n v="952.53200000000004"/>
    <n v="8572.7880000000005"/>
    <n v="5829.4958399999996"/>
    <n v="2743.29216"/>
    <n v="32"/>
    <s v="Net Banking"/>
  </r>
  <r>
    <s v="ORD0641"/>
    <x v="259"/>
    <x v="4"/>
    <n v="9"/>
    <s v="CUST0030"/>
    <x v="9"/>
    <x v="0"/>
    <x v="5"/>
    <x v="14"/>
    <n v="6"/>
    <n v="10379.469999999999"/>
    <x v="1"/>
    <n v="62276.819999999992"/>
    <n v="9341.5229999999992"/>
    <n v="52935.296999999991"/>
    <n v="35996.001959999987"/>
    <n v="16939.295040000001"/>
    <n v="32"/>
    <s v="UPI"/>
  </r>
  <r>
    <s v="ORD0642"/>
    <x v="247"/>
    <x v="9"/>
    <n v="5"/>
    <s v="CUST0013"/>
    <x v="1"/>
    <x v="2"/>
    <x v="5"/>
    <x v="14"/>
    <n v="2"/>
    <n v="15204.4"/>
    <x v="3"/>
    <n v="30408.799999999999"/>
    <n v="3040.88"/>
    <n v="27367.919999999998"/>
    <n v="18610.185600000001"/>
    <n v="8757.7343999999975"/>
    <n v="32"/>
    <s v="Credit Card"/>
  </r>
  <r>
    <s v="ORD0643"/>
    <x v="261"/>
    <x v="6"/>
    <n v="7"/>
    <s v="CUST0208"/>
    <x v="8"/>
    <x v="0"/>
    <x v="1"/>
    <x v="7"/>
    <n v="6"/>
    <n v="1790.66"/>
    <x v="0"/>
    <n v="10743.96"/>
    <n v="2148.7919999999999"/>
    <n v="8595.1680000000015"/>
    <n v="4469.487360000001"/>
    <n v="4125.6806399999996"/>
    <n v="48"/>
    <s v="UPI"/>
  </r>
  <r>
    <s v="ORD0644"/>
    <x v="87"/>
    <x v="11"/>
    <n v="1"/>
    <s v="CUST0285"/>
    <x v="7"/>
    <x v="0"/>
    <x v="2"/>
    <x v="2"/>
    <n v="5"/>
    <n v="17382.16"/>
    <x v="2"/>
    <n v="86910.8"/>
    <n v="0"/>
    <n v="86910.8"/>
    <n v="67790.423999999999"/>
    <n v="19120.376"/>
    <n v="22"/>
    <s v="Credit Card"/>
  </r>
  <r>
    <s v="ORD0645"/>
    <x v="37"/>
    <x v="4"/>
    <n v="9"/>
    <s v="CUST0077"/>
    <x v="9"/>
    <x v="0"/>
    <x v="0"/>
    <x v="4"/>
    <n v="2"/>
    <n v="588.15"/>
    <x v="5"/>
    <n v="1176.3"/>
    <n v="352.89"/>
    <n v="823.41"/>
    <n v="452.87549999999999"/>
    <n v="370.53449999999992"/>
    <n v="44.999999999999993"/>
    <s v="Credit Card"/>
  </r>
  <r>
    <s v="ORD0646"/>
    <x v="28"/>
    <x v="9"/>
    <n v="5"/>
    <s v="CUST0016"/>
    <x v="0"/>
    <x v="0"/>
    <x v="1"/>
    <x v="6"/>
    <n v="7"/>
    <n v="3277.47"/>
    <x v="1"/>
    <n v="22942.29"/>
    <n v="3441.343499999999"/>
    <n v="19500.946499999998"/>
    <n v="10140.492179999999"/>
    <n v="9360.4543199999989"/>
    <n v="48"/>
    <s v="UPI"/>
  </r>
  <r>
    <s v="ORD0647"/>
    <x v="300"/>
    <x v="3"/>
    <n v="2"/>
    <s v="CUST0169"/>
    <x v="9"/>
    <x v="0"/>
    <x v="1"/>
    <x v="1"/>
    <n v="5"/>
    <n v="2340.65"/>
    <x v="6"/>
    <n v="11703.25"/>
    <n v="2925.8125"/>
    <n v="8777.4375"/>
    <n v="4564.2674999999999"/>
    <n v="4213.17"/>
    <n v="48"/>
    <s v="Credit Card"/>
  </r>
  <r>
    <s v="ORD0648"/>
    <x v="211"/>
    <x v="4"/>
    <n v="9"/>
    <s v="CUST0198"/>
    <x v="8"/>
    <x v="1"/>
    <x v="0"/>
    <x v="4"/>
    <n v="3"/>
    <n v="2155.31"/>
    <x v="4"/>
    <n v="6465.93"/>
    <n v="323.29649999999998"/>
    <n v="6142.6334999999999"/>
    <n v="3378.448425"/>
    <n v="2764.1850749999999"/>
    <n v="45"/>
    <s v="Credit Card"/>
  </r>
  <r>
    <s v="ORD0649"/>
    <x v="229"/>
    <x v="9"/>
    <n v="5"/>
    <s v="CUST0219"/>
    <x v="0"/>
    <x v="2"/>
    <x v="1"/>
    <x v="25"/>
    <n v="5"/>
    <n v="1746.24"/>
    <x v="4"/>
    <n v="8731.2000000000007"/>
    <n v="436.56000000000012"/>
    <n v="8294.6400000000012"/>
    <n v="4313.2128000000012"/>
    <n v="3981.4272000000001"/>
    <n v="47.999999999999993"/>
    <s v="Net Banking"/>
  </r>
  <r>
    <s v="ORD0650"/>
    <x v="19"/>
    <x v="4"/>
    <n v="9"/>
    <s v="CUST0090"/>
    <x v="9"/>
    <x v="2"/>
    <x v="0"/>
    <x v="4"/>
    <n v="7"/>
    <n v="615.54999999999995"/>
    <x v="2"/>
    <n v="4308.8499999999995"/>
    <n v="0"/>
    <n v="4308.8499999999995"/>
    <n v="2369.8674999999998"/>
    <n v="1938.9825000000001"/>
    <n v="44.999999999999993"/>
    <s v="UPI"/>
  </r>
  <r>
    <s v="ORD0651"/>
    <x v="51"/>
    <x v="11"/>
    <n v="1"/>
    <s v="CUST0099"/>
    <x v="9"/>
    <x v="0"/>
    <x v="1"/>
    <x v="1"/>
    <n v="6"/>
    <n v="2294.04"/>
    <x v="1"/>
    <n v="13764.24"/>
    <n v="2064.636"/>
    <n v="11699.603999999999"/>
    <n v="6083.7940799999997"/>
    <n v="5615.8099199999997"/>
    <n v="48"/>
    <s v="Net Banking"/>
  </r>
  <r>
    <s v="ORD0652"/>
    <x v="0"/>
    <x v="0"/>
    <n v="4"/>
    <s v="CUST0042"/>
    <x v="5"/>
    <x v="2"/>
    <x v="5"/>
    <x v="28"/>
    <n v="5"/>
    <n v="17723.89"/>
    <x v="3"/>
    <n v="88619.45"/>
    <n v="8861.9449999999997"/>
    <n v="79757.505000000005"/>
    <n v="54235.103400000007"/>
    <n v="25522.401600000001"/>
    <n v="32"/>
    <s v="UPI"/>
  </r>
  <r>
    <s v="ORD0653"/>
    <x v="304"/>
    <x v="6"/>
    <n v="7"/>
    <s v="CUST0166"/>
    <x v="9"/>
    <x v="2"/>
    <x v="1"/>
    <x v="25"/>
    <n v="3"/>
    <n v="875.85"/>
    <x v="0"/>
    <n v="2627.55"/>
    <n v="525.5100000000001"/>
    <n v="2102.04"/>
    <n v="1093.0608"/>
    <n v="1008.9792"/>
    <n v="48"/>
    <s v="Debit Card"/>
  </r>
  <r>
    <s v="ORD0654"/>
    <x v="54"/>
    <x v="11"/>
    <n v="1"/>
    <s v="CUST0292"/>
    <x v="3"/>
    <x v="1"/>
    <x v="0"/>
    <x v="4"/>
    <n v="6"/>
    <n v="5906.21"/>
    <x v="1"/>
    <n v="35437.26"/>
    <n v="5315.5889999999999"/>
    <n v="30121.670999999998"/>
    <n v="16566.91905"/>
    <n v="13554.75195"/>
    <n v="44.999999999999993"/>
    <s v="Credit Card"/>
  </r>
  <r>
    <s v="ORD0655"/>
    <x v="39"/>
    <x v="0"/>
    <n v="4"/>
    <s v="CUST0063"/>
    <x v="3"/>
    <x v="1"/>
    <x v="3"/>
    <x v="5"/>
    <n v="1"/>
    <n v="2186.88"/>
    <x v="4"/>
    <n v="2186.88"/>
    <n v="109.34399999999999"/>
    <n v="2077.5360000000001"/>
    <n v="1204.9708800000001"/>
    <n v="872.56512000000021"/>
    <n v="42.000000000000007"/>
    <s v="UPI"/>
  </r>
  <r>
    <s v="ORD0656"/>
    <x v="220"/>
    <x v="4"/>
    <n v="9"/>
    <s v="CUST0028"/>
    <x v="2"/>
    <x v="2"/>
    <x v="1"/>
    <x v="1"/>
    <n v="1"/>
    <n v="640.04"/>
    <x v="4"/>
    <n v="640.04"/>
    <n v="32.002000000000002"/>
    <n v="608.03800000000001"/>
    <n v="316.17975999999999"/>
    <n v="291.85824000000002"/>
    <n v="47.999999999999993"/>
    <s v="Credit Card"/>
  </r>
  <r>
    <s v="ORD0657"/>
    <x v="141"/>
    <x v="11"/>
    <n v="1"/>
    <s v="CUST0174"/>
    <x v="2"/>
    <x v="0"/>
    <x v="5"/>
    <x v="20"/>
    <n v="1"/>
    <n v="11499.62"/>
    <x v="2"/>
    <n v="11499.62"/>
    <n v="0"/>
    <n v="11499.62"/>
    <n v="7819.7416000000012"/>
    <n v="3679.8784000000001"/>
    <n v="32"/>
    <s v="UPI"/>
  </r>
  <r>
    <s v="ORD0658"/>
    <x v="139"/>
    <x v="2"/>
    <n v="10"/>
    <s v="CUST0199"/>
    <x v="0"/>
    <x v="0"/>
    <x v="4"/>
    <x v="21"/>
    <n v="4"/>
    <n v="856.26"/>
    <x v="3"/>
    <n v="3425.04"/>
    <n v="342.50400000000002"/>
    <n v="3082.5360000000001"/>
    <n v="2219.4259200000001"/>
    <n v="863.11007999999993"/>
    <n v="28"/>
    <s v="Debit Card"/>
  </r>
  <r>
    <s v="ORD0659"/>
    <x v="138"/>
    <x v="2"/>
    <n v="10"/>
    <s v="CUST0080"/>
    <x v="3"/>
    <x v="1"/>
    <x v="5"/>
    <x v="16"/>
    <n v="7"/>
    <n v="22973.43"/>
    <x v="1"/>
    <n v="160814.01"/>
    <n v="24122.101500000001"/>
    <n v="136691.90849999999"/>
    <n v="92950.49778000002"/>
    <n v="43741.41072"/>
    <n v="32"/>
    <s v="Debit Card"/>
  </r>
  <r>
    <s v="ORD0660"/>
    <x v="305"/>
    <x v="6"/>
    <n v="7"/>
    <s v="CUST0124"/>
    <x v="8"/>
    <x v="1"/>
    <x v="4"/>
    <x v="9"/>
    <n v="1"/>
    <n v="145.71"/>
    <x v="0"/>
    <n v="145.71"/>
    <n v="29.141999999999999"/>
    <n v="116.568"/>
    <n v="83.928960000000004"/>
    <n v="32.639040000000008"/>
    <n v="28"/>
    <s v="Cash"/>
  </r>
  <r>
    <s v="ORD0661"/>
    <x v="223"/>
    <x v="7"/>
    <n v="12"/>
    <s v="CUST0084"/>
    <x v="0"/>
    <x v="2"/>
    <x v="0"/>
    <x v="19"/>
    <n v="7"/>
    <n v="1713.92"/>
    <x v="4"/>
    <n v="11997.44"/>
    <n v="599.87200000000007"/>
    <n v="11397.567999999999"/>
    <n v="6268.6624000000011"/>
    <n v="5128.9056"/>
    <n v="44.999999999999993"/>
    <s v="UPI"/>
  </r>
  <r>
    <s v="ORD0662"/>
    <x v="109"/>
    <x v="3"/>
    <n v="2"/>
    <s v="CUST0062"/>
    <x v="6"/>
    <x v="1"/>
    <x v="1"/>
    <x v="7"/>
    <n v="3"/>
    <n v="1206.18"/>
    <x v="4"/>
    <n v="3618.54"/>
    <n v="180.92699999999999"/>
    <n v="3437.6129999999998"/>
    <n v="1787.5587599999999"/>
    <n v="1650.0542399999999"/>
    <n v="48"/>
    <s v="Cash"/>
  </r>
  <r>
    <s v="ORD0663"/>
    <x v="112"/>
    <x v="11"/>
    <n v="1"/>
    <s v="CUST0194"/>
    <x v="9"/>
    <x v="1"/>
    <x v="2"/>
    <x v="27"/>
    <n v="4"/>
    <n v="12292.18"/>
    <x v="3"/>
    <n v="49168.72"/>
    <n v="4916.8720000000003"/>
    <n v="44251.847999999998"/>
    <n v="34516.441440000002"/>
    <n v="9735.4065599999958"/>
    <n v="21.999999999999989"/>
    <s v="Credit Card"/>
  </r>
  <r>
    <s v="ORD0664"/>
    <x v="271"/>
    <x v="2"/>
    <n v="10"/>
    <s v="CUST0128"/>
    <x v="7"/>
    <x v="2"/>
    <x v="1"/>
    <x v="23"/>
    <n v="7"/>
    <n v="3140.76"/>
    <x v="3"/>
    <n v="21985.32"/>
    <n v="2198.5320000000002"/>
    <n v="19786.788"/>
    <n v="10289.12976"/>
    <n v="9497.6582400000007"/>
    <n v="48.000000000000007"/>
    <s v="Cash"/>
  </r>
  <r>
    <s v="ORD0665"/>
    <x v="66"/>
    <x v="10"/>
    <n v="8"/>
    <s v="CUST0145"/>
    <x v="9"/>
    <x v="0"/>
    <x v="4"/>
    <x v="21"/>
    <n v="5"/>
    <n v="930.75"/>
    <x v="2"/>
    <n v="4653.75"/>
    <n v="0"/>
    <n v="4653.75"/>
    <n v="3350.7"/>
    <n v="1303.05"/>
    <n v="28"/>
    <s v="Cash"/>
  </r>
  <r>
    <s v="ORD0666"/>
    <x v="74"/>
    <x v="2"/>
    <n v="10"/>
    <s v="CUST0161"/>
    <x v="1"/>
    <x v="2"/>
    <x v="4"/>
    <x v="9"/>
    <n v="3"/>
    <n v="81.17"/>
    <x v="0"/>
    <n v="243.51"/>
    <n v="48.701999999999998"/>
    <n v="194.80799999999999"/>
    <n v="140.26176000000001"/>
    <n v="54.546240000000012"/>
    <n v="28.000000000000011"/>
    <s v="Debit Card"/>
  </r>
  <r>
    <s v="ORD0667"/>
    <x v="306"/>
    <x v="2"/>
    <n v="10"/>
    <s v="CUST0071"/>
    <x v="2"/>
    <x v="1"/>
    <x v="5"/>
    <x v="16"/>
    <n v="4"/>
    <n v="11257.19"/>
    <x v="6"/>
    <n v="45028.76"/>
    <n v="11257.19"/>
    <n v="33771.57"/>
    <n v="22964.667600000001"/>
    <n v="10806.902400000001"/>
    <n v="32"/>
    <s v="Cash"/>
  </r>
  <r>
    <s v="ORD0668"/>
    <x v="28"/>
    <x v="9"/>
    <n v="5"/>
    <s v="CUST0025"/>
    <x v="9"/>
    <x v="2"/>
    <x v="4"/>
    <x v="26"/>
    <n v="7"/>
    <n v="108.08"/>
    <x v="3"/>
    <n v="756.56"/>
    <n v="75.655999999999992"/>
    <n v="680.904"/>
    <n v="490.25088"/>
    <n v="190.65312"/>
    <n v="28"/>
    <s v="UPI"/>
  </r>
  <r>
    <s v="ORD0669"/>
    <x v="121"/>
    <x v="0"/>
    <n v="4"/>
    <s v="CUST0277"/>
    <x v="7"/>
    <x v="2"/>
    <x v="3"/>
    <x v="18"/>
    <n v="1"/>
    <n v="2497.1"/>
    <x v="2"/>
    <n v="2497.1"/>
    <n v="0"/>
    <n v="2497.1"/>
    <n v="1448.318"/>
    <n v="1048.7819999999999"/>
    <n v="42.000000000000007"/>
    <s v="UPI"/>
  </r>
  <r>
    <s v="ORD0670"/>
    <x v="28"/>
    <x v="9"/>
    <n v="5"/>
    <s v="CUST0172"/>
    <x v="4"/>
    <x v="2"/>
    <x v="1"/>
    <x v="25"/>
    <n v="6"/>
    <n v="410.87"/>
    <x v="2"/>
    <n v="2465.2199999999998"/>
    <n v="0"/>
    <n v="2465.2199999999998"/>
    <n v="1281.9143999999999"/>
    <n v="1183.3055999999999"/>
    <n v="48"/>
    <s v="Net Banking"/>
  </r>
  <r>
    <s v="ORD0671"/>
    <x v="307"/>
    <x v="1"/>
    <n v="3"/>
    <s v="CUST0118"/>
    <x v="2"/>
    <x v="0"/>
    <x v="2"/>
    <x v="2"/>
    <n v="1"/>
    <n v="43637.32"/>
    <x v="6"/>
    <n v="43637.32"/>
    <n v="10909.33"/>
    <n v="32727.99"/>
    <n v="25527.832200000001"/>
    <n v="7200.1577999999972"/>
    <n v="21.999999999999989"/>
    <s v="Cash"/>
  </r>
  <r>
    <s v="ORD0672"/>
    <x v="274"/>
    <x v="5"/>
    <n v="11"/>
    <s v="CUST0100"/>
    <x v="7"/>
    <x v="2"/>
    <x v="2"/>
    <x v="22"/>
    <n v="3"/>
    <n v="22685.02"/>
    <x v="3"/>
    <n v="68055.06"/>
    <n v="6805.5060000000003"/>
    <n v="61249.553999999996"/>
    <n v="47774.652119999999"/>
    <n v="13474.901879999999"/>
    <n v="22"/>
    <s v="Credit Card"/>
  </r>
  <r>
    <s v="ORD0673"/>
    <x v="259"/>
    <x v="4"/>
    <n v="9"/>
    <s v="CUST0197"/>
    <x v="6"/>
    <x v="2"/>
    <x v="3"/>
    <x v="24"/>
    <n v="7"/>
    <n v="1379.98"/>
    <x v="3"/>
    <n v="9659.86"/>
    <n v="965.9860000000001"/>
    <n v="8693.8739999999998"/>
    <n v="5042.4469199999994"/>
    <n v="3651.4270799999999"/>
    <n v="42.000000000000007"/>
    <s v="Cash"/>
  </r>
  <r>
    <s v="ORD0674"/>
    <x v="308"/>
    <x v="5"/>
    <n v="11"/>
    <s v="CUST0268"/>
    <x v="4"/>
    <x v="2"/>
    <x v="4"/>
    <x v="11"/>
    <n v="5"/>
    <n v="642.44000000000005"/>
    <x v="5"/>
    <n v="3212.2"/>
    <n v="963.66000000000008"/>
    <n v="2248.54"/>
    <n v="1618.9487999999999"/>
    <n v="629.59120000000007"/>
    <n v="28"/>
    <s v="Debit Card"/>
  </r>
  <r>
    <s v="ORD0675"/>
    <x v="143"/>
    <x v="2"/>
    <n v="10"/>
    <s v="CUST0271"/>
    <x v="1"/>
    <x v="2"/>
    <x v="2"/>
    <x v="2"/>
    <n v="1"/>
    <n v="27776.66"/>
    <x v="3"/>
    <n v="27776.66"/>
    <n v="2777.6660000000002"/>
    <n v="24998.993999999999"/>
    <n v="19499.215319999999"/>
    <n v="5499.7786799999994"/>
    <n v="22"/>
    <s v="Debit Card"/>
  </r>
  <r>
    <s v="ORD0676"/>
    <x v="167"/>
    <x v="6"/>
    <n v="7"/>
    <s v="CUST0109"/>
    <x v="8"/>
    <x v="0"/>
    <x v="1"/>
    <x v="25"/>
    <n v="4"/>
    <n v="2528.12"/>
    <x v="4"/>
    <n v="10112.48"/>
    <n v="505.62400000000002"/>
    <n v="9606.8559999999998"/>
    <n v="4995.5651200000002"/>
    <n v="4611.2908799999996"/>
    <n v="48"/>
    <s v="Debit Card"/>
  </r>
  <r>
    <s v="ORD0677"/>
    <x v="35"/>
    <x v="0"/>
    <n v="4"/>
    <s v="CUST0027"/>
    <x v="4"/>
    <x v="1"/>
    <x v="4"/>
    <x v="21"/>
    <n v="7"/>
    <n v="637.76"/>
    <x v="3"/>
    <n v="4464.32"/>
    <n v="446.43200000000002"/>
    <n v="4017.8879999999999"/>
    <n v="2892.8793599999999"/>
    <n v="1125.00864"/>
    <n v="28"/>
    <s v="Net Banking"/>
  </r>
  <r>
    <s v="ORD0678"/>
    <x v="182"/>
    <x v="1"/>
    <n v="3"/>
    <s v="CUST0038"/>
    <x v="3"/>
    <x v="1"/>
    <x v="0"/>
    <x v="15"/>
    <n v="6"/>
    <n v="5592.05"/>
    <x v="1"/>
    <n v="33552.300000000003"/>
    <n v="5032.8450000000003"/>
    <n v="28519.455000000002"/>
    <n v="15685.70025"/>
    <n v="12833.75475"/>
    <n v="44.999999999999993"/>
    <s v="Debit Card"/>
  </r>
  <r>
    <s v="ORD0679"/>
    <x v="40"/>
    <x v="3"/>
    <n v="2"/>
    <s v="CUST0167"/>
    <x v="6"/>
    <x v="2"/>
    <x v="5"/>
    <x v="14"/>
    <n v="5"/>
    <n v="14064"/>
    <x v="1"/>
    <n v="70320"/>
    <n v="10548"/>
    <n v="59772"/>
    <n v="40644.960000000006"/>
    <n v="19127.03999999999"/>
    <n v="31.999999999999989"/>
    <s v="Cash"/>
  </r>
  <r>
    <s v="ORD0680"/>
    <x v="196"/>
    <x v="6"/>
    <n v="7"/>
    <s v="CUST0166"/>
    <x v="0"/>
    <x v="1"/>
    <x v="3"/>
    <x v="24"/>
    <n v="6"/>
    <n v="1750.65"/>
    <x v="4"/>
    <n v="10503.9"/>
    <n v="525.19500000000005"/>
    <n v="9978.7050000000017"/>
    <n v="5787.648900000001"/>
    <n v="4191.0561000000007"/>
    <n v="42"/>
    <s v="UPI"/>
  </r>
  <r>
    <s v="ORD0681"/>
    <x v="25"/>
    <x v="9"/>
    <n v="5"/>
    <s v="CUST0178"/>
    <x v="2"/>
    <x v="0"/>
    <x v="2"/>
    <x v="29"/>
    <n v="7"/>
    <n v="35988.129999999997"/>
    <x v="3"/>
    <n v="251916.91"/>
    <n v="25191.690999999999"/>
    <n v="226725.21900000001"/>
    <n v="176845.67082"/>
    <n v="49879.548179999983"/>
    <n v="21.999999999999989"/>
    <s v="Cash"/>
  </r>
  <r>
    <s v="ORD0682"/>
    <x v="15"/>
    <x v="7"/>
    <n v="12"/>
    <s v="CUST0122"/>
    <x v="8"/>
    <x v="1"/>
    <x v="5"/>
    <x v="28"/>
    <n v="2"/>
    <n v="12506.04"/>
    <x v="1"/>
    <n v="25012.080000000002"/>
    <n v="3751.8119999999999"/>
    <n v="21260.268"/>
    <n v="14456.982239999999"/>
    <n v="6803.2857600000007"/>
    <n v="32"/>
    <s v="Debit Card"/>
  </r>
  <r>
    <s v="ORD0683"/>
    <x v="219"/>
    <x v="4"/>
    <n v="9"/>
    <s v="CUST0045"/>
    <x v="2"/>
    <x v="1"/>
    <x v="3"/>
    <x v="5"/>
    <n v="7"/>
    <n v="1290.5"/>
    <x v="2"/>
    <n v="9033.5"/>
    <n v="0"/>
    <n v="9033.5"/>
    <n v="5239.4299999999994"/>
    <n v="3794.0700000000011"/>
    <n v="42.000000000000007"/>
    <s v="Cash"/>
  </r>
  <r>
    <s v="ORD0684"/>
    <x v="228"/>
    <x v="4"/>
    <n v="9"/>
    <s v="CUST0003"/>
    <x v="5"/>
    <x v="0"/>
    <x v="4"/>
    <x v="26"/>
    <n v="6"/>
    <n v="1020.38"/>
    <x v="3"/>
    <n v="6122.28"/>
    <n v="612.22799999999995"/>
    <n v="5510.0519999999997"/>
    <n v="3967.237439999999"/>
    <n v="1542.81456"/>
    <n v="28.000000000000011"/>
    <s v="Debit Card"/>
  </r>
  <r>
    <s v="ORD0685"/>
    <x v="67"/>
    <x v="1"/>
    <n v="3"/>
    <s v="CUST0269"/>
    <x v="1"/>
    <x v="0"/>
    <x v="1"/>
    <x v="6"/>
    <n v="4"/>
    <n v="1795.71"/>
    <x v="4"/>
    <n v="7182.84"/>
    <n v="359.14200000000011"/>
    <n v="6823.6980000000003"/>
    <n v="3548.32296"/>
    <n v="3275.3750399999999"/>
    <n v="48"/>
    <s v="Credit Card"/>
  </r>
  <r>
    <s v="ORD0686"/>
    <x v="66"/>
    <x v="10"/>
    <n v="8"/>
    <s v="CUST0219"/>
    <x v="7"/>
    <x v="2"/>
    <x v="2"/>
    <x v="29"/>
    <n v="4"/>
    <n v="20171.939999999999"/>
    <x v="3"/>
    <n v="80687.759999999995"/>
    <n v="8068.7759999999998"/>
    <n v="72618.983999999997"/>
    <n v="56642.807520000002"/>
    <n v="15976.176479999989"/>
    <n v="21.999999999999989"/>
    <s v="Debit Card"/>
  </r>
  <r>
    <s v="ORD0687"/>
    <x v="309"/>
    <x v="4"/>
    <n v="9"/>
    <s v="CUST0291"/>
    <x v="1"/>
    <x v="2"/>
    <x v="0"/>
    <x v="19"/>
    <n v="1"/>
    <n v="2168.06"/>
    <x v="1"/>
    <n v="2168.06"/>
    <n v="325.209"/>
    <n v="1842.8510000000001"/>
    <n v="1013.56805"/>
    <n v="829.28294999999991"/>
    <n v="44.999999999999993"/>
    <s v="Cash"/>
  </r>
  <r>
    <s v="ORD0688"/>
    <x v="79"/>
    <x v="2"/>
    <n v="10"/>
    <s v="CUST0232"/>
    <x v="8"/>
    <x v="1"/>
    <x v="4"/>
    <x v="21"/>
    <n v="5"/>
    <n v="463.63"/>
    <x v="1"/>
    <n v="2318.15"/>
    <n v="347.72250000000003"/>
    <n v="1970.4275"/>
    <n v="1418.7077999999999"/>
    <n v="551.7197000000001"/>
    <n v="28"/>
    <s v="UPI"/>
  </r>
  <r>
    <s v="ORD0689"/>
    <x v="198"/>
    <x v="4"/>
    <n v="9"/>
    <s v="CUST0171"/>
    <x v="2"/>
    <x v="0"/>
    <x v="2"/>
    <x v="2"/>
    <n v="5"/>
    <n v="31323.41"/>
    <x v="3"/>
    <n v="156617.04999999999"/>
    <n v="15661.705"/>
    <n v="140955.345"/>
    <n v="109945.1691"/>
    <n v="31010.175899999998"/>
    <n v="22"/>
    <s v="Debit Card"/>
  </r>
  <r>
    <s v="ORD0690"/>
    <x v="185"/>
    <x v="10"/>
    <n v="8"/>
    <s v="CUST0103"/>
    <x v="0"/>
    <x v="2"/>
    <x v="0"/>
    <x v="15"/>
    <n v="2"/>
    <n v="5911.49"/>
    <x v="6"/>
    <n v="11822.98"/>
    <n v="2955.7449999999999"/>
    <n v="8867.2350000000006"/>
    <n v="4876.9792500000003"/>
    <n v="3990.2557499999998"/>
    <n v="45"/>
    <s v="UPI"/>
  </r>
  <r>
    <s v="ORD0691"/>
    <x v="170"/>
    <x v="8"/>
    <n v="6"/>
    <s v="CUST0057"/>
    <x v="1"/>
    <x v="0"/>
    <x v="1"/>
    <x v="7"/>
    <n v="4"/>
    <n v="1953.88"/>
    <x v="3"/>
    <n v="7815.52"/>
    <n v="781.55200000000013"/>
    <n v="7033.9680000000008"/>
    <n v="3657.66336"/>
    <n v="3376.3046399999998"/>
    <n v="48"/>
    <s v="Debit Card"/>
  </r>
  <r>
    <s v="ORD0692"/>
    <x v="309"/>
    <x v="4"/>
    <n v="9"/>
    <s v="CUST0184"/>
    <x v="2"/>
    <x v="0"/>
    <x v="1"/>
    <x v="6"/>
    <n v="2"/>
    <n v="2111.73"/>
    <x v="6"/>
    <n v="4223.46"/>
    <n v="1055.865"/>
    <n v="3167.5949999999998"/>
    <n v="1647.1494"/>
    <n v="1520.4456"/>
    <n v="48"/>
    <s v="Credit Card"/>
  </r>
  <r>
    <s v="ORD0693"/>
    <x v="67"/>
    <x v="1"/>
    <n v="3"/>
    <s v="CUST0297"/>
    <x v="6"/>
    <x v="2"/>
    <x v="3"/>
    <x v="5"/>
    <n v="5"/>
    <n v="1280.8"/>
    <x v="3"/>
    <n v="6404"/>
    <n v="640.40000000000009"/>
    <n v="5763.6"/>
    <n v="3342.8879999999999"/>
    <n v="2420.712"/>
    <n v="42.000000000000007"/>
    <s v="Credit Card"/>
  </r>
  <r>
    <s v="ORD0694"/>
    <x v="144"/>
    <x v="6"/>
    <n v="7"/>
    <s v="CUST0091"/>
    <x v="5"/>
    <x v="0"/>
    <x v="2"/>
    <x v="27"/>
    <n v="5"/>
    <n v="57459.02"/>
    <x v="1"/>
    <n v="287295.09999999998"/>
    <n v="43094.264999999992"/>
    <n v="244200.83499999999"/>
    <n v="190476.6513"/>
    <n v="53724.183699999987"/>
    <n v="22"/>
    <s v="Cash"/>
  </r>
  <r>
    <s v="ORD0695"/>
    <x v="4"/>
    <x v="1"/>
    <n v="3"/>
    <s v="CUST0052"/>
    <x v="8"/>
    <x v="0"/>
    <x v="0"/>
    <x v="3"/>
    <n v="1"/>
    <n v="5088.79"/>
    <x v="1"/>
    <n v="5088.79"/>
    <n v="763.31849999999997"/>
    <n v="4325.4714999999997"/>
    <n v="2379.009325"/>
    <n v="1946.4621749999999"/>
    <n v="44.999999999999993"/>
    <s v="Net Banking"/>
  </r>
  <r>
    <s v="ORD0696"/>
    <x v="65"/>
    <x v="2"/>
    <n v="10"/>
    <s v="CUST0138"/>
    <x v="2"/>
    <x v="1"/>
    <x v="4"/>
    <x v="13"/>
    <n v="6"/>
    <n v="143.66"/>
    <x v="3"/>
    <n v="861.96"/>
    <n v="86.196000000000012"/>
    <n v="775.76400000000001"/>
    <n v="558.55007999999998"/>
    <n v="217.21392"/>
    <n v="28"/>
    <s v="Credit Card"/>
  </r>
  <r>
    <s v="ORD0697"/>
    <x v="307"/>
    <x v="1"/>
    <n v="3"/>
    <s v="CUST0002"/>
    <x v="3"/>
    <x v="1"/>
    <x v="2"/>
    <x v="22"/>
    <n v="6"/>
    <n v="41347"/>
    <x v="3"/>
    <n v="248082"/>
    <n v="24808.2"/>
    <n v="223273.8"/>
    <n v="174153.56400000001"/>
    <n v="49120.235999999997"/>
    <n v="22"/>
    <s v="Cash"/>
  </r>
  <r>
    <s v="ORD0698"/>
    <x v="170"/>
    <x v="8"/>
    <n v="6"/>
    <s v="CUST0128"/>
    <x v="0"/>
    <x v="0"/>
    <x v="1"/>
    <x v="7"/>
    <n v="4"/>
    <n v="2265.98"/>
    <x v="2"/>
    <n v="9063.92"/>
    <n v="0"/>
    <n v="9063.92"/>
    <n v="4713.2384000000002"/>
    <n v="4350.6815999999999"/>
    <n v="48"/>
    <s v="Debit Card"/>
  </r>
  <r>
    <s v="ORD0699"/>
    <x v="175"/>
    <x v="3"/>
    <n v="2"/>
    <s v="CUST0224"/>
    <x v="2"/>
    <x v="1"/>
    <x v="1"/>
    <x v="25"/>
    <n v="7"/>
    <n v="2909.77"/>
    <x v="5"/>
    <n v="20368.39"/>
    <n v="6110.5169999999998"/>
    <n v="14257.873"/>
    <n v="7414.0939600000002"/>
    <n v="6843.7790399999994"/>
    <n v="48"/>
    <s v="UPI"/>
  </r>
  <r>
    <s v="ORD0700"/>
    <x v="252"/>
    <x v="1"/>
    <n v="3"/>
    <s v="CUST0260"/>
    <x v="7"/>
    <x v="2"/>
    <x v="1"/>
    <x v="6"/>
    <n v="6"/>
    <n v="2309.06"/>
    <x v="3"/>
    <n v="13854.36"/>
    <n v="1385.4359999999999"/>
    <n v="12468.924000000001"/>
    <n v="6483.8404800000008"/>
    <n v="5985.0835200000001"/>
    <n v="48"/>
    <s v="Debit Card"/>
  </r>
  <r>
    <s v="ORD0701"/>
    <x v="296"/>
    <x v="0"/>
    <n v="4"/>
    <s v="CUST0039"/>
    <x v="5"/>
    <x v="0"/>
    <x v="4"/>
    <x v="26"/>
    <n v="2"/>
    <n v="136.19999999999999"/>
    <x v="4"/>
    <n v="272.39999999999998"/>
    <n v="13.62"/>
    <n v="258.77999999999997"/>
    <n v="186.32159999999999"/>
    <n v="72.458400000000012"/>
    <n v="28.000000000000011"/>
    <s v="Debit Card"/>
  </r>
  <r>
    <s v="ORD0702"/>
    <x v="133"/>
    <x v="8"/>
    <n v="6"/>
    <s v="CUST0099"/>
    <x v="7"/>
    <x v="1"/>
    <x v="3"/>
    <x v="8"/>
    <n v="7"/>
    <n v="1651.14"/>
    <x v="1"/>
    <n v="11557.98"/>
    <n v="1733.6969999999999"/>
    <n v="9824.2830000000013"/>
    <n v="5698.0841399999999"/>
    <n v="4126.1988600000013"/>
    <n v="42.000000000000007"/>
    <s v="UPI"/>
  </r>
  <r>
    <s v="ORD0703"/>
    <x v="158"/>
    <x v="2"/>
    <n v="10"/>
    <s v="CUST0210"/>
    <x v="2"/>
    <x v="2"/>
    <x v="3"/>
    <x v="24"/>
    <n v="6"/>
    <n v="1512.08"/>
    <x v="4"/>
    <n v="9072.48"/>
    <n v="453.62400000000002"/>
    <n v="8618.8559999999998"/>
    <n v="4998.9364799999994"/>
    <n v="3619.9195199999999"/>
    <n v="42.000000000000007"/>
    <s v="Credit Card"/>
  </r>
  <r>
    <s v="ORD0704"/>
    <x v="100"/>
    <x v="6"/>
    <n v="7"/>
    <s v="CUST0164"/>
    <x v="5"/>
    <x v="2"/>
    <x v="4"/>
    <x v="21"/>
    <n v="5"/>
    <n v="1138.9100000000001"/>
    <x v="4"/>
    <n v="5694.55"/>
    <n v="284.72750000000002"/>
    <n v="5409.8225000000002"/>
    <n v="3895.0722000000001"/>
    <n v="1514.7502999999999"/>
    <n v="28"/>
    <s v="UPI"/>
  </r>
  <r>
    <s v="ORD0705"/>
    <x v="281"/>
    <x v="10"/>
    <n v="8"/>
    <s v="CUST0236"/>
    <x v="2"/>
    <x v="2"/>
    <x v="1"/>
    <x v="25"/>
    <n v="5"/>
    <n v="2385.37"/>
    <x v="1"/>
    <n v="11926.85"/>
    <n v="1789.0274999999999"/>
    <n v="10137.8225"/>
    <n v="5271.6676999999991"/>
    <n v="4866.1547999999993"/>
    <n v="48.000000000000007"/>
    <s v="UPI"/>
  </r>
  <r>
    <s v="ORD0706"/>
    <x v="246"/>
    <x v="9"/>
    <n v="5"/>
    <s v="CUST0208"/>
    <x v="0"/>
    <x v="1"/>
    <x v="1"/>
    <x v="7"/>
    <n v="3"/>
    <n v="3070"/>
    <x v="6"/>
    <n v="9210"/>
    <n v="2302.5"/>
    <n v="6907.5"/>
    <n v="3591.9"/>
    <n v="3315.6"/>
    <n v="48"/>
    <s v="Credit Card"/>
  </r>
  <r>
    <s v="ORD0707"/>
    <x v="310"/>
    <x v="8"/>
    <n v="6"/>
    <s v="CUST0174"/>
    <x v="3"/>
    <x v="1"/>
    <x v="4"/>
    <x v="21"/>
    <n v="2"/>
    <n v="331.35"/>
    <x v="3"/>
    <n v="662.7"/>
    <n v="66.27000000000001"/>
    <n v="596.43000000000006"/>
    <n v="429.42960000000011"/>
    <n v="167.00040000000001"/>
    <n v="28"/>
    <s v="Net Banking"/>
  </r>
  <r>
    <s v="ORD0708"/>
    <x v="144"/>
    <x v="6"/>
    <n v="7"/>
    <s v="CUST0248"/>
    <x v="6"/>
    <x v="0"/>
    <x v="4"/>
    <x v="26"/>
    <n v="5"/>
    <n v="342.4"/>
    <x v="1"/>
    <n v="1712"/>
    <n v="256.8"/>
    <n v="1455.2"/>
    <n v="1047.7439999999999"/>
    <n v="407.45600000000007"/>
    <n v="28.000000000000011"/>
    <s v="UPI"/>
  </r>
  <r>
    <s v="ORD0709"/>
    <x v="121"/>
    <x v="0"/>
    <n v="4"/>
    <s v="CUST0080"/>
    <x v="6"/>
    <x v="2"/>
    <x v="2"/>
    <x v="22"/>
    <n v="7"/>
    <n v="46975.93"/>
    <x v="0"/>
    <n v="328831.51"/>
    <n v="65766.302000000011"/>
    <n v="263065.20799999998"/>
    <n v="205190.86223999999"/>
    <n v="57874.345759999997"/>
    <n v="22"/>
    <s v="UPI"/>
  </r>
  <r>
    <s v="ORD0710"/>
    <x v="164"/>
    <x v="10"/>
    <n v="8"/>
    <s v="CUST0014"/>
    <x v="9"/>
    <x v="2"/>
    <x v="1"/>
    <x v="23"/>
    <n v="6"/>
    <n v="361.72"/>
    <x v="1"/>
    <n v="2170.3200000000002"/>
    <n v="325.548"/>
    <n v="1844.7719999999999"/>
    <n v="959.28144000000009"/>
    <n v="885.49056000000007"/>
    <n v="48"/>
    <s v="UPI"/>
  </r>
  <r>
    <s v="ORD0711"/>
    <x v="267"/>
    <x v="4"/>
    <n v="9"/>
    <s v="CUST0220"/>
    <x v="1"/>
    <x v="1"/>
    <x v="3"/>
    <x v="17"/>
    <n v="5"/>
    <n v="163.86"/>
    <x v="1"/>
    <n v="819.30000000000007"/>
    <n v="122.895"/>
    <n v="696.40500000000009"/>
    <n v="403.91489999999999"/>
    <n v="292.49009999999998"/>
    <n v="42"/>
    <s v="Net Banking"/>
  </r>
  <r>
    <s v="ORD0712"/>
    <x v="68"/>
    <x v="3"/>
    <n v="2"/>
    <s v="CUST0025"/>
    <x v="3"/>
    <x v="2"/>
    <x v="5"/>
    <x v="12"/>
    <n v="4"/>
    <n v="8885.4500000000007"/>
    <x v="1"/>
    <n v="35541.800000000003"/>
    <n v="5331.27"/>
    <n v="30210.53"/>
    <n v="20543.160400000001"/>
    <n v="9667.3695999999982"/>
    <n v="31.999999999999989"/>
    <s v="UPI"/>
  </r>
  <r>
    <s v="ORD0713"/>
    <x v="307"/>
    <x v="1"/>
    <n v="3"/>
    <s v="CUST0067"/>
    <x v="5"/>
    <x v="2"/>
    <x v="5"/>
    <x v="20"/>
    <n v="2"/>
    <n v="6642.28"/>
    <x v="2"/>
    <n v="13284.56"/>
    <n v="0"/>
    <n v="13284.56"/>
    <n v="9033.5007999999998"/>
    <n v="4251.0591999999997"/>
    <n v="32"/>
    <s v="Net Banking"/>
  </r>
  <r>
    <s v="ORD0714"/>
    <x v="157"/>
    <x v="1"/>
    <n v="3"/>
    <s v="CUST0150"/>
    <x v="9"/>
    <x v="1"/>
    <x v="5"/>
    <x v="14"/>
    <n v="2"/>
    <n v="17358.740000000002"/>
    <x v="0"/>
    <n v="34717.480000000003"/>
    <n v="6943.496000000001"/>
    <n v="27773.984"/>
    <n v="18886.309120000009"/>
    <n v="8887.6748799999987"/>
    <n v="31.999999999999989"/>
    <s v="UPI"/>
  </r>
  <r>
    <s v="ORD0715"/>
    <x v="294"/>
    <x v="6"/>
    <n v="7"/>
    <s v="CUST0105"/>
    <x v="7"/>
    <x v="0"/>
    <x v="3"/>
    <x v="18"/>
    <n v="1"/>
    <n v="179.23"/>
    <x v="5"/>
    <n v="179.23"/>
    <n v="53.768999999999998"/>
    <n v="125.461"/>
    <n v="72.767379999999989"/>
    <n v="52.693620000000003"/>
    <n v="42.000000000000007"/>
    <s v="Cash"/>
  </r>
  <r>
    <s v="ORD0716"/>
    <x v="311"/>
    <x v="2"/>
    <n v="10"/>
    <s v="CUST0035"/>
    <x v="1"/>
    <x v="1"/>
    <x v="5"/>
    <x v="28"/>
    <n v="5"/>
    <n v="7263.57"/>
    <x v="4"/>
    <n v="36317.85"/>
    <n v="1815.8924999999999"/>
    <n v="34501.957499999997"/>
    <n v="23461.331099999999"/>
    <n v="11040.626399999999"/>
    <n v="32"/>
    <s v="Debit Card"/>
  </r>
  <r>
    <s v="ORD0717"/>
    <x v="241"/>
    <x v="6"/>
    <n v="7"/>
    <s v="CUST0115"/>
    <x v="6"/>
    <x v="1"/>
    <x v="2"/>
    <x v="22"/>
    <n v="2"/>
    <n v="41840.019999999997"/>
    <x v="0"/>
    <n v="83680.039999999994"/>
    <n v="16736.008000000002"/>
    <n v="66944.031999999992"/>
    <n v="52216.344959999988"/>
    <n v="14727.687040000001"/>
    <n v="22"/>
    <s v="Debit Card"/>
  </r>
  <r>
    <s v="ORD0718"/>
    <x v="69"/>
    <x v="1"/>
    <n v="3"/>
    <s v="CUST0215"/>
    <x v="0"/>
    <x v="1"/>
    <x v="5"/>
    <x v="12"/>
    <n v="2"/>
    <n v="9133.39"/>
    <x v="3"/>
    <n v="18266.78"/>
    <n v="1826.6780000000001"/>
    <n v="16440.101999999999"/>
    <n v="11179.26936"/>
    <n v="5260.8326399999987"/>
    <n v="32"/>
    <s v="Cash"/>
  </r>
  <r>
    <s v="ORD0719"/>
    <x v="112"/>
    <x v="11"/>
    <n v="1"/>
    <s v="CUST0002"/>
    <x v="3"/>
    <x v="1"/>
    <x v="2"/>
    <x v="29"/>
    <n v="2"/>
    <n v="19210.03"/>
    <x v="6"/>
    <n v="38420.06"/>
    <n v="9605.0149999999994"/>
    <n v="28815.044999999998"/>
    <n v="22475.735100000002"/>
    <n v="6339.3099000000002"/>
    <n v="22"/>
    <s v="Cash"/>
  </r>
  <r>
    <s v="ORD0720"/>
    <x v="34"/>
    <x v="0"/>
    <n v="4"/>
    <s v="CUST0035"/>
    <x v="5"/>
    <x v="2"/>
    <x v="0"/>
    <x v="15"/>
    <n v="4"/>
    <n v="3364.87"/>
    <x v="3"/>
    <n v="13459.48"/>
    <n v="1345.9480000000001"/>
    <n v="12113.531999999999"/>
    <n v="6662.4426000000003"/>
    <n v="5451.0893999999989"/>
    <n v="44.999999999999993"/>
    <s v="Credit Card"/>
  </r>
  <r>
    <s v="ORD0721"/>
    <x v="279"/>
    <x v="1"/>
    <n v="3"/>
    <s v="CUST0107"/>
    <x v="6"/>
    <x v="2"/>
    <x v="2"/>
    <x v="22"/>
    <n v="5"/>
    <n v="16058.86"/>
    <x v="4"/>
    <n v="80294.3"/>
    <n v="4014.7150000000001"/>
    <n v="76279.585000000006"/>
    <n v="59498.076300000008"/>
    <n v="16781.508699999998"/>
    <n v="22"/>
    <s v="Cash"/>
  </r>
  <r>
    <s v="ORD0722"/>
    <x v="133"/>
    <x v="8"/>
    <n v="6"/>
    <s v="CUST0169"/>
    <x v="4"/>
    <x v="0"/>
    <x v="0"/>
    <x v="3"/>
    <n v="4"/>
    <n v="1802.67"/>
    <x v="4"/>
    <n v="7210.68"/>
    <n v="360.53399999999999"/>
    <n v="6850.1460000000006"/>
    <n v="3767.580300000001"/>
    <n v="3082.5657000000001"/>
    <n v="44.999999999999993"/>
    <s v="Net Banking"/>
  </r>
  <r>
    <s v="ORD0723"/>
    <x v="213"/>
    <x v="0"/>
    <n v="4"/>
    <s v="CUST0090"/>
    <x v="9"/>
    <x v="2"/>
    <x v="0"/>
    <x v="4"/>
    <n v="7"/>
    <n v="597.19000000000005"/>
    <x v="2"/>
    <n v="4180.33"/>
    <n v="0"/>
    <n v="4180.33"/>
    <n v="2299.1815000000001"/>
    <n v="1881.1485"/>
    <n v="44.999999999999993"/>
    <s v="Debit Card"/>
  </r>
  <r>
    <s v="ORD0724"/>
    <x v="236"/>
    <x v="1"/>
    <n v="3"/>
    <s v="CUST0238"/>
    <x v="8"/>
    <x v="1"/>
    <x v="4"/>
    <x v="26"/>
    <n v="1"/>
    <n v="238.16"/>
    <x v="1"/>
    <n v="238.16"/>
    <n v="35.723999999999997"/>
    <n v="202.43600000000001"/>
    <n v="145.75391999999999"/>
    <n v="56.682080000000013"/>
    <n v="28.000000000000011"/>
    <s v="Credit Card"/>
  </r>
  <r>
    <s v="ORD0725"/>
    <x v="146"/>
    <x v="11"/>
    <n v="1"/>
    <s v="CUST0144"/>
    <x v="6"/>
    <x v="2"/>
    <x v="3"/>
    <x v="8"/>
    <n v="1"/>
    <n v="1973.68"/>
    <x v="6"/>
    <n v="1973.68"/>
    <n v="493.42"/>
    <n v="1480.26"/>
    <n v="858.55079999999998"/>
    <n v="621.70920000000001"/>
    <n v="42"/>
    <s v="Debit Card"/>
  </r>
  <r>
    <s v="ORD0726"/>
    <x v="96"/>
    <x v="7"/>
    <n v="12"/>
    <s v="CUST0069"/>
    <x v="2"/>
    <x v="2"/>
    <x v="5"/>
    <x v="28"/>
    <n v="2"/>
    <n v="12608.68"/>
    <x v="6"/>
    <n v="25217.360000000001"/>
    <n v="6304.34"/>
    <n v="18913.02"/>
    <n v="12860.8536"/>
    <n v="6052.1664000000001"/>
    <n v="32"/>
    <s v="UPI"/>
  </r>
  <r>
    <s v="ORD0727"/>
    <x v="213"/>
    <x v="0"/>
    <n v="4"/>
    <s v="CUST0114"/>
    <x v="3"/>
    <x v="1"/>
    <x v="5"/>
    <x v="20"/>
    <n v="1"/>
    <n v="8607.19"/>
    <x v="2"/>
    <n v="8607.19"/>
    <n v="0"/>
    <n v="8607.19"/>
    <n v="5852.8892000000014"/>
    <n v="2754.3008"/>
    <n v="32"/>
    <s v="Net Banking"/>
  </r>
  <r>
    <s v="ORD0728"/>
    <x v="129"/>
    <x v="7"/>
    <n v="12"/>
    <s v="CUST0172"/>
    <x v="0"/>
    <x v="1"/>
    <x v="1"/>
    <x v="25"/>
    <n v="4"/>
    <n v="2268.29"/>
    <x v="4"/>
    <n v="9073.16"/>
    <n v="453.65800000000002"/>
    <n v="8619.5020000000004"/>
    <n v="4482.1410400000004"/>
    <n v="4137.36096"/>
    <n v="48"/>
    <s v="Debit Card"/>
  </r>
  <r>
    <s v="ORD0729"/>
    <x v="140"/>
    <x v="0"/>
    <n v="4"/>
    <s v="CUST0210"/>
    <x v="2"/>
    <x v="1"/>
    <x v="4"/>
    <x v="13"/>
    <n v="2"/>
    <n v="173.57"/>
    <x v="2"/>
    <n v="347.14"/>
    <n v="0"/>
    <n v="347.14"/>
    <n v="249.9408"/>
    <n v="97.199200000000019"/>
    <n v="28.000000000000011"/>
    <s v="Credit Card"/>
  </r>
  <r>
    <s v="ORD0730"/>
    <x v="22"/>
    <x v="0"/>
    <n v="4"/>
    <s v="CUST0092"/>
    <x v="6"/>
    <x v="2"/>
    <x v="2"/>
    <x v="29"/>
    <n v="1"/>
    <n v="20051.580000000002"/>
    <x v="4"/>
    <n v="20051.580000000002"/>
    <n v="1002.579"/>
    <n v="19049.001"/>
    <n v="14858.22078"/>
    <n v="4190.7802199999987"/>
    <n v="21.999999999999989"/>
    <s v="Credit Card"/>
  </r>
  <r>
    <s v="ORD0731"/>
    <x v="312"/>
    <x v="10"/>
    <n v="8"/>
    <s v="CUST0234"/>
    <x v="8"/>
    <x v="0"/>
    <x v="1"/>
    <x v="25"/>
    <n v="6"/>
    <n v="3462.02"/>
    <x v="3"/>
    <n v="20772.12"/>
    <n v="2077.212"/>
    <n v="18694.907999999999"/>
    <n v="9721.3521600000004"/>
    <n v="8973.5558399999991"/>
    <n v="48"/>
    <s v="Credit Card"/>
  </r>
  <r>
    <s v="ORD0732"/>
    <x v="124"/>
    <x v="6"/>
    <n v="7"/>
    <s v="CUST0062"/>
    <x v="7"/>
    <x v="0"/>
    <x v="1"/>
    <x v="6"/>
    <n v="3"/>
    <n v="872.39"/>
    <x v="4"/>
    <n v="2617.17"/>
    <n v="130.85849999999999"/>
    <n v="2486.3114999999998"/>
    <n v="1292.8819800000001"/>
    <n v="1193.4295199999999"/>
    <n v="48"/>
    <s v="UPI"/>
  </r>
  <r>
    <s v="ORD0733"/>
    <x v="12"/>
    <x v="8"/>
    <n v="6"/>
    <s v="CUST0130"/>
    <x v="5"/>
    <x v="2"/>
    <x v="1"/>
    <x v="6"/>
    <n v="7"/>
    <n v="3454.38"/>
    <x v="0"/>
    <n v="24180.66"/>
    <n v="4836.1320000000014"/>
    <n v="19344.527999999998"/>
    <n v="10059.154560000001"/>
    <n v="9285.3734399999994"/>
    <n v="48"/>
    <s v="Cash"/>
  </r>
  <r>
    <s v="ORD0734"/>
    <x v="36"/>
    <x v="3"/>
    <n v="2"/>
    <s v="CUST0106"/>
    <x v="2"/>
    <x v="1"/>
    <x v="5"/>
    <x v="28"/>
    <n v="2"/>
    <n v="9382.6299999999992"/>
    <x v="3"/>
    <n v="18765.259999999998"/>
    <n v="1876.5260000000001"/>
    <n v="16888.734"/>
    <n v="11484.339120000001"/>
    <n v="5404.394879999998"/>
    <n v="32"/>
    <s v="Credit Card"/>
  </r>
  <r>
    <s v="ORD0735"/>
    <x v="313"/>
    <x v="2"/>
    <n v="10"/>
    <s v="CUST0026"/>
    <x v="3"/>
    <x v="0"/>
    <x v="4"/>
    <x v="9"/>
    <n v="6"/>
    <n v="665.02"/>
    <x v="5"/>
    <n v="3990.12"/>
    <n v="1197.0360000000001"/>
    <n v="2793.0839999999998"/>
    <n v="2011.0204799999999"/>
    <n v="782.06351999999993"/>
    <n v="28"/>
    <s v="Debit Card"/>
  </r>
  <r>
    <s v="ORD0736"/>
    <x v="100"/>
    <x v="6"/>
    <n v="7"/>
    <s v="CUST0011"/>
    <x v="0"/>
    <x v="0"/>
    <x v="5"/>
    <x v="20"/>
    <n v="1"/>
    <n v="22448.400000000001"/>
    <x v="3"/>
    <n v="22448.400000000001"/>
    <n v="2244.84"/>
    <n v="20203.560000000001"/>
    <n v="13738.4208"/>
    <n v="6465.1391999999996"/>
    <n v="32"/>
    <s v="Credit Card"/>
  </r>
  <r>
    <s v="ORD0737"/>
    <x v="314"/>
    <x v="1"/>
    <n v="3"/>
    <s v="CUST0187"/>
    <x v="4"/>
    <x v="1"/>
    <x v="0"/>
    <x v="19"/>
    <n v="4"/>
    <n v="591.69000000000005"/>
    <x v="6"/>
    <n v="2366.7600000000002"/>
    <n v="591.69000000000005"/>
    <n v="1775.07"/>
    <n v="976.28850000000011"/>
    <n v="798.78150000000005"/>
    <n v="45"/>
    <s v="Cash"/>
  </r>
  <r>
    <s v="ORD0738"/>
    <x v="199"/>
    <x v="11"/>
    <n v="1"/>
    <s v="CUST0281"/>
    <x v="7"/>
    <x v="2"/>
    <x v="5"/>
    <x v="12"/>
    <n v="1"/>
    <n v="24079.4"/>
    <x v="4"/>
    <n v="24079.4"/>
    <n v="1203.97"/>
    <n v="22875.43"/>
    <n v="15555.2924"/>
    <n v="7320.1375999999982"/>
    <n v="31.999999999999989"/>
    <s v="Debit Card"/>
  </r>
  <r>
    <s v="ORD0739"/>
    <x v="86"/>
    <x v="10"/>
    <n v="8"/>
    <s v="CUST0170"/>
    <x v="0"/>
    <x v="2"/>
    <x v="3"/>
    <x v="24"/>
    <n v="2"/>
    <n v="1144.7"/>
    <x v="3"/>
    <n v="2289.4"/>
    <n v="228.94"/>
    <n v="2060.46"/>
    <n v="1195.0668000000001"/>
    <n v="865.39320000000021"/>
    <n v="42.000000000000007"/>
    <s v="Debit Card"/>
  </r>
  <r>
    <s v="ORD0740"/>
    <x v="97"/>
    <x v="10"/>
    <n v="8"/>
    <s v="CUST0026"/>
    <x v="1"/>
    <x v="2"/>
    <x v="3"/>
    <x v="5"/>
    <n v="1"/>
    <n v="659.25"/>
    <x v="0"/>
    <n v="659.25"/>
    <n v="131.85"/>
    <n v="527.4"/>
    <n v="305.89199999999988"/>
    <n v="221.50800000000001"/>
    <n v="42.000000000000007"/>
    <s v="Cash"/>
  </r>
  <r>
    <s v="ORD0741"/>
    <x v="244"/>
    <x v="8"/>
    <n v="6"/>
    <s v="CUST0161"/>
    <x v="0"/>
    <x v="2"/>
    <x v="5"/>
    <x v="12"/>
    <n v="5"/>
    <n v="8311.76"/>
    <x v="0"/>
    <n v="41558.800000000003"/>
    <n v="8311.76"/>
    <n v="33247.040000000001"/>
    <n v="22607.9872"/>
    <n v="10639.052799999999"/>
    <n v="31.999999999999989"/>
    <s v="Credit Card"/>
  </r>
  <r>
    <s v="ORD0742"/>
    <x v="315"/>
    <x v="10"/>
    <n v="8"/>
    <s v="CUST0154"/>
    <x v="8"/>
    <x v="2"/>
    <x v="1"/>
    <x v="1"/>
    <n v="6"/>
    <n v="3208.7"/>
    <x v="1"/>
    <n v="19252.2"/>
    <n v="2887.829999999999"/>
    <n v="16364.37"/>
    <n v="8509.4723999999987"/>
    <n v="7854.8975999999984"/>
    <n v="48"/>
    <s v="UPI"/>
  </r>
  <r>
    <s v="ORD0743"/>
    <x v="245"/>
    <x v="9"/>
    <n v="5"/>
    <s v="CUST0072"/>
    <x v="2"/>
    <x v="2"/>
    <x v="4"/>
    <x v="9"/>
    <n v="2"/>
    <n v="568.79999999999995"/>
    <x v="1"/>
    <n v="1137.5999999999999"/>
    <n v="170.64"/>
    <n v="966.95999999999992"/>
    <n v="696.21119999999996"/>
    <n v="270.74880000000002"/>
    <n v="28"/>
    <s v="Credit Card"/>
  </r>
  <r>
    <s v="ORD0744"/>
    <x v="262"/>
    <x v="1"/>
    <n v="3"/>
    <s v="CUST0140"/>
    <x v="7"/>
    <x v="0"/>
    <x v="4"/>
    <x v="11"/>
    <n v="6"/>
    <n v="582.67999999999995"/>
    <x v="3"/>
    <n v="3496.08"/>
    <n v="349.608"/>
    <n v="3146.4720000000002"/>
    <n v="2265.45984"/>
    <n v="881.01216000000022"/>
    <n v="28.000000000000011"/>
    <s v="Credit Card"/>
  </r>
  <r>
    <s v="ORD0745"/>
    <x v="4"/>
    <x v="1"/>
    <n v="3"/>
    <s v="CUST0251"/>
    <x v="3"/>
    <x v="1"/>
    <x v="1"/>
    <x v="6"/>
    <n v="5"/>
    <n v="1674.68"/>
    <x v="0"/>
    <n v="8373.4"/>
    <n v="1674.68"/>
    <n v="6698.7199999999993"/>
    <n v="3483.3344000000002"/>
    <n v="3215.3856000000001"/>
    <n v="48"/>
    <s v="Credit Card"/>
  </r>
  <r>
    <s v="ORD0746"/>
    <x v="265"/>
    <x v="4"/>
    <n v="9"/>
    <s v="CUST0131"/>
    <x v="2"/>
    <x v="1"/>
    <x v="5"/>
    <x v="28"/>
    <n v="3"/>
    <n v="23483.55"/>
    <x v="4"/>
    <n v="70450.649999999994"/>
    <n v="3522.5324999999998"/>
    <n v="66928.117499999993"/>
    <n v="45511.119899999998"/>
    <n v="21416.997599999999"/>
    <n v="32"/>
    <s v="Debit Card"/>
  </r>
  <r>
    <s v="ORD0747"/>
    <x v="208"/>
    <x v="5"/>
    <n v="11"/>
    <s v="CUST0139"/>
    <x v="3"/>
    <x v="0"/>
    <x v="5"/>
    <x v="14"/>
    <n v="7"/>
    <n v="9394.9500000000007"/>
    <x v="5"/>
    <n v="65764.650000000009"/>
    <n v="19729.395"/>
    <n v="46035.254999999997"/>
    <n v="31303.97340000001"/>
    <n v="14731.2816"/>
    <n v="32"/>
    <s v="Net Banking"/>
  </r>
  <r>
    <s v="ORD0748"/>
    <x v="187"/>
    <x v="9"/>
    <n v="5"/>
    <s v="CUST0297"/>
    <x v="4"/>
    <x v="2"/>
    <x v="3"/>
    <x v="17"/>
    <n v="4"/>
    <n v="1574.8"/>
    <x v="6"/>
    <n v="6299.2"/>
    <n v="1574.8"/>
    <n v="4724.3999999999996"/>
    <n v="2740.152"/>
    <n v="1984.248"/>
    <n v="42.000000000000007"/>
    <s v="Debit Card"/>
  </r>
  <r>
    <s v="ORD0749"/>
    <x v="80"/>
    <x v="7"/>
    <n v="12"/>
    <s v="CUST0143"/>
    <x v="2"/>
    <x v="2"/>
    <x v="3"/>
    <x v="18"/>
    <n v="7"/>
    <n v="2021.29"/>
    <x v="0"/>
    <n v="14149.03"/>
    <n v="2829.806"/>
    <n v="11319.224"/>
    <n v="6565.1499199999989"/>
    <n v="4754.0740799999994"/>
    <n v="42"/>
    <s v="Credit Card"/>
  </r>
  <r>
    <s v="ORD0750"/>
    <x v="115"/>
    <x v="6"/>
    <n v="7"/>
    <s v="CUST0031"/>
    <x v="7"/>
    <x v="0"/>
    <x v="3"/>
    <x v="17"/>
    <n v="2"/>
    <n v="745.26"/>
    <x v="5"/>
    <n v="1490.52"/>
    <n v="447.15600000000001"/>
    <n v="1043.364"/>
    <n v="605.15111999999999"/>
    <n v="438.21287999999998"/>
    <n v="42.000000000000007"/>
    <s v="Debit Card"/>
  </r>
  <r>
    <s v="ORD0751"/>
    <x v="136"/>
    <x v="5"/>
    <n v="11"/>
    <s v="CUST0294"/>
    <x v="0"/>
    <x v="2"/>
    <x v="2"/>
    <x v="10"/>
    <n v="1"/>
    <n v="14931.5"/>
    <x v="1"/>
    <n v="14931.5"/>
    <n v="2239.7249999999999"/>
    <n v="12691.775"/>
    <n v="9899.5845000000008"/>
    <n v="2792.1904999999988"/>
    <n v="21.999999999999989"/>
    <s v="UPI"/>
  </r>
  <r>
    <s v="ORD0752"/>
    <x v="48"/>
    <x v="2"/>
    <n v="10"/>
    <s v="CUST0028"/>
    <x v="8"/>
    <x v="1"/>
    <x v="5"/>
    <x v="12"/>
    <n v="3"/>
    <n v="11645.41"/>
    <x v="0"/>
    <n v="34936.230000000003"/>
    <n v="6987.2459999999992"/>
    <n v="27948.984"/>
    <n v="19005.309120000002"/>
    <n v="8943.6748799999987"/>
    <n v="32"/>
    <s v="Credit Card"/>
  </r>
  <r>
    <s v="ORD0753"/>
    <x v="282"/>
    <x v="4"/>
    <n v="9"/>
    <s v="CUST0214"/>
    <x v="0"/>
    <x v="0"/>
    <x v="3"/>
    <x v="17"/>
    <n v="4"/>
    <n v="2052.9"/>
    <x v="4"/>
    <n v="8211.6"/>
    <n v="410.58"/>
    <n v="7801.02"/>
    <n v="4524.5915999999997"/>
    <n v="3276.4284000000011"/>
    <n v="42.000000000000007"/>
    <s v="UPI"/>
  </r>
  <r>
    <s v="ORD0754"/>
    <x v="314"/>
    <x v="1"/>
    <n v="3"/>
    <s v="CUST0216"/>
    <x v="8"/>
    <x v="1"/>
    <x v="3"/>
    <x v="17"/>
    <n v="5"/>
    <n v="219.66"/>
    <x v="4"/>
    <n v="1098.3"/>
    <n v="54.914999999999999"/>
    <n v="1043.385"/>
    <n v="605.16329999999994"/>
    <n v="438.22170000000011"/>
    <n v="42.000000000000007"/>
    <s v="Debit Card"/>
  </r>
  <r>
    <s v="ORD0755"/>
    <x v="53"/>
    <x v="10"/>
    <n v="8"/>
    <s v="CUST0105"/>
    <x v="7"/>
    <x v="0"/>
    <x v="0"/>
    <x v="19"/>
    <n v="7"/>
    <n v="3264.47"/>
    <x v="4"/>
    <n v="22851.29"/>
    <n v="1142.5645"/>
    <n v="21708.7255"/>
    <n v="11939.799025"/>
    <n v="9768.9264749999984"/>
    <n v="45"/>
    <s v="Net Banking"/>
  </r>
  <r>
    <s v="ORD0756"/>
    <x v="31"/>
    <x v="3"/>
    <n v="2"/>
    <s v="CUST0255"/>
    <x v="5"/>
    <x v="0"/>
    <x v="1"/>
    <x v="23"/>
    <n v="4"/>
    <n v="1988.65"/>
    <x v="3"/>
    <n v="7954.6"/>
    <n v="795.46"/>
    <n v="7159.14"/>
    <n v="3722.7528000000002"/>
    <n v="3436.3872000000001"/>
    <n v="48"/>
    <s v="Credit Card"/>
  </r>
  <r>
    <s v="ORD0757"/>
    <x v="135"/>
    <x v="9"/>
    <n v="5"/>
    <s v="CUST0001"/>
    <x v="7"/>
    <x v="2"/>
    <x v="5"/>
    <x v="16"/>
    <n v="6"/>
    <n v="9777.4599999999991"/>
    <x v="0"/>
    <n v="58664.759999999987"/>
    <n v="11732.951999999999"/>
    <n v="46931.807999999997"/>
    <n v="31913.629440000001"/>
    <n v="15018.17856"/>
    <n v="32"/>
    <s v="Debit Card"/>
  </r>
  <r>
    <s v="ORD0758"/>
    <x v="292"/>
    <x v="3"/>
    <n v="2"/>
    <s v="CUST0261"/>
    <x v="4"/>
    <x v="0"/>
    <x v="2"/>
    <x v="22"/>
    <n v="1"/>
    <n v="62853.27"/>
    <x v="3"/>
    <n v="62853.27"/>
    <n v="6285.3270000000002"/>
    <n v="56567.942999999999"/>
    <n v="44122.995540000004"/>
    <n v="12444.947459999999"/>
    <n v="21.999999999999989"/>
    <s v="UPI"/>
  </r>
  <r>
    <s v="ORD0759"/>
    <x v="284"/>
    <x v="8"/>
    <n v="6"/>
    <s v="CUST0069"/>
    <x v="1"/>
    <x v="0"/>
    <x v="4"/>
    <x v="21"/>
    <n v="3"/>
    <n v="765.65"/>
    <x v="6"/>
    <n v="2296.9499999999998"/>
    <n v="574.23749999999995"/>
    <n v="1722.7125000000001"/>
    <n v="1240.3530000000001"/>
    <n v="482.35950000000003"/>
    <n v="28"/>
    <s v="Credit Card"/>
  </r>
  <r>
    <s v="ORD0760"/>
    <x v="237"/>
    <x v="6"/>
    <n v="7"/>
    <s v="CUST0039"/>
    <x v="3"/>
    <x v="0"/>
    <x v="0"/>
    <x v="4"/>
    <n v="2"/>
    <n v="1933.71"/>
    <x v="4"/>
    <n v="3867.42"/>
    <n v="193.37100000000001"/>
    <n v="3674.049"/>
    <n v="2020.72695"/>
    <n v="1653.32205"/>
    <n v="44.999999999999993"/>
    <s v="UPI"/>
  </r>
  <r>
    <s v="ORD0761"/>
    <x v="52"/>
    <x v="8"/>
    <n v="6"/>
    <s v="CUST0292"/>
    <x v="8"/>
    <x v="1"/>
    <x v="1"/>
    <x v="7"/>
    <n v="4"/>
    <n v="1375.02"/>
    <x v="0"/>
    <n v="5500.08"/>
    <n v="1100.0160000000001"/>
    <n v="4400.0640000000003"/>
    <n v="2288.0332800000001"/>
    <n v="2112.0307200000002"/>
    <n v="48.000000000000007"/>
    <s v="UPI"/>
  </r>
  <r>
    <s v="ORD0762"/>
    <x v="316"/>
    <x v="5"/>
    <n v="11"/>
    <s v="CUST0060"/>
    <x v="0"/>
    <x v="1"/>
    <x v="5"/>
    <x v="20"/>
    <n v="1"/>
    <n v="11164.89"/>
    <x v="3"/>
    <n v="11164.89"/>
    <n v="1116.489"/>
    <n v="10048.401"/>
    <n v="6832.9126800000004"/>
    <n v="3215.488319999999"/>
    <n v="32"/>
    <s v="Credit Card"/>
  </r>
  <r>
    <s v="ORD0763"/>
    <x v="231"/>
    <x v="11"/>
    <n v="1"/>
    <s v="CUST0277"/>
    <x v="8"/>
    <x v="1"/>
    <x v="1"/>
    <x v="23"/>
    <n v="6"/>
    <n v="2118.36"/>
    <x v="2"/>
    <n v="12710.16"/>
    <n v="0"/>
    <n v="12710.16"/>
    <n v="6609.2831999999999"/>
    <n v="6100.8768"/>
    <n v="48"/>
    <s v="Debit Card"/>
  </r>
  <r>
    <s v="ORD0764"/>
    <x v="110"/>
    <x v="6"/>
    <n v="7"/>
    <s v="CUST0077"/>
    <x v="4"/>
    <x v="1"/>
    <x v="4"/>
    <x v="21"/>
    <n v="5"/>
    <n v="503.32"/>
    <x v="0"/>
    <n v="2516.6"/>
    <n v="503.32"/>
    <n v="2013.28"/>
    <n v="1449.5616"/>
    <n v="563.71839999999997"/>
    <n v="28"/>
    <s v="Credit Card"/>
  </r>
  <r>
    <s v="ORD0765"/>
    <x v="236"/>
    <x v="1"/>
    <n v="3"/>
    <s v="CUST0120"/>
    <x v="9"/>
    <x v="0"/>
    <x v="2"/>
    <x v="29"/>
    <n v="5"/>
    <n v="49385.5"/>
    <x v="6"/>
    <n v="246927.5"/>
    <n v="61731.875"/>
    <n v="185195.625"/>
    <n v="144452.58749999999"/>
    <n v="40743.037500000013"/>
    <n v="22"/>
    <s v="UPI"/>
  </r>
  <r>
    <s v="ORD0766"/>
    <x v="317"/>
    <x v="6"/>
    <n v="7"/>
    <s v="CUST0218"/>
    <x v="8"/>
    <x v="1"/>
    <x v="5"/>
    <x v="12"/>
    <n v="2"/>
    <n v="19896.27"/>
    <x v="2"/>
    <n v="39792.54"/>
    <n v="0"/>
    <n v="39792.54"/>
    <n v="27058.927199999998"/>
    <n v="12733.612800000001"/>
    <n v="32"/>
    <s v="Credit Card"/>
  </r>
  <r>
    <s v="ORD0767"/>
    <x v="286"/>
    <x v="11"/>
    <n v="1"/>
    <s v="CUST0228"/>
    <x v="8"/>
    <x v="2"/>
    <x v="4"/>
    <x v="11"/>
    <n v="4"/>
    <n v="393.27"/>
    <x v="1"/>
    <n v="1573.08"/>
    <n v="235.96199999999999"/>
    <n v="1337.1179999999999"/>
    <n v="962.7249599999999"/>
    <n v="374.39303999999998"/>
    <n v="28"/>
    <s v="Cash"/>
  </r>
  <r>
    <s v="ORD0768"/>
    <x v="285"/>
    <x v="8"/>
    <n v="6"/>
    <s v="CUST0259"/>
    <x v="6"/>
    <x v="0"/>
    <x v="5"/>
    <x v="28"/>
    <n v="1"/>
    <n v="18459.16"/>
    <x v="2"/>
    <n v="18459.16"/>
    <n v="0"/>
    <n v="18459.16"/>
    <n v="12552.228800000001"/>
    <n v="5906.9311999999991"/>
    <n v="32"/>
    <s v="UPI"/>
  </r>
  <r>
    <s v="ORD0769"/>
    <x v="39"/>
    <x v="0"/>
    <n v="4"/>
    <s v="CUST0026"/>
    <x v="3"/>
    <x v="0"/>
    <x v="4"/>
    <x v="26"/>
    <n v="5"/>
    <n v="903.29"/>
    <x v="2"/>
    <n v="4516.45"/>
    <n v="0"/>
    <n v="4516.45"/>
    <n v="3251.8440000000001"/>
    <n v="1264.606"/>
    <n v="28.000000000000011"/>
    <s v="Credit Card"/>
  </r>
  <r>
    <s v="ORD0770"/>
    <x v="215"/>
    <x v="11"/>
    <n v="1"/>
    <s v="CUST0232"/>
    <x v="6"/>
    <x v="0"/>
    <x v="3"/>
    <x v="17"/>
    <n v="7"/>
    <n v="776.31"/>
    <x v="4"/>
    <n v="5434.17"/>
    <n v="271.70850000000002"/>
    <n v="5162.4615000000003"/>
    <n v="2994.2276700000002"/>
    <n v="2168.2338300000001"/>
    <n v="42"/>
    <s v="Debit Card"/>
  </r>
  <r>
    <s v="ORD0771"/>
    <x v="159"/>
    <x v="11"/>
    <n v="1"/>
    <s v="CUST0282"/>
    <x v="3"/>
    <x v="1"/>
    <x v="3"/>
    <x v="8"/>
    <n v="4"/>
    <n v="1407.58"/>
    <x v="4"/>
    <n v="5630.32"/>
    <n v="281.51600000000002"/>
    <n v="5348.8040000000001"/>
    <n v="3102.3063200000001"/>
    <n v="2246.4976799999999"/>
    <n v="42.000000000000007"/>
    <s v="Credit Card"/>
  </r>
  <r>
    <s v="ORD0772"/>
    <x v="13"/>
    <x v="1"/>
    <n v="3"/>
    <s v="CUST0267"/>
    <x v="8"/>
    <x v="1"/>
    <x v="3"/>
    <x v="8"/>
    <n v="6"/>
    <n v="372.75"/>
    <x v="2"/>
    <n v="2236.5"/>
    <n v="0"/>
    <n v="2236.5"/>
    <n v="1297.17"/>
    <n v="939.33000000000015"/>
    <n v="42.000000000000007"/>
    <s v="Debit Card"/>
  </r>
  <r>
    <s v="ORD0773"/>
    <x v="318"/>
    <x v="11"/>
    <n v="1"/>
    <s v="CUST0107"/>
    <x v="2"/>
    <x v="0"/>
    <x v="3"/>
    <x v="8"/>
    <n v="5"/>
    <n v="581.71"/>
    <x v="6"/>
    <n v="2908.55"/>
    <n v="727.13750000000005"/>
    <n v="2181.4124999999999"/>
    <n v="1265.2192500000001"/>
    <n v="916.19325000000026"/>
    <n v="42.000000000000007"/>
    <s v="Cash"/>
  </r>
  <r>
    <s v="ORD0774"/>
    <x v="226"/>
    <x v="10"/>
    <n v="8"/>
    <s v="CUST0194"/>
    <x v="1"/>
    <x v="2"/>
    <x v="5"/>
    <x v="12"/>
    <n v="6"/>
    <n v="16841.560000000001"/>
    <x v="0"/>
    <n v="101049.36"/>
    <n v="20209.871999999999"/>
    <n v="80839.488000000012"/>
    <n v="54970.85184000001"/>
    <n v="25868.636159999998"/>
    <n v="32"/>
    <s v="Net Banking"/>
  </r>
  <r>
    <s v="ORD0775"/>
    <x v="65"/>
    <x v="2"/>
    <n v="10"/>
    <s v="CUST0191"/>
    <x v="7"/>
    <x v="2"/>
    <x v="4"/>
    <x v="13"/>
    <n v="2"/>
    <n v="81.59"/>
    <x v="3"/>
    <n v="163.18"/>
    <n v="16.318000000000001"/>
    <n v="146.86199999999999"/>
    <n v="105.74064"/>
    <n v="41.121360000000003"/>
    <n v="28"/>
    <s v="Debit Card"/>
  </r>
  <r>
    <s v="ORD0776"/>
    <x v="210"/>
    <x v="2"/>
    <n v="10"/>
    <s v="CUST0048"/>
    <x v="5"/>
    <x v="2"/>
    <x v="2"/>
    <x v="29"/>
    <n v="5"/>
    <n v="50500.81"/>
    <x v="5"/>
    <n v="252504.05"/>
    <n v="75751.214999999997"/>
    <n v="176752.83499999999"/>
    <n v="137867.2113"/>
    <n v="38885.623699999996"/>
    <n v="22"/>
    <s v="Cash"/>
  </r>
  <r>
    <s v="ORD0777"/>
    <x v="116"/>
    <x v="5"/>
    <n v="11"/>
    <s v="CUST0009"/>
    <x v="3"/>
    <x v="1"/>
    <x v="1"/>
    <x v="25"/>
    <n v="5"/>
    <n v="1040.3900000000001"/>
    <x v="3"/>
    <n v="5201.9500000000007"/>
    <n v="520.19500000000005"/>
    <n v="4681.755000000001"/>
    <n v="2434.5126"/>
    <n v="2247.242400000001"/>
    <n v="48.000000000000007"/>
    <s v="Net Banking"/>
  </r>
  <r>
    <s v="ORD0778"/>
    <x v="222"/>
    <x v="9"/>
    <n v="5"/>
    <s v="CUST0043"/>
    <x v="4"/>
    <x v="0"/>
    <x v="5"/>
    <x v="12"/>
    <n v="2"/>
    <n v="3688.58"/>
    <x v="1"/>
    <n v="7377.16"/>
    <n v="1106.5740000000001"/>
    <n v="6270.5860000000002"/>
    <n v="4263.9984800000002"/>
    <n v="2006.58752"/>
    <n v="32"/>
    <s v="Cash"/>
  </r>
  <r>
    <s v="ORD0779"/>
    <x v="213"/>
    <x v="0"/>
    <n v="4"/>
    <s v="CUST0135"/>
    <x v="8"/>
    <x v="0"/>
    <x v="0"/>
    <x v="0"/>
    <n v="5"/>
    <n v="2324.12"/>
    <x v="1"/>
    <n v="11620.6"/>
    <n v="1743.09"/>
    <n v="9877.5099999999984"/>
    <n v="5432.6304999999993"/>
    <n v="4444.8794999999991"/>
    <n v="44.999999999999993"/>
    <s v="Debit Card"/>
  </r>
  <r>
    <s v="ORD0780"/>
    <x v="24"/>
    <x v="7"/>
    <n v="12"/>
    <s v="CUST0203"/>
    <x v="5"/>
    <x v="0"/>
    <x v="1"/>
    <x v="23"/>
    <n v="6"/>
    <n v="2783.06"/>
    <x v="6"/>
    <n v="16698.36"/>
    <n v="4174.59"/>
    <n v="12523.77"/>
    <n v="6512.3603999999996"/>
    <n v="6011.4096"/>
    <n v="48"/>
    <s v="Credit Card"/>
  </r>
  <r>
    <s v="ORD0781"/>
    <x v="319"/>
    <x v="3"/>
    <n v="2"/>
    <s v="CUST0199"/>
    <x v="0"/>
    <x v="2"/>
    <x v="0"/>
    <x v="3"/>
    <n v="1"/>
    <n v="5752.85"/>
    <x v="1"/>
    <n v="5752.85"/>
    <n v="862.92750000000001"/>
    <n v="4889.9225000000006"/>
    <n v="2689.457375"/>
    <n v="2200.4651250000002"/>
    <n v="44.999999999999993"/>
    <s v="Debit Card"/>
  </r>
  <r>
    <s v="ORD0782"/>
    <x v="201"/>
    <x v="10"/>
    <n v="8"/>
    <s v="CUST0210"/>
    <x v="4"/>
    <x v="0"/>
    <x v="3"/>
    <x v="17"/>
    <n v="4"/>
    <n v="2374.86"/>
    <x v="4"/>
    <n v="9499.44"/>
    <n v="474.97199999999998"/>
    <n v="9024.4680000000008"/>
    <n v="5234.1914400000014"/>
    <n v="3790.2765599999998"/>
    <n v="42"/>
    <s v="Net Banking"/>
  </r>
  <r>
    <s v="ORD0783"/>
    <x v="213"/>
    <x v="0"/>
    <n v="4"/>
    <s v="CUST0103"/>
    <x v="2"/>
    <x v="2"/>
    <x v="1"/>
    <x v="7"/>
    <n v="1"/>
    <n v="2850.46"/>
    <x v="4"/>
    <n v="2850.46"/>
    <n v="142.523"/>
    <n v="2707.9369999999999"/>
    <n v="1408.12724"/>
    <n v="1299.8097600000001"/>
    <n v="48"/>
    <s v="Credit Card"/>
  </r>
  <r>
    <s v="ORD0784"/>
    <x v="112"/>
    <x v="11"/>
    <n v="1"/>
    <s v="CUST0053"/>
    <x v="4"/>
    <x v="0"/>
    <x v="0"/>
    <x v="4"/>
    <n v="7"/>
    <n v="2516.9699999999998"/>
    <x v="2"/>
    <n v="17618.79"/>
    <n v="0"/>
    <n v="17618.79"/>
    <n v="9690.334499999999"/>
    <n v="7928.4554999999982"/>
    <n v="44.999999999999993"/>
    <s v="Credit Card"/>
  </r>
  <r>
    <s v="ORD0785"/>
    <x v="145"/>
    <x v="7"/>
    <n v="12"/>
    <s v="CUST0223"/>
    <x v="2"/>
    <x v="0"/>
    <x v="2"/>
    <x v="29"/>
    <n v="7"/>
    <n v="36117.01"/>
    <x v="2"/>
    <n v="252819.07"/>
    <n v="0"/>
    <n v="252819.07"/>
    <n v="197198.87460000001"/>
    <n v="55620.195399999997"/>
    <n v="22"/>
    <s v="Debit Card"/>
  </r>
  <r>
    <s v="ORD0786"/>
    <x v="177"/>
    <x v="10"/>
    <n v="8"/>
    <s v="CUST0189"/>
    <x v="0"/>
    <x v="0"/>
    <x v="0"/>
    <x v="3"/>
    <n v="3"/>
    <n v="2807.15"/>
    <x v="3"/>
    <n v="8421.4500000000007"/>
    <n v="842.1450000000001"/>
    <n v="7579.3050000000003"/>
    <n v="4168.6177500000003"/>
    <n v="3410.6872499999999"/>
    <n v="44.999999999999993"/>
    <s v="Credit Card"/>
  </r>
  <r>
    <s v="ORD0787"/>
    <x v="31"/>
    <x v="3"/>
    <n v="2"/>
    <s v="CUST0234"/>
    <x v="3"/>
    <x v="0"/>
    <x v="2"/>
    <x v="29"/>
    <n v="3"/>
    <n v="42582.82"/>
    <x v="4"/>
    <n v="127748.46"/>
    <n v="6387.4229999999998"/>
    <n v="121361.037"/>
    <n v="94661.608860000008"/>
    <n v="26699.428139999989"/>
    <n v="21.999999999999989"/>
    <s v="UPI"/>
  </r>
  <r>
    <s v="ORD0788"/>
    <x v="189"/>
    <x v="3"/>
    <n v="2"/>
    <s v="CUST0255"/>
    <x v="9"/>
    <x v="1"/>
    <x v="3"/>
    <x v="24"/>
    <n v="2"/>
    <n v="1060.79"/>
    <x v="3"/>
    <n v="2121.58"/>
    <n v="212.15799999999999"/>
    <n v="1909.422"/>
    <n v="1107.4647600000001"/>
    <n v="801.95724000000018"/>
    <n v="42.000000000000007"/>
    <s v="Credit Card"/>
  </r>
  <r>
    <s v="ORD0789"/>
    <x v="45"/>
    <x v="7"/>
    <n v="12"/>
    <s v="CUST0258"/>
    <x v="5"/>
    <x v="0"/>
    <x v="4"/>
    <x v="11"/>
    <n v="6"/>
    <n v="230.1"/>
    <x v="5"/>
    <n v="1380.6"/>
    <n v="414.17999999999989"/>
    <n v="966.42"/>
    <n v="695.8223999999999"/>
    <n v="270.59760000000011"/>
    <n v="28.000000000000011"/>
    <s v="Debit Card"/>
  </r>
  <r>
    <s v="ORD0790"/>
    <x v="125"/>
    <x v="10"/>
    <n v="8"/>
    <s v="CUST0225"/>
    <x v="2"/>
    <x v="0"/>
    <x v="3"/>
    <x v="8"/>
    <n v="6"/>
    <n v="1710.08"/>
    <x v="1"/>
    <n v="10260.48"/>
    <n v="1539.0719999999999"/>
    <n v="8721.4079999999994"/>
    <n v="5058.4166399999986"/>
    <n v="3662.99136"/>
    <n v="42.000000000000007"/>
    <s v="Net Banking"/>
  </r>
  <r>
    <s v="ORD0791"/>
    <x v="259"/>
    <x v="4"/>
    <n v="9"/>
    <s v="CUST0104"/>
    <x v="7"/>
    <x v="1"/>
    <x v="0"/>
    <x v="15"/>
    <n v="1"/>
    <n v="5140.24"/>
    <x v="4"/>
    <n v="5140.24"/>
    <n v="257.012"/>
    <n v="4883.2280000000001"/>
    <n v="2685.7754"/>
    <n v="2197.4526000000001"/>
    <n v="44.999999999999993"/>
    <s v="Debit Card"/>
  </r>
  <r>
    <s v="ORD0792"/>
    <x v="9"/>
    <x v="2"/>
    <n v="10"/>
    <s v="CUST0298"/>
    <x v="4"/>
    <x v="2"/>
    <x v="4"/>
    <x v="11"/>
    <n v="5"/>
    <n v="167.87"/>
    <x v="3"/>
    <n v="839.35"/>
    <n v="83.935000000000002"/>
    <n v="755.41499999999996"/>
    <n v="543.89879999999994"/>
    <n v="211.5162"/>
    <n v="28"/>
    <s v="Credit Card"/>
  </r>
  <r>
    <s v="ORD0793"/>
    <x v="144"/>
    <x v="6"/>
    <n v="7"/>
    <s v="CUST0252"/>
    <x v="0"/>
    <x v="0"/>
    <x v="1"/>
    <x v="1"/>
    <n v="6"/>
    <n v="3064.72"/>
    <x v="6"/>
    <n v="18388.32"/>
    <n v="4597.08"/>
    <n v="13791.24"/>
    <n v="7171.4448000000002"/>
    <n v="6619.7951999999996"/>
    <n v="48"/>
    <s v="Debit Card"/>
  </r>
  <r>
    <s v="ORD0794"/>
    <x v="99"/>
    <x v="8"/>
    <n v="6"/>
    <s v="CUST0219"/>
    <x v="1"/>
    <x v="0"/>
    <x v="3"/>
    <x v="8"/>
    <n v="3"/>
    <n v="1966.98"/>
    <x v="3"/>
    <n v="5900.9400000000014"/>
    <n v="590.09400000000005"/>
    <n v="5310.8459999999995"/>
    <n v="3080.2906800000001"/>
    <n v="2230.5553199999999"/>
    <n v="42.000000000000007"/>
    <s v="UPI"/>
  </r>
  <r>
    <s v="ORD0795"/>
    <x v="27"/>
    <x v="8"/>
    <n v="6"/>
    <s v="CUST0289"/>
    <x v="8"/>
    <x v="2"/>
    <x v="4"/>
    <x v="9"/>
    <n v="4"/>
    <n v="887.69"/>
    <x v="3"/>
    <n v="3550.76"/>
    <n v="355.07600000000002"/>
    <n v="3195.6840000000002"/>
    <n v="2300.89248"/>
    <n v="894.79152000000022"/>
    <n v="28"/>
    <s v="Net Banking"/>
  </r>
  <r>
    <s v="ORD0796"/>
    <x v="110"/>
    <x v="6"/>
    <n v="7"/>
    <s v="CUST0121"/>
    <x v="8"/>
    <x v="2"/>
    <x v="1"/>
    <x v="1"/>
    <n v="5"/>
    <n v="296.69"/>
    <x v="1"/>
    <n v="1483.45"/>
    <n v="222.51750000000001"/>
    <n v="1260.9324999999999"/>
    <n v="655.68490000000008"/>
    <n v="605.24760000000003"/>
    <n v="48"/>
    <s v="UPI"/>
  </r>
  <r>
    <s v="ORD0797"/>
    <x v="23"/>
    <x v="10"/>
    <n v="8"/>
    <s v="CUST0177"/>
    <x v="3"/>
    <x v="1"/>
    <x v="3"/>
    <x v="8"/>
    <n v="3"/>
    <n v="1220.04"/>
    <x v="2"/>
    <n v="3660.12"/>
    <n v="0"/>
    <n v="3660.12"/>
    <n v="2122.8696"/>
    <n v="1537.2503999999999"/>
    <n v="42"/>
    <s v="Net Banking"/>
  </r>
  <r>
    <s v="ORD0798"/>
    <x v="281"/>
    <x v="10"/>
    <n v="8"/>
    <s v="CUST0118"/>
    <x v="6"/>
    <x v="2"/>
    <x v="4"/>
    <x v="13"/>
    <n v="7"/>
    <n v="194.56"/>
    <x v="3"/>
    <n v="1361.92"/>
    <n v="136.19200000000001"/>
    <n v="1225.7280000000001"/>
    <n v="882.52416000000005"/>
    <n v="343.20384000000001"/>
    <n v="28"/>
    <s v="Debit Card"/>
  </r>
  <r>
    <s v="ORD0799"/>
    <x v="320"/>
    <x v="5"/>
    <n v="11"/>
    <s v="CUST0080"/>
    <x v="0"/>
    <x v="0"/>
    <x v="0"/>
    <x v="19"/>
    <n v="7"/>
    <n v="3994.85"/>
    <x v="0"/>
    <n v="27963.95"/>
    <n v="5592.7900000000009"/>
    <n v="22371.16"/>
    <n v="12304.138000000001"/>
    <n v="10067.022000000001"/>
    <n v="44.999999999999993"/>
    <s v="Debit Card"/>
  </r>
  <r>
    <s v="ORD0800"/>
    <x v="207"/>
    <x v="10"/>
    <n v="8"/>
    <s v="CUST0007"/>
    <x v="0"/>
    <x v="1"/>
    <x v="5"/>
    <x v="20"/>
    <n v="5"/>
    <n v="24985.07"/>
    <x v="4"/>
    <n v="124925.35"/>
    <n v="6246.2675000000008"/>
    <n v="118679.0825"/>
    <n v="80701.776100000003"/>
    <n v="37977.306400000001"/>
    <n v="32"/>
    <s v="Credit Card"/>
  </r>
  <r>
    <s v="ORD0801"/>
    <x v="164"/>
    <x v="10"/>
    <n v="8"/>
    <s v="CUST0292"/>
    <x v="3"/>
    <x v="2"/>
    <x v="2"/>
    <x v="27"/>
    <n v="1"/>
    <n v="60419.19"/>
    <x v="3"/>
    <n v="60419.19"/>
    <n v="6041.9190000000008"/>
    <n v="54377.271000000001"/>
    <n v="42414.271379999998"/>
    <n v="11962.999620000001"/>
    <n v="22"/>
    <s v="Net Banking"/>
  </r>
  <r>
    <s v="ORD0802"/>
    <x v="121"/>
    <x v="0"/>
    <n v="4"/>
    <s v="CUST0232"/>
    <x v="8"/>
    <x v="0"/>
    <x v="5"/>
    <x v="14"/>
    <n v="4"/>
    <n v="20518.060000000001"/>
    <x v="1"/>
    <n v="82072.240000000005"/>
    <n v="12310.835999999999"/>
    <n v="69761.40400000001"/>
    <n v="47437.754720000012"/>
    <n v="22323.649280000001"/>
    <n v="32"/>
    <s v="Net Banking"/>
  </r>
  <r>
    <s v="ORD0803"/>
    <x v="191"/>
    <x v="6"/>
    <n v="7"/>
    <s v="CUST0109"/>
    <x v="9"/>
    <x v="0"/>
    <x v="4"/>
    <x v="11"/>
    <n v="3"/>
    <n v="654.64"/>
    <x v="1"/>
    <n v="1963.92"/>
    <n v="294.58800000000002"/>
    <n v="1669.3320000000001"/>
    <n v="1201.91904"/>
    <n v="467.41296000000011"/>
    <n v="28"/>
    <s v="Net Banking"/>
  </r>
  <r>
    <s v="ORD0804"/>
    <x v="148"/>
    <x v="9"/>
    <n v="5"/>
    <s v="CUST0067"/>
    <x v="0"/>
    <x v="2"/>
    <x v="0"/>
    <x v="3"/>
    <n v="3"/>
    <n v="653.13"/>
    <x v="4"/>
    <n v="1959.39"/>
    <n v="97.969499999999996"/>
    <n v="1861.4204999999999"/>
    <n v="1023.7812750000001"/>
    <n v="837.6392249999999"/>
    <n v="44.999999999999993"/>
    <s v="UPI"/>
  </r>
  <r>
    <s v="ORD0805"/>
    <x v="163"/>
    <x v="3"/>
    <n v="2"/>
    <s v="CUST0238"/>
    <x v="1"/>
    <x v="1"/>
    <x v="3"/>
    <x v="8"/>
    <n v="1"/>
    <n v="1764.16"/>
    <x v="5"/>
    <n v="1764.16"/>
    <n v="529.24800000000005"/>
    <n v="1234.912"/>
    <n v="716.24896000000001"/>
    <n v="518.66304000000002"/>
    <n v="42"/>
    <s v="Credit Card"/>
  </r>
  <r>
    <s v="ORD0806"/>
    <x v="252"/>
    <x v="1"/>
    <n v="3"/>
    <s v="CUST0145"/>
    <x v="7"/>
    <x v="0"/>
    <x v="3"/>
    <x v="17"/>
    <n v="6"/>
    <n v="588.42999999999995"/>
    <x v="6"/>
    <n v="3530.58"/>
    <n v="882.64499999999998"/>
    <n v="2647.9349999999999"/>
    <n v="1535.8023000000001"/>
    <n v="1112.1327000000001"/>
    <n v="42.000000000000007"/>
    <s v="Net Banking"/>
  </r>
  <r>
    <s v="ORD0807"/>
    <x v="56"/>
    <x v="0"/>
    <n v="4"/>
    <s v="CUST0079"/>
    <x v="3"/>
    <x v="1"/>
    <x v="0"/>
    <x v="3"/>
    <n v="2"/>
    <n v="1645.53"/>
    <x v="4"/>
    <n v="3291.06"/>
    <n v="164.553"/>
    <n v="3126.5070000000001"/>
    <n v="1719.5788500000001"/>
    <n v="1406.92815"/>
    <n v="44.999999999999993"/>
    <s v="Cash"/>
  </r>
  <r>
    <s v="ORD0808"/>
    <x v="35"/>
    <x v="0"/>
    <n v="4"/>
    <s v="CUST0122"/>
    <x v="6"/>
    <x v="1"/>
    <x v="2"/>
    <x v="27"/>
    <n v="7"/>
    <n v="51430.26"/>
    <x v="3"/>
    <n v="360011.82"/>
    <n v="36001.182000000001"/>
    <n v="324010.63799999998"/>
    <n v="252728.29764"/>
    <n v="71282.340360000002"/>
    <n v="22"/>
    <s v="UPI"/>
  </r>
  <r>
    <s v="ORD0809"/>
    <x v="73"/>
    <x v="5"/>
    <n v="11"/>
    <s v="CUST0244"/>
    <x v="5"/>
    <x v="1"/>
    <x v="1"/>
    <x v="25"/>
    <n v="2"/>
    <n v="1477.91"/>
    <x v="0"/>
    <n v="2955.82"/>
    <n v="591.1640000000001"/>
    <n v="2364.6559999999999"/>
    <n v="1229.62112"/>
    <n v="1135.0348799999999"/>
    <n v="48"/>
    <s v="Credit Card"/>
  </r>
  <r>
    <s v="ORD0810"/>
    <x v="257"/>
    <x v="6"/>
    <n v="7"/>
    <s v="CUST0133"/>
    <x v="0"/>
    <x v="2"/>
    <x v="2"/>
    <x v="27"/>
    <n v="4"/>
    <n v="12305.4"/>
    <x v="1"/>
    <n v="49221.599999999999"/>
    <n v="7383.24"/>
    <n v="41838.36"/>
    <n v="32633.9208"/>
    <n v="9204.4392000000007"/>
    <n v="22"/>
    <s v="Debit Card"/>
  </r>
  <r>
    <s v="ORD0811"/>
    <x v="125"/>
    <x v="10"/>
    <n v="8"/>
    <s v="CUST0276"/>
    <x v="7"/>
    <x v="0"/>
    <x v="4"/>
    <x v="9"/>
    <n v="6"/>
    <n v="870.7"/>
    <x v="4"/>
    <n v="5224.2000000000007"/>
    <n v="261.20999999999998"/>
    <n v="4962.9900000000007"/>
    <n v="3573.352800000001"/>
    <n v="1389.6371999999999"/>
    <n v="28"/>
    <s v="Credit Card"/>
  </r>
  <r>
    <s v="ORD0812"/>
    <x v="59"/>
    <x v="8"/>
    <n v="6"/>
    <s v="CUST0054"/>
    <x v="4"/>
    <x v="0"/>
    <x v="3"/>
    <x v="5"/>
    <n v="6"/>
    <n v="1262.1099999999999"/>
    <x v="2"/>
    <n v="7572.66"/>
    <n v="0"/>
    <n v="7572.66"/>
    <n v="4392.1427999999996"/>
    <n v="3180.5171999999998"/>
    <n v="42.000000000000007"/>
    <s v="UPI"/>
  </r>
  <r>
    <s v="ORD0813"/>
    <x v="73"/>
    <x v="5"/>
    <n v="11"/>
    <s v="CUST0212"/>
    <x v="4"/>
    <x v="2"/>
    <x v="4"/>
    <x v="13"/>
    <n v="7"/>
    <n v="121.85"/>
    <x v="1"/>
    <n v="852.94999999999993"/>
    <n v="127.9425"/>
    <n v="725.00749999999994"/>
    <n v="522.0053999999999"/>
    <n v="203.00210000000001"/>
    <n v="28.000000000000011"/>
    <s v="Cash"/>
  </r>
  <r>
    <s v="ORD0814"/>
    <x v="113"/>
    <x v="8"/>
    <n v="6"/>
    <s v="CUST0045"/>
    <x v="8"/>
    <x v="1"/>
    <x v="2"/>
    <x v="27"/>
    <n v="3"/>
    <n v="23278.69"/>
    <x v="0"/>
    <n v="69836.069999999992"/>
    <n v="13967.214"/>
    <n v="55868.855999999992"/>
    <n v="43577.707679999992"/>
    <n v="12291.14832"/>
    <n v="22"/>
    <s v="Debit Card"/>
  </r>
  <r>
    <s v="ORD0815"/>
    <x v="321"/>
    <x v="7"/>
    <n v="12"/>
    <s v="CUST0145"/>
    <x v="1"/>
    <x v="0"/>
    <x v="4"/>
    <x v="13"/>
    <n v="3"/>
    <n v="679.12"/>
    <x v="1"/>
    <n v="2037.36"/>
    <n v="305.60399999999998"/>
    <n v="1731.7560000000001"/>
    <n v="1246.8643199999999"/>
    <n v="484.89168000000018"/>
    <n v="28.000000000000011"/>
    <s v="Net Banking"/>
  </r>
  <r>
    <s v="ORD0816"/>
    <x v="322"/>
    <x v="3"/>
    <n v="2"/>
    <s v="CUST0083"/>
    <x v="5"/>
    <x v="0"/>
    <x v="3"/>
    <x v="8"/>
    <n v="3"/>
    <n v="1257.98"/>
    <x v="1"/>
    <n v="3773.94"/>
    <n v="566.09100000000001"/>
    <n v="3207.8490000000002"/>
    <n v="1860.55242"/>
    <n v="1347.2965799999999"/>
    <n v="42.000000000000007"/>
    <s v="Debit Card"/>
  </r>
  <r>
    <s v="ORD0817"/>
    <x v="210"/>
    <x v="2"/>
    <n v="10"/>
    <s v="CUST0129"/>
    <x v="8"/>
    <x v="2"/>
    <x v="2"/>
    <x v="22"/>
    <n v="1"/>
    <n v="42416.19"/>
    <x v="4"/>
    <n v="42416.19"/>
    <n v="2120.8094999999998"/>
    <n v="40295.380499999999"/>
    <n v="31430.396789999999"/>
    <n v="8864.9837100000004"/>
    <n v="22"/>
    <s v="Cash"/>
  </r>
  <r>
    <s v="ORD0818"/>
    <x v="122"/>
    <x v="11"/>
    <n v="1"/>
    <s v="CUST0094"/>
    <x v="0"/>
    <x v="2"/>
    <x v="2"/>
    <x v="27"/>
    <n v="7"/>
    <n v="20641.43"/>
    <x v="0"/>
    <n v="144490.01"/>
    <n v="28898.002"/>
    <n v="115592.008"/>
    <n v="90161.766239999997"/>
    <n v="25430.241760000001"/>
    <n v="22"/>
    <s v="Debit Card"/>
  </r>
  <r>
    <s v="ORD0819"/>
    <x v="274"/>
    <x v="5"/>
    <n v="11"/>
    <s v="CUST0141"/>
    <x v="0"/>
    <x v="1"/>
    <x v="0"/>
    <x v="3"/>
    <n v="3"/>
    <n v="4941.9399999999996"/>
    <x v="0"/>
    <n v="14825.82"/>
    <n v="2965.1640000000002"/>
    <n v="11860.656000000001"/>
    <n v="6523.3608000000004"/>
    <n v="5337.2951999999987"/>
    <n v="44.999999999999993"/>
    <s v="Net Banking"/>
  </r>
  <r>
    <s v="ORD0820"/>
    <x v="84"/>
    <x v="7"/>
    <n v="12"/>
    <s v="CUST0128"/>
    <x v="4"/>
    <x v="1"/>
    <x v="2"/>
    <x v="10"/>
    <n v="4"/>
    <n v="9736.1"/>
    <x v="2"/>
    <n v="38944.400000000001"/>
    <n v="0"/>
    <n v="38944.400000000001"/>
    <n v="30376.632000000001"/>
    <n v="8567.768"/>
    <n v="22"/>
    <s v="Debit Card"/>
  </r>
  <r>
    <s v="ORD0821"/>
    <x v="101"/>
    <x v="3"/>
    <n v="2"/>
    <s v="CUST0077"/>
    <x v="9"/>
    <x v="2"/>
    <x v="0"/>
    <x v="19"/>
    <n v="3"/>
    <n v="3094.34"/>
    <x v="5"/>
    <n v="9283.02"/>
    <n v="2784.9059999999999"/>
    <n v="6498.1139999999996"/>
    <n v="3573.9627"/>
    <n v="2924.1513"/>
    <n v="44.999999999999993"/>
    <s v="Cash"/>
  </r>
  <r>
    <s v="ORD0822"/>
    <x v="33"/>
    <x v="9"/>
    <n v="5"/>
    <s v="CUST0297"/>
    <x v="1"/>
    <x v="0"/>
    <x v="3"/>
    <x v="17"/>
    <n v="7"/>
    <n v="976.88"/>
    <x v="0"/>
    <n v="6838.16"/>
    <n v="1367.6320000000001"/>
    <n v="5470.5280000000002"/>
    <n v="3172.9062399999998"/>
    <n v="2297.62176"/>
    <n v="42.000000000000007"/>
    <s v="Credit Card"/>
  </r>
  <r>
    <s v="ORD0823"/>
    <x v="255"/>
    <x v="1"/>
    <n v="3"/>
    <s v="CUST0194"/>
    <x v="7"/>
    <x v="0"/>
    <x v="2"/>
    <x v="10"/>
    <n v="7"/>
    <n v="57474.1"/>
    <x v="3"/>
    <n v="402318.7"/>
    <n v="40231.870000000003"/>
    <n v="362086.83"/>
    <n v="282427.72739999997"/>
    <n v="79659.102599999984"/>
    <n v="21.999999999999989"/>
    <s v="UPI"/>
  </r>
  <r>
    <s v="ORD0824"/>
    <x v="89"/>
    <x v="8"/>
    <n v="6"/>
    <s v="CUST0225"/>
    <x v="8"/>
    <x v="1"/>
    <x v="1"/>
    <x v="1"/>
    <n v="4"/>
    <n v="1912.77"/>
    <x v="5"/>
    <n v="7651.08"/>
    <n v="2295.3240000000001"/>
    <n v="5355.7559999999994"/>
    <n v="2784.9931200000001"/>
    <n v="2570.7628800000002"/>
    <n v="48.000000000000007"/>
    <s v="Credit Card"/>
  </r>
  <r>
    <s v="ORD0825"/>
    <x v="206"/>
    <x v="0"/>
    <n v="4"/>
    <s v="CUST0052"/>
    <x v="7"/>
    <x v="0"/>
    <x v="3"/>
    <x v="24"/>
    <n v="1"/>
    <n v="861.49"/>
    <x v="3"/>
    <n v="861.49"/>
    <n v="86.149000000000001"/>
    <n v="775.34100000000001"/>
    <n v="449.69778000000002"/>
    <n v="325.64321999999999"/>
    <n v="42.000000000000007"/>
    <s v="Debit Card"/>
  </r>
  <r>
    <s v="ORD0826"/>
    <x v="121"/>
    <x v="0"/>
    <n v="4"/>
    <s v="CUST0153"/>
    <x v="4"/>
    <x v="1"/>
    <x v="0"/>
    <x v="19"/>
    <n v="5"/>
    <n v="5347.76"/>
    <x v="1"/>
    <n v="26738.799999999999"/>
    <n v="4010.82"/>
    <n v="22727.98"/>
    <n v="12500.388999999999"/>
    <n v="10227.591"/>
    <n v="44.999999999999993"/>
    <s v="Cash"/>
  </r>
  <r>
    <s v="ORD0827"/>
    <x v="133"/>
    <x v="8"/>
    <n v="6"/>
    <s v="CUST0089"/>
    <x v="2"/>
    <x v="1"/>
    <x v="4"/>
    <x v="13"/>
    <n v="4"/>
    <n v="184.19"/>
    <x v="1"/>
    <n v="736.76"/>
    <n v="110.514"/>
    <n v="626.24599999999998"/>
    <n v="450.89711999999997"/>
    <n v="175.34888000000001"/>
    <n v="28"/>
    <s v="UPI"/>
  </r>
  <r>
    <s v="ORD0828"/>
    <x v="323"/>
    <x v="4"/>
    <n v="9"/>
    <s v="CUST0272"/>
    <x v="1"/>
    <x v="2"/>
    <x v="0"/>
    <x v="4"/>
    <n v="1"/>
    <n v="928.33"/>
    <x v="1"/>
    <n v="928.33"/>
    <n v="139.24950000000001"/>
    <n v="789.08050000000003"/>
    <n v="433.99427500000007"/>
    <n v="355.08622500000001"/>
    <n v="44.999999999999993"/>
    <s v="Debit Card"/>
  </r>
  <r>
    <s v="ORD0829"/>
    <x v="204"/>
    <x v="2"/>
    <n v="10"/>
    <s v="CUST0150"/>
    <x v="8"/>
    <x v="1"/>
    <x v="2"/>
    <x v="22"/>
    <n v="2"/>
    <n v="50155.11"/>
    <x v="2"/>
    <n v="100310.22"/>
    <n v="0"/>
    <n v="100310.22"/>
    <n v="78241.971600000004"/>
    <n v="22068.2484"/>
    <n v="22"/>
    <s v="UPI"/>
  </r>
  <r>
    <s v="ORD0830"/>
    <x v="281"/>
    <x v="10"/>
    <n v="8"/>
    <s v="CUST0239"/>
    <x v="7"/>
    <x v="1"/>
    <x v="1"/>
    <x v="23"/>
    <n v="3"/>
    <n v="1375.62"/>
    <x v="4"/>
    <n v="4126.8599999999997"/>
    <n v="206.34299999999999"/>
    <n v="3920.5169999999998"/>
    <n v="2038.66884"/>
    <n v="1881.84816"/>
    <n v="48"/>
    <s v="Debit Card"/>
  </r>
  <r>
    <s v="ORD0831"/>
    <x v="292"/>
    <x v="3"/>
    <n v="2"/>
    <s v="CUST0296"/>
    <x v="8"/>
    <x v="2"/>
    <x v="4"/>
    <x v="21"/>
    <n v="4"/>
    <n v="339.8"/>
    <x v="6"/>
    <n v="1359.2"/>
    <n v="339.8"/>
    <n v="1019.4"/>
    <n v="733.96800000000007"/>
    <n v="285.43200000000002"/>
    <n v="28"/>
    <s v="Cash"/>
  </r>
  <r>
    <s v="ORD0832"/>
    <x v="324"/>
    <x v="6"/>
    <n v="7"/>
    <s v="CUST0216"/>
    <x v="0"/>
    <x v="1"/>
    <x v="2"/>
    <x v="2"/>
    <n v="1"/>
    <n v="35059.1"/>
    <x v="4"/>
    <n v="35059.1"/>
    <n v="1752.9549999999999"/>
    <n v="33306.144999999997"/>
    <n v="25978.793099999999"/>
    <n v="7327.3518999999978"/>
    <n v="21.999999999999989"/>
    <s v="Credit Card"/>
  </r>
  <r>
    <s v="ORD0833"/>
    <x v="267"/>
    <x v="4"/>
    <n v="9"/>
    <s v="CUST0022"/>
    <x v="3"/>
    <x v="2"/>
    <x v="1"/>
    <x v="7"/>
    <n v="5"/>
    <n v="319.92"/>
    <x v="2"/>
    <n v="1599.6"/>
    <n v="0"/>
    <n v="1599.6"/>
    <n v="831.79200000000014"/>
    <n v="767.80799999999999"/>
    <n v="48"/>
    <s v="Credit Card"/>
  </r>
  <r>
    <s v="ORD0834"/>
    <x v="58"/>
    <x v="3"/>
    <n v="2"/>
    <s v="CUST0193"/>
    <x v="6"/>
    <x v="0"/>
    <x v="4"/>
    <x v="13"/>
    <n v="5"/>
    <n v="799.65"/>
    <x v="0"/>
    <n v="3998.25"/>
    <n v="799.65000000000009"/>
    <n v="3198.6"/>
    <n v="2302.9920000000002"/>
    <n v="895.60800000000017"/>
    <n v="28.000000000000011"/>
    <s v="Debit Card"/>
  </r>
  <r>
    <s v="ORD0835"/>
    <x v="186"/>
    <x v="4"/>
    <n v="9"/>
    <s v="CUST0052"/>
    <x v="8"/>
    <x v="2"/>
    <x v="5"/>
    <x v="20"/>
    <n v="2"/>
    <n v="18239.38"/>
    <x v="3"/>
    <n v="36478.76"/>
    <n v="3647.8760000000002"/>
    <n v="32830.884000000013"/>
    <n v="22325.001120000001"/>
    <n v="10505.882879999999"/>
    <n v="32"/>
    <s v="UPI"/>
  </r>
  <r>
    <s v="ORD0836"/>
    <x v="41"/>
    <x v="5"/>
    <n v="11"/>
    <s v="CUST0188"/>
    <x v="4"/>
    <x v="0"/>
    <x v="2"/>
    <x v="2"/>
    <n v="7"/>
    <n v="41480.080000000002"/>
    <x v="2"/>
    <n v="290360.56"/>
    <n v="0"/>
    <n v="290360.56"/>
    <n v="226481.23680000001"/>
    <n v="63879.323199999977"/>
    <n v="21.999999999999989"/>
    <s v="Debit Card"/>
  </r>
  <r>
    <s v="ORD0837"/>
    <x v="104"/>
    <x v="6"/>
    <n v="7"/>
    <s v="CUST0092"/>
    <x v="2"/>
    <x v="0"/>
    <x v="3"/>
    <x v="24"/>
    <n v="7"/>
    <n v="1294.07"/>
    <x v="4"/>
    <n v="9058.49"/>
    <n v="452.92450000000002"/>
    <n v="8605.5655000000006"/>
    <n v="4991.2279900000003"/>
    <n v="3614.3375099999998"/>
    <n v="42"/>
    <s v="Credit Card"/>
  </r>
  <r>
    <s v="ORD0838"/>
    <x v="255"/>
    <x v="1"/>
    <n v="3"/>
    <s v="CUST0084"/>
    <x v="4"/>
    <x v="1"/>
    <x v="5"/>
    <x v="20"/>
    <n v="2"/>
    <n v="9713.9500000000007"/>
    <x v="4"/>
    <n v="19427.900000000001"/>
    <n v="971.3950000000001"/>
    <n v="18456.505000000001"/>
    <n v="12550.4234"/>
    <n v="5906.0816000000004"/>
    <n v="32"/>
    <s v="Credit Card"/>
  </r>
  <r>
    <s v="ORD0839"/>
    <x v="242"/>
    <x v="9"/>
    <n v="5"/>
    <s v="CUST0213"/>
    <x v="6"/>
    <x v="2"/>
    <x v="3"/>
    <x v="17"/>
    <n v="1"/>
    <n v="1473.48"/>
    <x v="3"/>
    <n v="1473.48"/>
    <n v="147.34800000000001"/>
    <n v="1326.1320000000001"/>
    <n v="769.15656000000001"/>
    <n v="556.97544000000005"/>
    <n v="42.000000000000007"/>
    <s v="Cash"/>
  </r>
  <r>
    <s v="ORD0840"/>
    <x v="325"/>
    <x v="2"/>
    <n v="10"/>
    <s v="CUST0280"/>
    <x v="6"/>
    <x v="2"/>
    <x v="0"/>
    <x v="0"/>
    <n v="2"/>
    <n v="4859.8100000000004"/>
    <x v="4"/>
    <n v="9719.6200000000008"/>
    <n v="485.98100000000011"/>
    <n v="9233.639000000001"/>
    <n v="5078.5014500000007"/>
    <n v="4155.1375500000004"/>
    <n v="45"/>
    <s v="Cash"/>
  </r>
  <r>
    <s v="ORD0841"/>
    <x v="223"/>
    <x v="7"/>
    <n v="12"/>
    <s v="CUST0238"/>
    <x v="8"/>
    <x v="2"/>
    <x v="1"/>
    <x v="25"/>
    <n v="5"/>
    <n v="1035.56"/>
    <x v="1"/>
    <n v="5177.7999999999993"/>
    <n v="776.66999999999985"/>
    <n v="4401.1299999999992"/>
    <n v="2288.5875999999998"/>
    <n v="2112.5423999999989"/>
    <n v="47.999999999999993"/>
    <s v="Debit Card"/>
  </r>
  <r>
    <s v="ORD0842"/>
    <x v="120"/>
    <x v="8"/>
    <n v="6"/>
    <s v="CUST0295"/>
    <x v="2"/>
    <x v="2"/>
    <x v="3"/>
    <x v="18"/>
    <n v="5"/>
    <n v="1765.92"/>
    <x v="2"/>
    <n v="8829.6"/>
    <n v="0"/>
    <n v="8829.6"/>
    <n v="5121.1679999999997"/>
    <n v="3708.4320000000012"/>
    <n v="42.000000000000007"/>
    <s v="Debit Card"/>
  </r>
  <r>
    <s v="ORD0843"/>
    <x v="216"/>
    <x v="9"/>
    <n v="5"/>
    <s v="CUST0288"/>
    <x v="2"/>
    <x v="0"/>
    <x v="3"/>
    <x v="18"/>
    <n v="2"/>
    <n v="622.66999999999996"/>
    <x v="1"/>
    <n v="1245.3399999999999"/>
    <n v="186.80099999999999"/>
    <n v="1058.539"/>
    <n v="613.95261999999991"/>
    <n v="444.58638000000008"/>
    <n v="42.000000000000007"/>
    <s v="UPI"/>
  </r>
  <r>
    <s v="ORD0844"/>
    <x v="200"/>
    <x v="3"/>
    <n v="2"/>
    <s v="CUST0231"/>
    <x v="0"/>
    <x v="1"/>
    <x v="1"/>
    <x v="23"/>
    <n v="2"/>
    <n v="1462.2"/>
    <x v="3"/>
    <n v="2924.4"/>
    <n v="292.44"/>
    <n v="2631.96"/>
    <n v="1368.6192000000001"/>
    <n v="1263.3407999999999"/>
    <n v="48"/>
    <s v="Credit Card"/>
  </r>
  <r>
    <s v="ORD0845"/>
    <x v="276"/>
    <x v="0"/>
    <n v="4"/>
    <s v="CUST0168"/>
    <x v="6"/>
    <x v="2"/>
    <x v="2"/>
    <x v="10"/>
    <n v="1"/>
    <n v="61005.54"/>
    <x v="3"/>
    <n v="61005.54"/>
    <n v="6100.5540000000001"/>
    <n v="54904.985999999997"/>
    <n v="42825.889080000008"/>
    <n v="12079.09692"/>
    <n v="21.999999999999989"/>
    <s v="Credit Card"/>
  </r>
  <r>
    <s v="ORD0846"/>
    <x v="124"/>
    <x v="6"/>
    <n v="7"/>
    <s v="CUST0048"/>
    <x v="0"/>
    <x v="2"/>
    <x v="5"/>
    <x v="28"/>
    <n v="3"/>
    <n v="2783"/>
    <x v="4"/>
    <n v="8349"/>
    <n v="417.45"/>
    <n v="7931.55"/>
    <n v="5393.4540000000006"/>
    <n v="2538.096"/>
    <n v="32"/>
    <s v="Debit Card"/>
  </r>
  <r>
    <s v="ORD0847"/>
    <x v="109"/>
    <x v="3"/>
    <n v="2"/>
    <s v="CUST0218"/>
    <x v="5"/>
    <x v="0"/>
    <x v="3"/>
    <x v="17"/>
    <n v="6"/>
    <n v="1126.4100000000001"/>
    <x v="1"/>
    <n v="6758.4600000000009"/>
    <n v="1013.769"/>
    <n v="5744.6910000000007"/>
    <n v="3331.9207799999999"/>
    <n v="2412.7702199999999"/>
    <n v="42"/>
    <s v="Net Banking"/>
  </r>
  <r>
    <s v="ORD0848"/>
    <x v="27"/>
    <x v="8"/>
    <n v="6"/>
    <s v="CUST0202"/>
    <x v="1"/>
    <x v="2"/>
    <x v="5"/>
    <x v="14"/>
    <n v="6"/>
    <n v="13167.3"/>
    <x v="2"/>
    <n v="79003.799999999988"/>
    <n v="0"/>
    <n v="79003.799999999988"/>
    <n v="53722.584000000003"/>
    <n v="25281.215999999989"/>
    <n v="32"/>
    <s v="Net Banking"/>
  </r>
  <r>
    <s v="ORD0849"/>
    <x v="4"/>
    <x v="1"/>
    <n v="3"/>
    <s v="CUST0176"/>
    <x v="8"/>
    <x v="0"/>
    <x v="1"/>
    <x v="25"/>
    <n v="2"/>
    <n v="3132.16"/>
    <x v="3"/>
    <n v="6264.32"/>
    <n v="626.43200000000002"/>
    <n v="5637.8879999999999"/>
    <n v="2931.7017599999999"/>
    <n v="2706.18624"/>
    <n v="48"/>
    <s v="UPI"/>
  </r>
  <r>
    <s v="ORD0850"/>
    <x v="64"/>
    <x v="11"/>
    <n v="1"/>
    <s v="CUST0042"/>
    <x v="9"/>
    <x v="2"/>
    <x v="3"/>
    <x v="8"/>
    <n v="1"/>
    <n v="2148.3200000000002"/>
    <x v="1"/>
    <n v="2148.3200000000002"/>
    <n v="322.24799999999999"/>
    <n v="1826.0719999999999"/>
    <n v="1059.12176"/>
    <n v="766.95024000000012"/>
    <n v="42.000000000000007"/>
    <s v="Debit Card"/>
  </r>
  <r>
    <s v="ORD0851"/>
    <x v="232"/>
    <x v="5"/>
    <n v="11"/>
    <s v="CUST0071"/>
    <x v="1"/>
    <x v="1"/>
    <x v="2"/>
    <x v="29"/>
    <n v="2"/>
    <n v="39799.11"/>
    <x v="3"/>
    <n v="79598.22"/>
    <n v="7959.8220000000001"/>
    <n v="71638.398000000001"/>
    <n v="55877.950440000001"/>
    <n v="15760.447560000001"/>
    <n v="22"/>
    <s v="UPI"/>
  </r>
  <r>
    <s v="ORD0852"/>
    <x v="56"/>
    <x v="0"/>
    <n v="4"/>
    <s v="CUST0225"/>
    <x v="7"/>
    <x v="0"/>
    <x v="4"/>
    <x v="9"/>
    <n v="7"/>
    <n v="1102.44"/>
    <x v="3"/>
    <n v="7717.08"/>
    <n v="771.70800000000008"/>
    <n v="6945.3719999999994"/>
    <n v="5000.6678399999992"/>
    <n v="1944.70416"/>
    <n v="28.000000000000011"/>
    <s v="Credit Card"/>
  </r>
  <r>
    <s v="ORD0853"/>
    <x v="169"/>
    <x v="8"/>
    <n v="6"/>
    <s v="CUST0245"/>
    <x v="1"/>
    <x v="0"/>
    <x v="4"/>
    <x v="13"/>
    <n v="5"/>
    <n v="693.77"/>
    <x v="3"/>
    <n v="3468.85"/>
    <n v="346.88499999999999"/>
    <n v="3121.9650000000001"/>
    <n v="2247.8148000000001"/>
    <n v="874.15020000000004"/>
    <n v="28"/>
    <s v="Net Banking"/>
  </r>
  <r>
    <s v="ORD0854"/>
    <x v="64"/>
    <x v="11"/>
    <n v="1"/>
    <s v="CUST0104"/>
    <x v="5"/>
    <x v="0"/>
    <x v="0"/>
    <x v="19"/>
    <n v="6"/>
    <n v="774.26"/>
    <x v="1"/>
    <n v="4645.5599999999986"/>
    <n v="696.83399999999995"/>
    <n v="3948.7260000000001"/>
    <n v="2171.7993000000001"/>
    <n v="1776.9267"/>
    <n v="44.999999999999993"/>
    <s v="Net Banking"/>
  </r>
  <r>
    <s v="ORD0855"/>
    <x v="28"/>
    <x v="9"/>
    <n v="5"/>
    <s v="CUST0295"/>
    <x v="9"/>
    <x v="2"/>
    <x v="5"/>
    <x v="14"/>
    <n v="2"/>
    <n v="3731.76"/>
    <x v="3"/>
    <n v="7463.52"/>
    <n v="746.35200000000009"/>
    <n v="6717.1680000000006"/>
    <n v="4567.6742400000003"/>
    <n v="2149.4937599999998"/>
    <n v="32"/>
    <s v="Cash"/>
  </r>
  <r>
    <s v="ORD0856"/>
    <x v="326"/>
    <x v="5"/>
    <n v="11"/>
    <s v="CUST0110"/>
    <x v="8"/>
    <x v="0"/>
    <x v="0"/>
    <x v="19"/>
    <n v="2"/>
    <n v="4780.87"/>
    <x v="6"/>
    <n v="9561.74"/>
    <n v="2390.4349999999999"/>
    <n v="7171.3050000000003"/>
    <n v="3944.2177500000012"/>
    <n v="3227.08725"/>
    <n v="44.999999999999993"/>
    <s v="Credit Card"/>
  </r>
  <r>
    <s v="ORD0857"/>
    <x v="81"/>
    <x v="6"/>
    <n v="7"/>
    <s v="CUST0271"/>
    <x v="8"/>
    <x v="1"/>
    <x v="0"/>
    <x v="19"/>
    <n v="1"/>
    <n v="1086.03"/>
    <x v="1"/>
    <n v="1086.03"/>
    <n v="162.90450000000001"/>
    <n v="923.12549999999999"/>
    <n v="507.71902499999999"/>
    <n v="415.40647499999989"/>
    <n v="44.999999999999993"/>
    <s v="Debit Card"/>
  </r>
  <r>
    <s v="ORD0858"/>
    <x v="264"/>
    <x v="9"/>
    <n v="5"/>
    <s v="CUST0298"/>
    <x v="7"/>
    <x v="2"/>
    <x v="2"/>
    <x v="2"/>
    <n v="2"/>
    <n v="11254.65"/>
    <x v="2"/>
    <n v="22509.3"/>
    <n v="0"/>
    <n v="22509.3"/>
    <n v="17557.254000000001"/>
    <n v="4952.0459999999975"/>
    <n v="21.999999999999989"/>
    <s v="UPI"/>
  </r>
  <r>
    <s v="ORD0859"/>
    <x v="54"/>
    <x v="11"/>
    <n v="1"/>
    <s v="CUST0030"/>
    <x v="8"/>
    <x v="1"/>
    <x v="1"/>
    <x v="6"/>
    <n v="5"/>
    <n v="1244.3499999999999"/>
    <x v="0"/>
    <n v="6221.75"/>
    <n v="1244.3499999999999"/>
    <n v="4977.3999999999996"/>
    <n v="2588.248"/>
    <n v="2389.152"/>
    <n v="47.999999999999993"/>
    <s v="UPI"/>
  </r>
  <r>
    <s v="ORD0860"/>
    <x v="132"/>
    <x v="9"/>
    <n v="5"/>
    <s v="CUST0281"/>
    <x v="7"/>
    <x v="2"/>
    <x v="1"/>
    <x v="6"/>
    <n v="1"/>
    <n v="977.37"/>
    <x v="6"/>
    <n v="977.37"/>
    <n v="244.3425"/>
    <n v="733.02750000000003"/>
    <n v="381.17430000000002"/>
    <n v="351.85320000000002"/>
    <n v="48"/>
    <s v="Credit Card"/>
  </r>
  <r>
    <s v="ORD0861"/>
    <x v="238"/>
    <x v="2"/>
    <n v="10"/>
    <s v="CUST0130"/>
    <x v="4"/>
    <x v="0"/>
    <x v="3"/>
    <x v="8"/>
    <n v="2"/>
    <n v="2417.85"/>
    <x v="4"/>
    <n v="4835.7"/>
    <n v="241.785"/>
    <n v="4593.915"/>
    <n v="2664.4706999999999"/>
    <n v="1929.4443000000001"/>
    <n v="42.000000000000007"/>
    <s v="UPI"/>
  </r>
  <r>
    <s v="ORD0862"/>
    <x v="137"/>
    <x v="4"/>
    <n v="9"/>
    <s v="CUST0046"/>
    <x v="9"/>
    <x v="0"/>
    <x v="5"/>
    <x v="12"/>
    <n v="5"/>
    <n v="11221.55"/>
    <x v="3"/>
    <n v="56107.75"/>
    <n v="5610.7750000000005"/>
    <n v="50496.974999999999"/>
    <n v="34337.942999999999"/>
    <n v="16159.031999999999"/>
    <n v="32"/>
    <s v="Debit Card"/>
  </r>
  <r>
    <s v="ORD0863"/>
    <x v="247"/>
    <x v="9"/>
    <n v="5"/>
    <s v="CUST0178"/>
    <x v="2"/>
    <x v="0"/>
    <x v="1"/>
    <x v="1"/>
    <n v="3"/>
    <n v="3394.47"/>
    <x v="6"/>
    <n v="10183.41"/>
    <n v="2545.8525"/>
    <n v="7637.5574999999999"/>
    <n v="3971.5299"/>
    <n v="3666.0275999999999"/>
    <n v="48"/>
    <s v="UPI"/>
  </r>
  <r>
    <s v="ORD0864"/>
    <x v="92"/>
    <x v="0"/>
    <n v="4"/>
    <s v="CUST0196"/>
    <x v="2"/>
    <x v="1"/>
    <x v="5"/>
    <x v="28"/>
    <n v="7"/>
    <n v="12599.16"/>
    <x v="1"/>
    <n v="88194.12"/>
    <n v="13229.118"/>
    <n v="74965.001999999993"/>
    <n v="50976.201359999999"/>
    <n v="23988.80063999999"/>
    <n v="32"/>
    <s v="Debit Card"/>
  </r>
  <r>
    <s v="ORD0865"/>
    <x v="12"/>
    <x v="8"/>
    <n v="6"/>
    <s v="CUST0153"/>
    <x v="1"/>
    <x v="1"/>
    <x v="2"/>
    <x v="27"/>
    <n v="6"/>
    <n v="26639.39"/>
    <x v="1"/>
    <n v="159836.34"/>
    <n v="23975.451000000001"/>
    <n v="135860.889"/>
    <n v="105971.49342"/>
    <n v="29889.39558"/>
    <n v="22"/>
    <s v="UPI"/>
  </r>
  <r>
    <s v="ORD0866"/>
    <x v="327"/>
    <x v="11"/>
    <n v="1"/>
    <s v="CUST0013"/>
    <x v="3"/>
    <x v="0"/>
    <x v="5"/>
    <x v="20"/>
    <n v="2"/>
    <n v="14478.11"/>
    <x v="3"/>
    <n v="28956.22"/>
    <n v="2895.6219999999998"/>
    <n v="26060.598000000002"/>
    <n v="17721.20664"/>
    <n v="8339.3913599999978"/>
    <n v="31.999999999999989"/>
    <s v="UPI"/>
  </r>
  <r>
    <s v="ORD0867"/>
    <x v="253"/>
    <x v="8"/>
    <n v="6"/>
    <s v="CUST0182"/>
    <x v="4"/>
    <x v="1"/>
    <x v="1"/>
    <x v="23"/>
    <n v="3"/>
    <n v="1610.77"/>
    <x v="1"/>
    <n v="4832.3099999999986"/>
    <n v="724.84649999999988"/>
    <n v="4107.4634999999998"/>
    <n v="2135.8810199999998"/>
    <n v="1971.58248"/>
    <n v="48.000000000000007"/>
    <s v="Credit Card"/>
  </r>
  <r>
    <s v="ORD0868"/>
    <x v="328"/>
    <x v="10"/>
    <n v="8"/>
    <s v="CUST0132"/>
    <x v="7"/>
    <x v="0"/>
    <x v="4"/>
    <x v="26"/>
    <n v="2"/>
    <n v="355.43"/>
    <x v="0"/>
    <n v="710.86"/>
    <n v="142.172"/>
    <n v="568.68799999999999"/>
    <n v="409.45535999999998"/>
    <n v="159.23264"/>
    <n v="28"/>
    <s v="Debit Card"/>
  </r>
  <r>
    <s v="ORD0869"/>
    <x v="323"/>
    <x v="4"/>
    <n v="9"/>
    <s v="CUST0253"/>
    <x v="3"/>
    <x v="1"/>
    <x v="4"/>
    <x v="9"/>
    <n v="4"/>
    <n v="461.95"/>
    <x v="4"/>
    <n v="1847.8"/>
    <n v="92.39"/>
    <n v="1755.41"/>
    <n v="1263.8951999999999"/>
    <n v="491.51479999999992"/>
    <n v="28"/>
    <s v="Credit Card"/>
  </r>
  <r>
    <s v="ORD0870"/>
    <x v="107"/>
    <x v="11"/>
    <n v="1"/>
    <s v="CUST0104"/>
    <x v="2"/>
    <x v="0"/>
    <x v="4"/>
    <x v="26"/>
    <n v="2"/>
    <n v="605.91"/>
    <x v="2"/>
    <n v="1211.82"/>
    <n v="0"/>
    <n v="1211.82"/>
    <n v="872.51039999999989"/>
    <n v="339.30959999999999"/>
    <n v="28"/>
    <s v="UPI"/>
  </r>
  <r>
    <s v="ORD0871"/>
    <x v="329"/>
    <x v="4"/>
    <n v="9"/>
    <s v="CUST0236"/>
    <x v="5"/>
    <x v="2"/>
    <x v="3"/>
    <x v="8"/>
    <n v="4"/>
    <n v="1609.3"/>
    <x v="0"/>
    <n v="6437.2"/>
    <n v="1287.44"/>
    <n v="5149.76"/>
    <n v="2986.8607999999999"/>
    <n v="2162.8991999999998"/>
    <n v="42.000000000000007"/>
    <s v="UPI"/>
  </r>
  <r>
    <s v="ORD0872"/>
    <x v="193"/>
    <x v="9"/>
    <n v="5"/>
    <s v="CUST0165"/>
    <x v="6"/>
    <x v="1"/>
    <x v="3"/>
    <x v="17"/>
    <n v="1"/>
    <n v="1259.3599999999999"/>
    <x v="3"/>
    <n v="1259.3599999999999"/>
    <n v="125.93600000000001"/>
    <n v="1133.424"/>
    <n v="657.38591999999994"/>
    <n v="476.03807999999998"/>
    <n v="42.000000000000007"/>
    <s v="Debit Card"/>
  </r>
  <r>
    <s v="ORD0873"/>
    <x v="330"/>
    <x v="9"/>
    <n v="5"/>
    <s v="CUST0094"/>
    <x v="9"/>
    <x v="1"/>
    <x v="0"/>
    <x v="19"/>
    <n v="3"/>
    <n v="3421.61"/>
    <x v="2"/>
    <n v="10264.83"/>
    <n v="0"/>
    <n v="10264.83"/>
    <n v="5645.6565000000001"/>
    <n v="4619.1734999999999"/>
    <n v="45"/>
    <s v="Net Banking"/>
  </r>
  <r>
    <s v="ORD0874"/>
    <x v="236"/>
    <x v="1"/>
    <n v="3"/>
    <s v="CUST0102"/>
    <x v="2"/>
    <x v="2"/>
    <x v="0"/>
    <x v="4"/>
    <n v="4"/>
    <n v="2049.85"/>
    <x v="1"/>
    <n v="8199.4"/>
    <n v="1229.9100000000001"/>
    <n v="6969.49"/>
    <n v="3833.2195000000002"/>
    <n v="3136.2705000000001"/>
    <n v="44.999999999999993"/>
    <s v="Credit Card"/>
  </r>
  <r>
    <s v="ORD0875"/>
    <x v="204"/>
    <x v="2"/>
    <n v="10"/>
    <s v="CUST0245"/>
    <x v="4"/>
    <x v="0"/>
    <x v="3"/>
    <x v="17"/>
    <n v="1"/>
    <n v="1240.4100000000001"/>
    <x v="3"/>
    <n v="1240.4100000000001"/>
    <n v="124.041"/>
    <n v="1116.3689999999999"/>
    <n v="647.49402000000009"/>
    <n v="468.87498000000011"/>
    <n v="42"/>
    <s v="Credit Card"/>
  </r>
  <r>
    <s v="ORD0876"/>
    <x v="191"/>
    <x v="6"/>
    <n v="7"/>
    <s v="CUST0033"/>
    <x v="8"/>
    <x v="0"/>
    <x v="2"/>
    <x v="22"/>
    <n v="6"/>
    <n v="46361.47"/>
    <x v="2"/>
    <n v="278168.82"/>
    <n v="0"/>
    <n v="278168.82"/>
    <n v="216971.6796"/>
    <n v="61197.140399999997"/>
    <n v="22"/>
    <s v="Debit Card"/>
  </r>
  <r>
    <s v="ORD0877"/>
    <x v="188"/>
    <x v="2"/>
    <n v="10"/>
    <s v="CUST0003"/>
    <x v="6"/>
    <x v="0"/>
    <x v="5"/>
    <x v="12"/>
    <n v="1"/>
    <n v="13159.9"/>
    <x v="3"/>
    <n v="13159.9"/>
    <n v="1315.99"/>
    <n v="11843.91"/>
    <n v="8053.8588000000009"/>
    <n v="3790.051199999999"/>
    <n v="31.999999999999989"/>
    <s v="Net Banking"/>
  </r>
  <r>
    <s v="ORD0878"/>
    <x v="244"/>
    <x v="8"/>
    <n v="6"/>
    <s v="CUST0286"/>
    <x v="4"/>
    <x v="1"/>
    <x v="4"/>
    <x v="13"/>
    <n v="3"/>
    <n v="635.28"/>
    <x v="3"/>
    <n v="1905.84"/>
    <n v="190.584"/>
    <n v="1715.2560000000001"/>
    <n v="1234.98432"/>
    <n v="480.27168000000012"/>
    <n v="28.000000000000011"/>
    <s v="UPI"/>
  </r>
  <r>
    <s v="ORD0879"/>
    <x v="311"/>
    <x v="2"/>
    <n v="10"/>
    <s v="CUST0046"/>
    <x v="5"/>
    <x v="0"/>
    <x v="4"/>
    <x v="21"/>
    <n v="7"/>
    <n v="591.44000000000005"/>
    <x v="4"/>
    <n v="4140.08"/>
    <n v="207.00399999999999"/>
    <n v="3933.076"/>
    <n v="2831.8147199999999"/>
    <n v="1101.2612799999999"/>
    <n v="28"/>
    <s v="Cash"/>
  </r>
  <r>
    <s v="ORD0880"/>
    <x v="69"/>
    <x v="1"/>
    <n v="3"/>
    <s v="CUST0088"/>
    <x v="3"/>
    <x v="1"/>
    <x v="1"/>
    <x v="1"/>
    <n v="7"/>
    <n v="1450.72"/>
    <x v="3"/>
    <n v="10155.040000000001"/>
    <n v="1015.504"/>
    <n v="9139.5360000000001"/>
    <n v="4752.55872"/>
    <n v="4386.9772800000001"/>
    <n v="48"/>
    <s v="Cash"/>
  </r>
  <r>
    <s v="ORD0881"/>
    <x v="10"/>
    <x v="3"/>
    <n v="2"/>
    <s v="CUST0133"/>
    <x v="0"/>
    <x v="2"/>
    <x v="2"/>
    <x v="10"/>
    <n v="6"/>
    <n v="26565.03"/>
    <x v="3"/>
    <n v="159390.18"/>
    <n v="15939.018"/>
    <n v="143451.16200000001"/>
    <n v="111891.90635999999"/>
    <n v="31559.255639999988"/>
    <n v="21.999999999999989"/>
    <s v="Net Banking"/>
  </r>
  <r>
    <s v="ORD0882"/>
    <x v="331"/>
    <x v="0"/>
    <n v="4"/>
    <s v="CUST0270"/>
    <x v="6"/>
    <x v="0"/>
    <x v="1"/>
    <x v="23"/>
    <n v="7"/>
    <n v="1350.91"/>
    <x v="1"/>
    <n v="9456.3700000000008"/>
    <n v="1418.4555"/>
    <n v="8037.9145000000008"/>
    <n v="4179.7155400000001"/>
    <n v="3858.1989600000011"/>
    <n v="48.000000000000007"/>
    <s v="Credit Card"/>
  </r>
  <r>
    <s v="ORD0883"/>
    <x v="67"/>
    <x v="1"/>
    <n v="3"/>
    <s v="CUST0057"/>
    <x v="8"/>
    <x v="2"/>
    <x v="5"/>
    <x v="12"/>
    <n v="1"/>
    <n v="20968.91"/>
    <x v="4"/>
    <n v="20968.91"/>
    <n v="1048.4455"/>
    <n v="19920.464499999998"/>
    <n v="13545.915859999999"/>
    <n v="6374.5486399999991"/>
    <n v="32"/>
    <s v="UPI"/>
  </r>
  <r>
    <s v="ORD0884"/>
    <x v="88"/>
    <x v="7"/>
    <n v="12"/>
    <s v="CUST0020"/>
    <x v="9"/>
    <x v="1"/>
    <x v="3"/>
    <x v="24"/>
    <n v="7"/>
    <n v="100.58"/>
    <x v="4"/>
    <n v="704.06"/>
    <n v="35.203000000000003"/>
    <n v="668.85699999999997"/>
    <n v="387.93705999999997"/>
    <n v="280.91994"/>
    <n v="42.000000000000007"/>
    <s v="Credit Card"/>
  </r>
  <r>
    <s v="ORD0885"/>
    <x v="332"/>
    <x v="3"/>
    <n v="2"/>
    <s v="CUST0009"/>
    <x v="7"/>
    <x v="2"/>
    <x v="5"/>
    <x v="14"/>
    <n v="2"/>
    <n v="18455.36"/>
    <x v="2"/>
    <n v="36910.720000000001"/>
    <n v="0"/>
    <n v="36910.720000000001"/>
    <n v="25099.2896"/>
    <n v="11811.430399999999"/>
    <n v="31.999999999999989"/>
    <s v="UPI"/>
  </r>
  <r>
    <s v="ORD0886"/>
    <x v="162"/>
    <x v="6"/>
    <n v="7"/>
    <s v="CUST0207"/>
    <x v="6"/>
    <x v="2"/>
    <x v="3"/>
    <x v="8"/>
    <n v="1"/>
    <n v="1781.09"/>
    <x v="3"/>
    <n v="1781.09"/>
    <n v="178.10900000000001"/>
    <n v="1602.981"/>
    <n v="929.72897999999998"/>
    <n v="673.25202000000002"/>
    <n v="42"/>
    <s v="Debit Card"/>
  </r>
  <r>
    <s v="ORD0887"/>
    <x v="21"/>
    <x v="9"/>
    <n v="5"/>
    <s v="CUST0140"/>
    <x v="4"/>
    <x v="0"/>
    <x v="2"/>
    <x v="29"/>
    <n v="2"/>
    <n v="22785.79"/>
    <x v="1"/>
    <n v="45571.58"/>
    <n v="6835.7370000000001"/>
    <n v="38735.843000000001"/>
    <n v="30213.957539999999"/>
    <n v="8521.8854599999977"/>
    <n v="21.999999999999989"/>
    <s v="Net Banking"/>
  </r>
  <r>
    <s v="ORD0888"/>
    <x v="105"/>
    <x v="1"/>
    <n v="3"/>
    <s v="CUST0201"/>
    <x v="4"/>
    <x v="0"/>
    <x v="0"/>
    <x v="15"/>
    <n v="1"/>
    <n v="4811.8500000000004"/>
    <x v="3"/>
    <n v="4811.8500000000004"/>
    <n v="481.18500000000012"/>
    <n v="4330.665"/>
    <n v="2381.8657499999999"/>
    <n v="1948.79925"/>
    <n v="44.999999999999993"/>
    <s v="Debit Card"/>
  </r>
  <r>
    <s v="ORD0889"/>
    <x v="331"/>
    <x v="0"/>
    <n v="4"/>
    <s v="CUST0105"/>
    <x v="7"/>
    <x v="1"/>
    <x v="2"/>
    <x v="10"/>
    <n v="6"/>
    <n v="19695.669999999998"/>
    <x v="3"/>
    <n v="118174.02"/>
    <n v="11817.402"/>
    <n v="106356.618"/>
    <n v="82958.162039999996"/>
    <n v="23398.455959999988"/>
    <n v="21.999999999999989"/>
    <s v="Credit Card"/>
  </r>
  <r>
    <s v="ORD0890"/>
    <x v="246"/>
    <x v="9"/>
    <n v="5"/>
    <s v="CUST0186"/>
    <x v="3"/>
    <x v="1"/>
    <x v="2"/>
    <x v="27"/>
    <n v="2"/>
    <n v="22077.03"/>
    <x v="6"/>
    <n v="44154.06"/>
    <n v="11038.514999999999"/>
    <n v="33115.544999999998"/>
    <n v="25830.125100000001"/>
    <n v="7285.4198999999971"/>
    <n v="21.999999999999989"/>
    <s v="Cash"/>
  </r>
  <r>
    <s v="ORD0891"/>
    <x v="323"/>
    <x v="4"/>
    <n v="9"/>
    <s v="CUST0283"/>
    <x v="2"/>
    <x v="1"/>
    <x v="1"/>
    <x v="23"/>
    <n v="7"/>
    <n v="2183.16"/>
    <x v="2"/>
    <n v="15282.12"/>
    <n v="0"/>
    <n v="15282.12"/>
    <n v="7946.7024000000001"/>
    <n v="7335.4175999999989"/>
    <n v="48"/>
    <s v="Cash"/>
  </r>
  <r>
    <s v="ORD0892"/>
    <x v="57"/>
    <x v="11"/>
    <n v="1"/>
    <s v="CUST0063"/>
    <x v="8"/>
    <x v="2"/>
    <x v="0"/>
    <x v="3"/>
    <n v="6"/>
    <n v="909.36"/>
    <x v="3"/>
    <n v="5456.16"/>
    <n v="545.61599999999999"/>
    <n v="4910.5439999999999"/>
    <n v="2700.7991999999999"/>
    <n v="2209.7447999999999"/>
    <n v="45"/>
    <s v="UPI"/>
  </r>
  <r>
    <s v="ORD0893"/>
    <x v="0"/>
    <x v="0"/>
    <n v="4"/>
    <s v="CUST0152"/>
    <x v="1"/>
    <x v="1"/>
    <x v="0"/>
    <x v="0"/>
    <n v="7"/>
    <n v="3030.35"/>
    <x v="4"/>
    <n v="21212.45"/>
    <n v="1060.6224999999999"/>
    <n v="20151.827499999999"/>
    <n v="11083.505125"/>
    <n v="9068.3223749999997"/>
    <n v="45"/>
    <s v="Credit Card"/>
  </r>
  <r>
    <s v="ORD0894"/>
    <x v="271"/>
    <x v="2"/>
    <n v="10"/>
    <s v="CUST0065"/>
    <x v="8"/>
    <x v="1"/>
    <x v="3"/>
    <x v="8"/>
    <n v="4"/>
    <n v="1256.77"/>
    <x v="0"/>
    <n v="5027.08"/>
    <n v="1005.4160000000001"/>
    <n v="4021.6640000000002"/>
    <n v="2332.5651200000002"/>
    <n v="1689.09888"/>
    <n v="42.000000000000007"/>
    <s v="Credit Card"/>
  </r>
  <r>
    <s v="ORD0895"/>
    <x v="63"/>
    <x v="5"/>
    <n v="11"/>
    <s v="CUST0231"/>
    <x v="8"/>
    <x v="0"/>
    <x v="1"/>
    <x v="6"/>
    <n v="6"/>
    <n v="2966.56"/>
    <x v="1"/>
    <n v="17799.36"/>
    <n v="2669.904"/>
    <n v="15129.456"/>
    <n v="7867.3171200000006"/>
    <n v="7262.1388800000004"/>
    <n v="48"/>
    <s v="Net Banking"/>
  </r>
  <r>
    <s v="ORD0896"/>
    <x v="316"/>
    <x v="5"/>
    <n v="11"/>
    <s v="CUST0105"/>
    <x v="2"/>
    <x v="0"/>
    <x v="4"/>
    <x v="9"/>
    <n v="4"/>
    <n v="409.65"/>
    <x v="3"/>
    <n v="1638.6"/>
    <n v="163.86"/>
    <n v="1474.74"/>
    <n v="1061.8127999999999"/>
    <n v="412.92720000000008"/>
    <n v="28.000000000000011"/>
    <s v="Cash"/>
  </r>
  <r>
    <s v="ORD0897"/>
    <x v="113"/>
    <x v="8"/>
    <n v="6"/>
    <s v="CUST0213"/>
    <x v="6"/>
    <x v="2"/>
    <x v="1"/>
    <x v="6"/>
    <n v="7"/>
    <n v="546.82000000000005"/>
    <x v="1"/>
    <n v="3827.74"/>
    <n v="574.16100000000006"/>
    <n v="3253.5790000000002"/>
    <n v="1691.8610799999999"/>
    <n v="1561.71792"/>
    <n v="48"/>
    <s v="Cash"/>
  </r>
  <r>
    <s v="ORD0898"/>
    <x v="254"/>
    <x v="10"/>
    <n v="8"/>
    <s v="CUST0109"/>
    <x v="1"/>
    <x v="0"/>
    <x v="2"/>
    <x v="2"/>
    <n v="7"/>
    <n v="47476.65"/>
    <x v="1"/>
    <n v="332336.55"/>
    <n v="49850.482499999998"/>
    <n v="282486.0675"/>
    <n v="220339.13265000001"/>
    <n v="62146.934849999991"/>
    <n v="22"/>
    <s v="Credit Card"/>
  </r>
  <r>
    <s v="ORD0899"/>
    <x v="281"/>
    <x v="10"/>
    <n v="8"/>
    <s v="CUST0062"/>
    <x v="4"/>
    <x v="1"/>
    <x v="4"/>
    <x v="26"/>
    <n v="1"/>
    <n v="131.03"/>
    <x v="4"/>
    <n v="131.03"/>
    <n v="6.5515000000000008"/>
    <n v="124.4785"/>
    <n v="89.62451999999999"/>
    <n v="34.853980000000007"/>
    <n v="28.000000000000011"/>
    <s v="Credit Card"/>
  </r>
  <r>
    <s v="ORD0900"/>
    <x v="333"/>
    <x v="1"/>
    <n v="3"/>
    <s v="CUST0234"/>
    <x v="3"/>
    <x v="2"/>
    <x v="4"/>
    <x v="21"/>
    <n v="6"/>
    <n v="236.51"/>
    <x v="3"/>
    <n v="1419.06"/>
    <n v="141.90600000000001"/>
    <n v="1277.154"/>
    <n v="919.55088000000001"/>
    <n v="357.60311999999999"/>
    <n v="28"/>
    <s v="UPI"/>
  </r>
  <r>
    <s v="ORD0901"/>
    <x v="265"/>
    <x v="4"/>
    <n v="9"/>
    <s v="CUST0180"/>
    <x v="4"/>
    <x v="2"/>
    <x v="5"/>
    <x v="12"/>
    <n v="3"/>
    <n v="17264.57"/>
    <x v="3"/>
    <n v="51793.71"/>
    <n v="5179.3710000000001"/>
    <n v="46614.339"/>
    <n v="31697.750520000001"/>
    <n v="14916.58848"/>
    <n v="32"/>
    <s v="Net Banking"/>
  </r>
  <r>
    <s v="ORD0902"/>
    <x v="172"/>
    <x v="7"/>
    <n v="12"/>
    <s v="CUST0118"/>
    <x v="4"/>
    <x v="1"/>
    <x v="0"/>
    <x v="0"/>
    <n v="3"/>
    <n v="1071.78"/>
    <x v="5"/>
    <n v="3215.34"/>
    <n v="964.60199999999998"/>
    <n v="2250.7379999999998"/>
    <n v="1237.9059"/>
    <n v="1012.8321"/>
    <n v="44.999999999999993"/>
    <s v="Debit Card"/>
  </r>
  <r>
    <s v="ORD0903"/>
    <x v="228"/>
    <x v="4"/>
    <n v="9"/>
    <s v="CUST0026"/>
    <x v="4"/>
    <x v="2"/>
    <x v="4"/>
    <x v="11"/>
    <n v="4"/>
    <n v="380.88"/>
    <x v="1"/>
    <n v="1523.52"/>
    <n v="228.52799999999999"/>
    <n v="1294.992"/>
    <n v="932.39423999999997"/>
    <n v="362.59775999999999"/>
    <n v="28"/>
    <s v="UPI"/>
  </r>
  <r>
    <s v="ORD0904"/>
    <x v="334"/>
    <x v="9"/>
    <n v="5"/>
    <s v="CUST0253"/>
    <x v="7"/>
    <x v="1"/>
    <x v="1"/>
    <x v="7"/>
    <n v="3"/>
    <n v="1712.24"/>
    <x v="4"/>
    <n v="5136.72"/>
    <n v="256.83600000000001"/>
    <n v="4879.884"/>
    <n v="2537.5396799999999"/>
    <n v="2342.3443200000002"/>
    <n v="47.999999999999993"/>
    <s v="Debit Card"/>
  </r>
  <r>
    <s v="ORD0905"/>
    <x v="171"/>
    <x v="9"/>
    <n v="5"/>
    <s v="CUST0082"/>
    <x v="6"/>
    <x v="0"/>
    <x v="3"/>
    <x v="17"/>
    <n v="2"/>
    <n v="2408.5300000000002"/>
    <x v="1"/>
    <n v="4817.0600000000004"/>
    <n v="722.55900000000008"/>
    <n v="4094.5010000000002"/>
    <n v="2374.8105799999998"/>
    <n v="1719.6904199999999"/>
    <n v="42.000000000000007"/>
    <s v="UPI"/>
  </r>
  <r>
    <s v="ORD0906"/>
    <x v="183"/>
    <x v="1"/>
    <n v="3"/>
    <s v="CUST0111"/>
    <x v="4"/>
    <x v="2"/>
    <x v="0"/>
    <x v="15"/>
    <n v="5"/>
    <n v="4790.46"/>
    <x v="0"/>
    <n v="23952.3"/>
    <n v="4790.46"/>
    <n v="19161.84"/>
    <n v="10539.012000000001"/>
    <n v="8622.8279999999995"/>
    <n v="44.999999999999993"/>
    <s v="UPI"/>
  </r>
  <r>
    <s v="ORD0907"/>
    <x v="104"/>
    <x v="6"/>
    <n v="7"/>
    <s v="CUST0257"/>
    <x v="0"/>
    <x v="1"/>
    <x v="5"/>
    <x v="14"/>
    <n v="3"/>
    <n v="5043.6899999999996"/>
    <x v="0"/>
    <n v="15131.07"/>
    <n v="3026.2139999999999"/>
    <n v="12104.856"/>
    <n v="8231.3020800000013"/>
    <n v="3873.553919999998"/>
    <n v="31.999999999999989"/>
    <s v="UPI"/>
  </r>
  <r>
    <s v="ORD0908"/>
    <x v="89"/>
    <x v="8"/>
    <n v="6"/>
    <s v="CUST0056"/>
    <x v="2"/>
    <x v="1"/>
    <x v="3"/>
    <x v="5"/>
    <n v="7"/>
    <n v="2337.87"/>
    <x v="6"/>
    <n v="16365.09"/>
    <n v="4091.2725"/>
    <n v="12273.817499999999"/>
    <n v="7118.8141500000002"/>
    <n v="5155.0033500000009"/>
    <n v="42.000000000000007"/>
    <s v="UPI"/>
  </r>
  <r>
    <s v="ORD0909"/>
    <x v="169"/>
    <x v="8"/>
    <n v="6"/>
    <s v="CUST0211"/>
    <x v="6"/>
    <x v="0"/>
    <x v="3"/>
    <x v="5"/>
    <n v="6"/>
    <n v="1277.67"/>
    <x v="3"/>
    <n v="7666.02"/>
    <n v="766.60200000000009"/>
    <n v="6899.4180000000006"/>
    <n v="4001.6624400000001"/>
    <n v="2897.755560000001"/>
    <n v="42.000000000000007"/>
    <s v="UPI"/>
  </r>
  <r>
    <s v="ORD0910"/>
    <x v="57"/>
    <x v="11"/>
    <n v="1"/>
    <s v="CUST0203"/>
    <x v="9"/>
    <x v="2"/>
    <x v="1"/>
    <x v="23"/>
    <n v="6"/>
    <n v="686.6"/>
    <x v="1"/>
    <n v="4119.6000000000004"/>
    <n v="617.94000000000005"/>
    <n v="3501.66"/>
    <n v="1820.8632"/>
    <n v="1680.7968000000001"/>
    <n v="48"/>
    <s v="Cash"/>
  </r>
  <r>
    <s v="ORD0911"/>
    <x v="49"/>
    <x v="5"/>
    <n v="11"/>
    <s v="CUST0090"/>
    <x v="5"/>
    <x v="2"/>
    <x v="3"/>
    <x v="24"/>
    <n v="7"/>
    <n v="2370.58"/>
    <x v="4"/>
    <n v="16594.060000000001"/>
    <n v="829.70299999999997"/>
    <n v="15764.357"/>
    <n v="9143.3270599999978"/>
    <n v="6621.0299400000004"/>
    <n v="42.000000000000007"/>
    <s v="Credit Card"/>
  </r>
  <r>
    <s v="ORD0912"/>
    <x v="220"/>
    <x v="4"/>
    <n v="9"/>
    <s v="CUST0103"/>
    <x v="2"/>
    <x v="2"/>
    <x v="2"/>
    <x v="2"/>
    <n v="6"/>
    <n v="27560.91"/>
    <x v="1"/>
    <n v="165365.46"/>
    <n v="24804.819"/>
    <n v="140560.641"/>
    <n v="109637.29998"/>
    <n v="30923.341019999989"/>
    <n v="21.999999999999989"/>
    <s v="Cash"/>
  </r>
  <r>
    <s v="ORD0913"/>
    <x v="149"/>
    <x v="1"/>
    <n v="3"/>
    <s v="CUST0217"/>
    <x v="4"/>
    <x v="0"/>
    <x v="2"/>
    <x v="29"/>
    <n v="3"/>
    <n v="47665.25"/>
    <x v="4"/>
    <n v="142995.75"/>
    <n v="7149.7875000000004"/>
    <n v="135845.96249999999"/>
    <n v="105959.85075"/>
    <n v="29886.11175"/>
    <n v="22"/>
    <s v="Credit Card"/>
  </r>
  <r>
    <s v="ORD0914"/>
    <x v="179"/>
    <x v="2"/>
    <n v="10"/>
    <s v="CUST0207"/>
    <x v="2"/>
    <x v="2"/>
    <x v="3"/>
    <x v="8"/>
    <n v="5"/>
    <n v="212.95"/>
    <x v="1"/>
    <n v="1064.75"/>
    <n v="159.71250000000001"/>
    <n v="905.03750000000002"/>
    <n v="524.92174999999997"/>
    <n v="380.11574999999999"/>
    <n v="42.000000000000007"/>
    <s v="Net Banking"/>
  </r>
  <r>
    <s v="ORD0915"/>
    <x v="267"/>
    <x v="4"/>
    <n v="9"/>
    <s v="CUST0074"/>
    <x v="8"/>
    <x v="1"/>
    <x v="2"/>
    <x v="27"/>
    <n v="3"/>
    <n v="23121.25"/>
    <x v="6"/>
    <n v="69363.75"/>
    <n v="17340.9375"/>
    <n v="52022.8125"/>
    <n v="40577.793749999997"/>
    <n v="11445.018749999999"/>
    <n v="21.999999999999989"/>
    <s v="Net Banking"/>
  </r>
  <r>
    <s v="ORD0916"/>
    <x v="148"/>
    <x v="9"/>
    <n v="5"/>
    <s v="CUST0198"/>
    <x v="5"/>
    <x v="1"/>
    <x v="2"/>
    <x v="22"/>
    <n v="3"/>
    <n v="26569.43"/>
    <x v="0"/>
    <n v="79708.290000000008"/>
    <n v="15941.657999999999"/>
    <n v="63766.632000000012"/>
    <n v="49737.972960000006"/>
    <n v="14028.65904"/>
    <n v="22"/>
    <s v="Debit Card"/>
  </r>
  <r>
    <s v="ORD0917"/>
    <x v="21"/>
    <x v="9"/>
    <n v="5"/>
    <s v="CUST0064"/>
    <x v="0"/>
    <x v="0"/>
    <x v="5"/>
    <x v="20"/>
    <n v="5"/>
    <n v="5338.44"/>
    <x v="4"/>
    <n v="26692.2"/>
    <n v="1334.61"/>
    <n v="25357.59"/>
    <n v="17243.161199999999"/>
    <n v="8114.4287999999979"/>
    <n v="32"/>
    <s v="Credit Card"/>
  </r>
  <r>
    <s v="ORD0918"/>
    <x v="96"/>
    <x v="7"/>
    <n v="12"/>
    <s v="CUST0239"/>
    <x v="8"/>
    <x v="0"/>
    <x v="4"/>
    <x v="21"/>
    <n v="5"/>
    <n v="158.74"/>
    <x v="0"/>
    <n v="793.7"/>
    <n v="158.74"/>
    <n v="634.96"/>
    <n v="457.1712"/>
    <n v="177.78880000000001"/>
    <n v="28"/>
    <s v="Credit Card"/>
  </r>
  <r>
    <s v="ORD0919"/>
    <x v="111"/>
    <x v="3"/>
    <n v="2"/>
    <s v="CUST0057"/>
    <x v="8"/>
    <x v="2"/>
    <x v="0"/>
    <x v="15"/>
    <n v="1"/>
    <n v="3401.23"/>
    <x v="0"/>
    <n v="3401.23"/>
    <n v="680.24600000000009"/>
    <n v="2720.9839999999999"/>
    <n v="1496.5411999999999"/>
    <n v="1224.4428"/>
    <n v="44.999999999999993"/>
    <s v="Cash"/>
  </r>
  <r>
    <s v="ORD0920"/>
    <x v="243"/>
    <x v="1"/>
    <n v="3"/>
    <s v="CUST0234"/>
    <x v="7"/>
    <x v="2"/>
    <x v="4"/>
    <x v="11"/>
    <n v="1"/>
    <n v="123.89"/>
    <x v="1"/>
    <n v="123.89"/>
    <n v="18.583500000000001"/>
    <n v="105.3065"/>
    <n v="75.820679999999996"/>
    <n v="29.48582"/>
    <n v="28"/>
    <s v="Cash"/>
  </r>
  <r>
    <s v="ORD0921"/>
    <x v="146"/>
    <x v="11"/>
    <n v="1"/>
    <s v="CUST0273"/>
    <x v="8"/>
    <x v="0"/>
    <x v="2"/>
    <x v="2"/>
    <n v="1"/>
    <n v="32528.04"/>
    <x v="4"/>
    <n v="32528.04"/>
    <n v="1626.402"/>
    <n v="30901.637999999999"/>
    <n v="24103.27764"/>
    <n v="6798.3603599999988"/>
    <n v="22"/>
    <s v="Debit Card"/>
  </r>
  <r>
    <s v="ORD0922"/>
    <x v="298"/>
    <x v="3"/>
    <n v="2"/>
    <s v="CUST0170"/>
    <x v="8"/>
    <x v="1"/>
    <x v="5"/>
    <x v="14"/>
    <n v="4"/>
    <n v="11553.86"/>
    <x v="4"/>
    <n v="46215.44"/>
    <n v="2310.7719999999999"/>
    <n v="43904.668000000012"/>
    <n v="29855.17424"/>
    <n v="14049.493759999999"/>
    <n v="32"/>
    <s v="Net Banking"/>
  </r>
  <r>
    <s v="ORD0923"/>
    <x v="115"/>
    <x v="6"/>
    <n v="7"/>
    <s v="CUST0201"/>
    <x v="5"/>
    <x v="2"/>
    <x v="4"/>
    <x v="21"/>
    <n v="6"/>
    <n v="187.91"/>
    <x v="3"/>
    <n v="1127.46"/>
    <n v="112.746"/>
    <n v="1014.7140000000001"/>
    <n v="730.59407999999996"/>
    <n v="284.11992000000009"/>
    <n v="28.000000000000011"/>
    <s v="Cash"/>
  </r>
  <r>
    <s v="ORD0924"/>
    <x v="178"/>
    <x v="1"/>
    <n v="3"/>
    <s v="CUST0186"/>
    <x v="3"/>
    <x v="1"/>
    <x v="4"/>
    <x v="9"/>
    <n v="3"/>
    <n v="272.86"/>
    <x v="4"/>
    <n v="818.58"/>
    <n v="40.929000000000002"/>
    <n v="777.65100000000007"/>
    <n v="559.90872000000002"/>
    <n v="217.74228000000011"/>
    <n v="28"/>
    <s v="Debit Card"/>
  </r>
  <r>
    <s v="ORD0925"/>
    <x v="170"/>
    <x v="8"/>
    <n v="6"/>
    <s v="CUST0260"/>
    <x v="6"/>
    <x v="1"/>
    <x v="1"/>
    <x v="23"/>
    <n v="6"/>
    <n v="3476.14"/>
    <x v="0"/>
    <n v="20856.84"/>
    <n v="4171.3680000000004"/>
    <n v="16685.472000000002"/>
    <n v="8676.4454400000013"/>
    <n v="8009.0265600000002"/>
    <n v="48"/>
    <s v="Debit Card"/>
  </r>
  <r>
    <s v="ORD0926"/>
    <x v="22"/>
    <x v="0"/>
    <n v="4"/>
    <s v="CUST0017"/>
    <x v="7"/>
    <x v="2"/>
    <x v="0"/>
    <x v="19"/>
    <n v="4"/>
    <n v="5063.33"/>
    <x v="3"/>
    <n v="20253.32"/>
    <n v="2025.3320000000001"/>
    <n v="18227.988000000001"/>
    <n v="10025.393400000001"/>
    <n v="8202.5946000000004"/>
    <n v="45"/>
    <s v="Debit Card"/>
  </r>
  <r>
    <s v="ORD0927"/>
    <x v="92"/>
    <x v="0"/>
    <n v="4"/>
    <s v="CUST0228"/>
    <x v="7"/>
    <x v="0"/>
    <x v="3"/>
    <x v="24"/>
    <n v="5"/>
    <n v="1649.82"/>
    <x v="2"/>
    <n v="8249.1"/>
    <n v="0"/>
    <n v="8249.1"/>
    <n v="4784.4780000000001"/>
    <n v="3464.6219999999998"/>
    <n v="42.000000000000007"/>
    <s v="Net Banking"/>
  </r>
  <r>
    <s v="ORD0928"/>
    <x v="93"/>
    <x v="8"/>
    <n v="6"/>
    <s v="CUST0168"/>
    <x v="5"/>
    <x v="2"/>
    <x v="4"/>
    <x v="9"/>
    <n v="7"/>
    <n v="1056.67"/>
    <x v="1"/>
    <n v="7396.6900000000014"/>
    <n v="1109.5035"/>
    <n v="6287.1865000000007"/>
    <n v="4526.7742800000015"/>
    <n v="1760.4122199999999"/>
    <n v="28"/>
    <s v="UPI"/>
  </r>
  <r>
    <s v="ORD0929"/>
    <x v="335"/>
    <x v="6"/>
    <n v="7"/>
    <s v="CUST0126"/>
    <x v="2"/>
    <x v="2"/>
    <x v="3"/>
    <x v="24"/>
    <n v="2"/>
    <n v="1345.99"/>
    <x v="4"/>
    <n v="2691.98"/>
    <n v="134.59899999999999"/>
    <n v="2557.3809999999999"/>
    <n v="1483.28098"/>
    <n v="1074.1000200000001"/>
    <n v="42.000000000000007"/>
    <s v="UPI"/>
  </r>
  <r>
    <s v="ORD0930"/>
    <x v="305"/>
    <x v="6"/>
    <n v="7"/>
    <s v="CUST0054"/>
    <x v="1"/>
    <x v="0"/>
    <x v="4"/>
    <x v="26"/>
    <n v="4"/>
    <n v="338.64"/>
    <x v="1"/>
    <n v="1354.56"/>
    <n v="203.184"/>
    <n v="1151.376"/>
    <n v="828.9907199999999"/>
    <n v="322.38528000000008"/>
    <n v="28.000000000000011"/>
    <s v="Net Banking"/>
  </r>
  <r>
    <s v="ORD0931"/>
    <x v="307"/>
    <x v="1"/>
    <n v="3"/>
    <s v="CUST0080"/>
    <x v="8"/>
    <x v="0"/>
    <x v="5"/>
    <x v="16"/>
    <n v="2"/>
    <n v="16426.04"/>
    <x v="4"/>
    <n v="32852.080000000002"/>
    <n v="1642.604"/>
    <n v="31209.475999999999"/>
    <n v="21222.44368"/>
    <n v="9987.0323199999984"/>
    <n v="32"/>
    <s v="Cash"/>
  </r>
  <r>
    <s v="ORD0932"/>
    <x v="336"/>
    <x v="0"/>
    <n v="4"/>
    <s v="CUST0050"/>
    <x v="8"/>
    <x v="1"/>
    <x v="3"/>
    <x v="8"/>
    <n v="1"/>
    <n v="2248.08"/>
    <x v="1"/>
    <n v="2248.08"/>
    <n v="337.21199999999999"/>
    <n v="1910.8679999999999"/>
    <n v="1108.3034399999999"/>
    <n v="802.56456000000003"/>
    <n v="42.000000000000007"/>
    <s v="Net Banking"/>
  </r>
  <r>
    <s v="ORD0933"/>
    <x v="47"/>
    <x v="10"/>
    <n v="8"/>
    <s v="CUST0183"/>
    <x v="3"/>
    <x v="2"/>
    <x v="0"/>
    <x v="3"/>
    <n v="3"/>
    <n v="4182.8599999999997"/>
    <x v="5"/>
    <n v="12548.58"/>
    <n v="3764.5739999999992"/>
    <n v="8784.0059999999994"/>
    <n v="4831.2033000000001"/>
    <n v="3952.8026999999988"/>
    <n v="44.999999999999993"/>
    <s v="Cash"/>
  </r>
  <r>
    <s v="ORD0934"/>
    <x v="155"/>
    <x v="5"/>
    <n v="11"/>
    <s v="CUST0052"/>
    <x v="4"/>
    <x v="1"/>
    <x v="1"/>
    <x v="6"/>
    <n v="4"/>
    <n v="1903.24"/>
    <x v="3"/>
    <n v="7612.96"/>
    <n v="761.29600000000005"/>
    <n v="6851.6639999999998"/>
    <n v="3562.86528"/>
    <n v="3288.7987199999998"/>
    <n v="48"/>
    <s v="Debit Card"/>
  </r>
  <r>
    <s v="ORD0935"/>
    <x v="17"/>
    <x v="0"/>
    <n v="4"/>
    <s v="CUST0068"/>
    <x v="2"/>
    <x v="2"/>
    <x v="0"/>
    <x v="4"/>
    <n v="2"/>
    <n v="3889.4"/>
    <x v="3"/>
    <n v="7778.8"/>
    <n v="777.88000000000011"/>
    <n v="7000.92"/>
    <n v="3850.5059999999999"/>
    <n v="3150.4140000000002"/>
    <n v="44.999999999999993"/>
    <s v="Debit Card"/>
  </r>
  <r>
    <s v="ORD0936"/>
    <x v="170"/>
    <x v="8"/>
    <n v="6"/>
    <s v="CUST0175"/>
    <x v="2"/>
    <x v="1"/>
    <x v="0"/>
    <x v="3"/>
    <n v="7"/>
    <n v="1053.4100000000001"/>
    <x v="3"/>
    <n v="7373.8700000000008"/>
    <n v="737.38700000000017"/>
    <n v="6636.4830000000002"/>
    <n v="3650.06565"/>
    <n v="2986.4173500000002"/>
    <n v="44.999999999999993"/>
    <s v="UPI"/>
  </r>
  <r>
    <s v="ORD0937"/>
    <x v="337"/>
    <x v="2"/>
    <n v="10"/>
    <s v="CUST0131"/>
    <x v="7"/>
    <x v="2"/>
    <x v="1"/>
    <x v="25"/>
    <n v="2"/>
    <n v="894.23"/>
    <x v="2"/>
    <n v="1788.46"/>
    <n v="0"/>
    <n v="1788.46"/>
    <n v="929.99920000000009"/>
    <n v="858.46079999999995"/>
    <n v="48"/>
    <s v="Net Banking"/>
  </r>
  <r>
    <s v="ORD0938"/>
    <x v="4"/>
    <x v="1"/>
    <n v="3"/>
    <s v="CUST0241"/>
    <x v="4"/>
    <x v="1"/>
    <x v="2"/>
    <x v="10"/>
    <n v="4"/>
    <n v="15262.26"/>
    <x v="1"/>
    <n v="61049.04"/>
    <n v="9157.3559999999998"/>
    <n v="51891.684000000001"/>
    <n v="40475.51352"/>
    <n v="11416.170480000001"/>
    <n v="22"/>
    <s v="Debit Card"/>
  </r>
  <r>
    <s v="ORD0939"/>
    <x v="203"/>
    <x v="7"/>
    <n v="12"/>
    <s v="CUST0223"/>
    <x v="9"/>
    <x v="0"/>
    <x v="2"/>
    <x v="10"/>
    <n v="7"/>
    <n v="17588.03"/>
    <x v="0"/>
    <n v="123116.21"/>
    <n v="24623.241999999998"/>
    <n v="98492.967999999993"/>
    <n v="76824.515039999998"/>
    <n v="21668.452959999999"/>
    <n v="22"/>
    <s v="Credit Card"/>
  </r>
  <r>
    <s v="ORD0940"/>
    <x v="185"/>
    <x v="10"/>
    <n v="8"/>
    <s v="CUST0244"/>
    <x v="5"/>
    <x v="1"/>
    <x v="4"/>
    <x v="21"/>
    <n v="3"/>
    <n v="1052.03"/>
    <x v="5"/>
    <n v="3156.09"/>
    <n v="946.827"/>
    <n v="2209.2629999999999"/>
    <n v="1590.6693600000001"/>
    <n v="618.59364000000005"/>
    <n v="28"/>
    <s v="UPI"/>
  </r>
  <r>
    <s v="ORD0941"/>
    <x v="193"/>
    <x v="9"/>
    <n v="5"/>
    <s v="CUST0055"/>
    <x v="7"/>
    <x v="0"/>
    <x v="0"/>
    <x v="15"/>
    <n v="1"/>
    <n v="2609.44"/>
    <x v="0"/>
    <n v="2609.44"/>
    <n v="521.88800000000003"/>
    <n v="2087.5520000000001"/>
    <n v="1148.1536000000001"/>
    <n v="939.39840000000004"/>
    <n v="45"/>
    <s v="UPI"/>
  </r>
  <r>
    <s v="ORD0942"/>
    <x v="117"/>
    <x v="2"/>
    <n v="10"/>
    <s v="CUST0112"/>
    <x v="8"/>
    <x v="2"/>
    <x v="1"/>
    <x v="6"/>
    <n v="6"/>
    <n v="1217.95"/>
    <x v="2"/>
    <n v="7307.7000000000007"/>
    <n v="0"/>
    <n v="7307.7000000000007"/>
    <n v="3800.0039999999999"/>
    <n v="3507.6959999999999"/>
    <n v="48"/>
    <s v="Credit Card"/>
  </r>
  <r>
    <s v="ORD0943"/>
    <x v="338"/>
    <x v="1"/>
    <n v="3"/>
    <s v="CUST0052"/>
    <x v="4"/>
    <x v="2"/>
    <x v="2"/>
    <x v="29"/>
    <n v="7"/>
    <n v="8456.4599999999991"/>
    <x v="2"/>
    <n v="59195.219999999987"/>
    <n v="0"/>
    <n v="59195.219999999987"/>
    <n v="46172.2716"/>
    <n v="13022.94839999999"/>
    <n v="21.999999999999989"/>
    <s v="Debit Card"/>
  </r>
  <r>
    <s v="ORD0944"/>
    <x v="307"/>
    <x v="1"/>
    <n v="3"/>
    <s v="CUST0069"/>
    <x v="1"/>
    <x v="1"/>
    <x v="1"/>
    <x v="7"/>
    <n v="5"/>
    <n v="2439.58"/>
    <x v="3"/>
    <n v="12197.9"/>
    <n v="1219.79"/>
    <n v="10978.11"/>
    <n v="5708.6172000000006"/>
    <n v="5269.4928"/>
    <n v="48"/>
    <s v="Cash"/>
  </r>
  <r>
    <s v="ORD0945"/>
    <x v="49"/>
    <x v="5"/>
    <n v="11"/>
    <s v="CUST0096"/>
    <x v="1"/>
    <x v="2"/>
    <x v="4"/>
    <x v="21"/>
    <n v="5"/>
    <n v="437.37"/>
    <x v="1"/>
    <n v="2186.85"/>
    <n v="328.02749999999997"/>
    <n v="1858.8225"/>
    <n v="1338.3522"/>
    <n v="520.47029999999995"/>
    <n v="28"/>
    <s v="Net Banking"/>
  </r>
  <r>
    <s v="ORD0946"/>
    <x v="17"/>
    <x v="0"/>
    <n v="4"/>
    <s v="CUST0121"/>
    <x v="9"/>
    <x v="0"/>
    <x v="0"/>
    <x v="3"/>
    <n v="5"/>
    <n v="4178.1400000000003"/>
    <x v="3"/>
    <n v="20890.7"/>
    <n v="2089.0700000000002"/>
    <n v="18801.63"/>
    <n v="10340.896500000001"/>
    <n v="8460.7335000000003"/>
    <n v="45"/>
    <s v="Credit Card"/>
  </r>
  <r>
    <s v="ORD0947"/>
    <x v="95"/>
    <x v="2"/>
    <n v="10"/>
    <s v="CUST0161"/>
    <x v="8"/>
    <x v="2"/>
    <x v="2"/>
    <x v="22"/>
    <n v="4"/>
    <n v="22456.09"/>
    <x v="6"/>
    <n v="89824.36"/>
    <n v="22456.09"/>
    <n v="67368.27"/>
    <n v="52547.250600000007"/>
    <n v="14821.019399999999"/>
    <n v="21.999999999999989"/>
    <s v="Credit Card"/>
  </r>
  <r>
    <s v="ORD0948"/>
    <x v="307"/>
    <x v="1"/>
    <n v="3"/>
    <s v="CUST0234"/>
    <x v="3"/>
    <x v="1"/>
    <x v="5"/>
    <x v="14"/>
    <n v="6"/>
    <n v="10098.68"/>
    <x v="3"/>
    <n v="60592.08"/>
    <n v="6059.2080000000014"/>
    <n v="54532.872000000003"/>
    <n v="37082.352959999997"/>
    <n v="17450.519039999999"/>
    <n v="32"/>
    <s v="Debit Card"/>
  </r>
  <r>
    <s v="ORD0949"/>
    <x v="281"/>
    <x v="10"/>
    <n v="8"/>
    <s v="CUST0226"/>
    <x v="8"/>
    <x v="0"/>
    <x v="2"/>
    <x v="10"/>
    <n v="2"/>
    <n v="39939.870000000003"/>
    <x v="1"/>
    <n v="79879.740000000005"/>
    <n v="11981.960999999999"/>
    <n v="67897.77900000001"/>
    <n v="52960.267620000013"/>
    <n v="14937.51138"/>
    <n v="22"/>
    <s v="Net Banking"/>
  </r>
  <r>
    <s v="ORD0950"/>
    <x v="144"/>
    <x v="6"/>
    <n v="7"/>
    <s v="CUST0085"/>
    <x v="0"/>
    <x v="0"/>
    <x v="1"/>
    <x v="7"/>
    <n v="3"/>
    <n v="2958.59"/>
    <x v="4"/>
    <n v="8875.77"/>
    <n v="443.78850000000011"/>
    <n v="8431.9814999999999"/>
    <n v="4384.6303800000014"/>
    <n v="4047.3511199999989"/>
    <n v="47.999999999999993"/>
    <s v="UPI"/>
  </r>
  <r>
    <s v="ORD0951"/>
    <x v="158"/>
    <x v="2"/>
    <n v="10"/>
    <s v="CUST0233"/>
    <x v="2"/>
    <x v="2"/>
    <x v="2"/>
    <x v="10"/>
    <n v="1"/>
    <n v="11489.35"/>
    <x v="1"/>
    <n v="11489.35"/>
    <n v="1723.4024999999999"/>
    <n v="9765.9475000000002"/>
    <n v="7617.4390500000009"/>
    <n v="2148.5084499999989"/>
    <n v="21.999999999999989"/>
    <s v="Cash"/>
  </r>
  <r>
    <s v="ORD0952"/>
    <x v="4"/>
    <x v="1"/>
    <n v="3"/>
    <s v="CUST0154"/>
    <x v="1"/>
    <x v="2"/>
    <x v="4"/>
    <x v="9"/>
    <n v="4"/>
    <n v="1004.09"/>
    <x v="1"/>
    <n v="4016.36"/>
    <n v="602.45399999999995"/>
    <n v="3413.9059999999999"/>
    <n v="2458.0123199999998"/>
    <n v="955.89368000000013"/>
    <n v="28"/>
    <s v="Net Banking"/>
  </r>
  <r>
    <s v="ORD0953"/>
    <x v="135"/>
    <x v="9"/>
    <n v="5"/>
    <s v="CUST0110"/>
    <x v="7"/>
    <x v="2"/>
    <x v="2"/>
    <x v="10"/>
    <n v="3"/>
    <n v="36950.15"/>
    <x v="3"/>
    <n v="110850.45"/>
    <n v="11085.045"/>
    <n v="99765.405000000013"/>
    <n v="77817.015900000013"/>
    <n v="21948.3891"/>
    <n v="22"/>
    <s v="Net Banking"/>
  </r>
  <r>
    <s v="ORD0954"/>
    <x v="186"/>
    <x v="4"/>
    <n v="9"/>
    <s v="CUST0019"/>
    <x v="6"/>
    <x v="0"/>
    <x v="3"/>
    <x v="24"/>
    <n v="1"/>
    <n v="2069.54"/>
    <x v="2"/>
    <n v="2069.54"/>
    <n v="0"/>
    <n v="2069.54"/>
    <n v="1200.3332"/>
    <n v="869.20680000000016"/>
    <n v="42.000000000000007"/>
    <s v="Credit Card"/>
  </r>
  <r>
    <s v="ORD0955"/>
    <x v="339"/>
    <x v="1"/>
    <n v="3"/>
    <s v="CUST0059"/>
    <x v="6"/>
    <x v="2"/>
    <x v="4"/>
    <x v="11"/>
    <n v="4"/>
    <n v="717.92"/>
    <x v="1"/>
    <n v="2871.68"/>
    <n v="430.75200000000001"/>
    <n v="2440.9279999999999"/>
    <n v="1757.4681599999999"/>
    <n v="683.45983999999999"/>
    <n v="28"/>
    <s v="Net Banking"/>
  </r>
  <r>
    <s v="ORD0956"/>
    <x v="325"/>
    <x v="2"/>
    <n v="10"/>
    <s v="CUST0008"/>
    <x v="4"/>
    <x v="2"/>
    <x v="2"/>
    <x v="2"/>
    <n v="1"/>
    <n v="14849.08"/>
    <x v="3"/>
    <n v="14849.08"/>
    <n v="1484.9079999999999"/>
    <n v="13364.172"/>
    <n v="10424.05416"/>
    <n v="2940.117839999999"/>
    <n v="21.999999999999989"/>
    <s v="UPI"/>
  </r>
  <r>
    <s v="ORD0957"/>
    <x v="141"/>
    <x v="11"/>
    <n v="1"/>
    <s v="CUST0080"/>
    <x v="4"/>
    <x v="2"/>
    <x v="0"/>
    <x v="3"/>
    <n v="6"/>
    <n v="5691.98"/>
    <x v="2"/>
    <n v="34151.879999999997"/>
    <n v="0"/>
    <n v="34151.879999999997"/>
    <n v="18783.534"/>
    <n v="15368.346"/>
    <n v="44.999999999999993"/>
    <s v="UPI"/>
  </r>
  <r>
    <s v="ORD0958"/>
    <x v="45"/>
    <x v="7"/>
    <n v="12"/>
    <s v="CUST0183"/>
    <x v="1"/>
    <x v="1"/>
    <x v="4"/>
    <x v="26"/>
    <n v="5"/>
    <n v="480.45"/>
    <x v="4"/>
    <n v="2402.25"/>
    <n v="120.1125"/>
    <n v="2282.1374999999998"/>
    <n v="1643.1389999999999"/>
    <n v="638.99849999999992"/>
    <n v="28"/>
    <s v="Credit Card"/>
  </r>
  <r>
    <s v="ORD0959"/>
    <x v="78"/>
    <x v="0"/>
    <n v="4"/>
    <s v="CUST0272"/>
    <x v="5"/>
    <x v="2"/>
    <x v="2"/>
    <x v="2"/>
    <n v="7"/>
    <n v="26250.33"/>
    <x v="1"/>
    <n v="183752.31"/>
    <n v="27562.8465"/>
    <n v="156189.46350000001"/>
    <n v="121827.78152999999"/>
    <n v="34361.681970000012"/>
    <n v="22"/>
    <s v="Net Banking"/>
  </r>
  <r>
    <s v="ORD0960"/>
    <x v="63"/>
    <x v="5"/>
    <n v="11"/>
    <s v="CUST0029"/>
    <x v="8"/>
    <x v="2"/>
    <x v="2"/>
    <x v="2"/>
    <n v="6"/>
    <n v="34954.120000000003"/>
    <x v="2"/>
    <n v="209724.72"/>
    <n v="0"/>
    <n v="209724.72"/>
    <n v="163585.28159999999"/>
    <n v="46139.438400000006"/>
    <n v="22"/>
    <s v="UPI"/>
  </r>
  <r>
    <s v="ORD0961"/>
    <x v="265"/>
    <x v="4"/>
    <n v="9"/>
    <s v="CUST0214"/>
    <x v="4"/>
    <x v="2"/>
    <x v="1"/>
    <x v="23"/>
    <n v="4"/>
    <n v="718.88"/>
    <x v="1"/>
    <n v="2875.52"/>
    <n v="431.32799999999997"/>
    <n v="2444.192"/>
    <n v="1270.97984"/>
    <n v="1173.21216"/>
    <n v="48.000000000000007"/>
    <s v="Credit Card"/>
  </r>
  <r>
    <s v="ORD0962"/>
    <x v="231"/>
    <x v="11"/>
    <n v="1"/>
    <s v="CUST0046"/>
    <x v="7"/>
    <x v="2"/>
    <x v="3"/>
    <x v="18"/>
    <n v="4"/>
    <n v="198.28"/>
    <x v="3"/>
    <n v="793.12"/>
    <n v="79.312000000000012"/>
    <n v="713.80799999999999"/>
    <n v="414.00864000000001"/>
    <n v="299.79935999999998"/>
    <n v="42.000000000000007"/>
    <s v="Credit Card"/>
  </r>
  <r>
    <s v="ORD0963"/>
    <x v="130"/>
    <x v="10"/>
    <n v="8"/>
    <s v="CUST0272"/>
    <x v="3"/>
    <x v="0"/>
    <x v="1"/>
    <x v="7"/>
    <n v="7"/>
    <n v="2038.12"/>
    <x v="6"/>
    <n v="14266.84"/>
    <n v="3566.71"/>
    <n v="10700.13"/>
    <n v="5564.0676000000003"/>
    <n v="5136.0624000000007"/>
    <n v="48.000000000000007"/>
    <s v="Net Banking"/>
  </r>
  <r>
    <s v="ORD0964"/>
    <x v="13"/>
    <x v="1"/>
    <n v="3"/>
    <s v="CUST0258"/>
    <x v="1"/>
    <x v="0"/>
    <x v="2"/>
    <x v="22"/>
    <n v="7"/>
    <n v="14833.62"/>
    <x v="3"/>
    <n v="103835.34"/>
    <n v="10383.534"/>
    <n v="93451.806000000011"/>
    <n v="72892.408680000008"/>
    <n v="20559.39732"/>
    <n v="22"/>
    <s v="Debit Card"/>
  </r>
  <r>
    <s v="ORD0965"/>
    <x v="44"/>
    <x v="7"/>
    <n v="12"/>
    <s v="CUST0268"/>
    <x v="6"/>
    <x v="2"/>
    <x v="3"/>
    <x v="17"/>
    <n v="5"/>
    <n v="2048.58"/>
    <x v="0"/>
    <n v="10242.9"/>
    <n v="2048.58"/>
    <n v="8194.32"/>
    <n v="4752.7055999999993"/>
    <n v="3441.6143999999999"/>
    <n v="42.000000000000007"/>
    <s v="Net Banking"/>
  </r>
  <r>
    <s v="ORD0966"/>
    <x v="332"/>
    <x v="3"/>
    <n v="2"/>
    <s v="CUST0069"/>
    <x v="9"/>
    <x v="2"/>
    <x v="3"/>
    <x v="24"/>
    <n v="6"/>
    <n v="192.07"/>
    <x v="1"/>
    <n v="1152.42"/>
    <n v="172.863"/>
    <n v="979.55700000000002"/>
    <n v="568.14305999999999"/>
    <n v="411.41394000000003"/>
    <n v="42.000000000000007"/>
    <s v="UPI"/>
  </r>
  <r>
    <s v="ORD0967"/>
    <x v="340"/>
    <x v="6"/>
    <n v="7"/>
    <s v="CUST0077"/>
    <x v="1"/>
    <x v="1"/>
    <x v="1"/>
    <x v="1"/>
    <n v="2"/>
    <n v="2958.08"/>
    <x v="3"/>
    <n v="5916.16"/>
    <n v="591.61599999999999"/>
    <n v="5324.5439999999999"/>
    <n v="2768.7628800000002"/>
    <n v="2555.7811200000001"/>
    <n v="47.999999999999993"/>
    <s v="Cash"/>
  </r>
  <r>
    <s v="ORD0968"/>
    <x v="93"/>
    <x v="8"/>
    <n v="6"/>
    <s v="CUST0257"/>
    <x v="0"/>
    <x v="1"/>
    <x v="5"/>
    <x v="12"/>
    <n v="7"/>
    <n v="14261.44"/>
    <x v="4"/>
    <n v="99830.080000000002"/>
    <n v="4991.5040000000008"/>
    <n v="94838.576000000001"/>
    <n v="64490.231679999997"/>
    <n v="30348.34432"/>
    <n v="32"/>
    <s v="Cash"/>
  </r>
  <r>
    <s v="ORD0969"/>
    <x v="120"/>
    <x v="8"/>
    <n v="6"/>
    <s v="CUST0296"/>
    <x v="8"/>
    <x v="2"/>
    <x v="3"/>
    <x v="5"/>
    <n v="5"/>
    <n v="1298.18"/>
    <x v="4"/>
    <n v="6490.9000000000005"/>
    <n v="324.54500000000007"/>
    <n v="6166.3549999999996"/>
    <n v="3576.4859000000001"/>
    <n v="2589.8690999999999"/>
    <n v="42.000000000000007"/>
    <s v="Cash"/>
  </r>
  <r>
    <s v="ORD0970"/>
    <x v="90"/>
    <x v="9"/>
    <n v="5"/>
    <s v="CUST0235"/>
    <x v="7"/>
    <x v="2"/>
    <x v="3"/>
    <x v="5"/>
    <n v="4"/>
    <n v="1497.75"/>
    <x v="4"/>
    <n v="5991"/>
    <n v="299.55"/>
    <n v="5691.45"/>
    <n v="3301.0410000000002"/>
    <n v="2390.4090000000001"/>
    <n v="42.000000000000007"/>
    <s v="Cash"/>
  </r>
  <r>
    <s v="ORD0971"/>
    <x v="85"/>
    <x v="1"/>
    <n v="3"/>
    <s v="CUST0087"/>
    <x v="1"/>
    <x v="1"/>
    <x v="1"/>
    <x v="6"/>
    <n v="1"/>
    <n v="529.95000000000005"/>
    <x v="2"/>
    <n v="529.95000000000005"/>
    <n v="0"/>
    <n v="529.95000000000005"/>
    <n v="275.57400000000001"/>
    <n v="254.376"/>
    <n v="48.000000000000007"/>
    <s v="Debit Card"/>
  </r>
  <r>
    <s v="ORD0972"/>
    <x v="284"/>
    <x v="8"/>
    <n v="6"/>
    <s v="CUST0009"/>
    <x v="9"/>
    <x v="2"/>
    <x v="4"/>
    <x v="13"/>
    <n v="4"/>
    <n v="601.45000000000005"/>
    <x v="2"/>
    <n v="2405.8000000000002"/>
    <n v="0"/>
    <n v="2405.8000000000002"/>
    <n v="1732.1759999999999"/>
    <n v="673.62400000000002"/>
    <n v="28"/>
    <s v="Credit Card"/>
  </r>
  <r>
    <s v="ORD0973"/>
    <x v="22"/>
    <x v="0"/>
    <n v="4"/>
    <s v="CUST0189"/>
    <x v="7"/>
    <x v="0"/>
    <x v="1"/>
    <x v="6"/>
    <n v="7"/>
    <n v="936.74"/>
    <x v="6"/>
    <n v="6557.18"/>
    <n v="1639.2950000000001"/>
    <n v="4917.8850000000002"/>
    <n v="2557.3002000000001"/>
    <n v="2360.5848000000001"/>
    <n v="48"/>
    <s v="Debit Card"/>
  </r>
  <r>
    <s v="ORD0974"/>
    <x v="11"/>
    <x v="4"/>
    <n v="9"/>
    <s v="CUST0183"/>
    <x v="8"/>
    <x v="1"/>
    <x v="4"/>
    <x v="11"/>
    <n v="5"/>
    <n v="1117.5899999999999"/>
    <x v="2"/>
    <n v="5587.95"/>
    <n v="0"/>
    <n v="5587.95"/>
    <n v="4023.3240000000001"/>
    <n v="1564.626"/>
    <n v="28"/>
    <s v="Debit Card"/>
  </r>
  <r>
    <s v="ORD0975"/>
    <x v="100"/>
    <x v="6"/>
    <n v="7"/>
    <s v="CUST0095"/>
    <x v="5"/>
    <x v="2"/>
    <x v="4"/>
    <x v="9"/>
    <n v="4"/>
    <n v="1153.53"/>
    <x v="3"/>
    <n v="4614.12"/>
    <n v="461.41199999999998"/>
    <n v="4152.7079999999996"/>
    <n v="2989.94976"/>
    <n v="1162.7582399999999"/>
    <n v="28"/>
    <s v="Credit Card"/>
  </r>
  <r>
    <s v="ORD0976"/>
    <x v="111"/>
    <x v="3"/>
    <n v="2"/>
    <s v="CUST0300"/>
    <x v="9"/>
    <x v="0"/>
    <x v="3"/>
    <x v="18"/>
    <n v="4"/>
    <n v="1491.6"/>
    <x v="4"/>
    <n v="5966.4"/>
    <n v="298.32"/>
    <n v="5668.08"/>
    <n v="3287.4863999999998"/>
    <n v="2380.5936000000002"/>
    <n v="42.000000000000007"/>
    <s v="Credit Card"/>
  </r>
  <r>
    <s v="ORD0977"/>
    <x v="158"/>
    <x v="2"/>
    <n v="10"/>
    <s v="CUST0249"/>
    <x v="3"/>
    <x v="2"/>
    <x v="0"/>
    <x v="4"/>
    <n v="4"/>
    <n v="575.53"/>
    <x v="6"/>
    <n v="2302.12"/>
    <n v="575.53"/>
    <n v="1726.59"/>
    <n v="949.62450000000001"/>
    <n v="776.96549999999991"/>
    <n v="44.999999999999993"/>
    <s v="UPI"/>
  </r>
  <r>
    <s v="ORD0978"/>
    <x v="248"/>
    <x v="8"/>
    <n v="6"/>
    <s v="CUST0070"/>
    <x v="4"/>
    <x v="1"/>
    <x v="1"/>
    <x v="7"/>
    <n v="6"/>
    <n v="1064.72"/>
    <x v="6"/>
    <n v="6388.32"/>
    <n v="1597.08"/>
    <n v="4791.24"/>
    <n v="2491.4448000000002"/>
    <n v="2299.7952"/>
    <n v="48.000000000000007"/>
    <s v="Debit Card"/>
  </r>
  <r>
    <s v="ORD0979"/>
    <x v="100"/>
    <x v="6"/>
    <n v="7"/>
    <s v="CUST0055"/>
    <x v="7"/>
    <x v="2"/>
    <x v="1"/>
    <x v="7"/>
    <n v="1"/>
    <n v="3442.51"/>
    <x v="3"/>
    <n v="3442.51"/>
    <n v="344.25099999999998"/>
    <n v="3098.259"/>
    <n v="1611.0946799999999"/>
    <n v="1487.1643200000001"/>
    <n v="47.999999999999993"/>
    <s v="Net Banking"/>
  </r>
  <r>
    <s v="ORD0980"/>
    <x v="277"/>
    <x v="11"/>
    <n v="1"/>
    <s v="CUST0202"/>
    <x v="7"/>
    <x v="2"/>
    <x v="2"/>
    <x v="2"/>
    <n v="5"/>
    <n v="26492.98"/>
    <x v="3"/>
    <n v="132464.9"/>
    <n v="13246.49"/>
    <n v="119218.41"/>
    <n v="92990.359799999991"/>
    <n v="26228.050200000001"/>
    <n v="22"/>
    <s v="Net Banking"/>
  </r>
  <r>
    <s v="ORD0981"/>
    <x v="148"/>
    <x v="9"/>
    <n v="5"/>
    <s v="CUST0172"/>
    <x v="1"/>
    <x v="1"/>
    <x v="5"/>
    <x v="12"/>
    <n v="2"/>
    <n v="16730.62"/>
    <x v="4"/>
    <n v="33461.24"/>
    <n v="1673.0619999999999"/>
    <n v="31788.178"/>
    <n v="21615.961039999998"/>
    <n v="10172.21696"/>
    <n v="32"/>
    <s v="Net Banking"/>
  </r>
  <r>
    <s v="ORD0982"/>
    <x v="329"/>
    <x v="4"/>
    <n v="9"/>
    <s v="CUST0033"/>
    <x v="6"/>
    <x v="0"/>
    <x v="1"/>
    <x v="25"/>
    <n v="1"/>
    <n v="1493.49"/>
    <x v="4"/>
    <n v="1493.49"/>
    <n v="74.674500000000009"/>
    <n v="1418.8154999999999"/>
    <n v="737.78405999999995"/>
    <n v="681.03143999999998"/>
    <n v="48"/>
    <s v="Debit Card"/>
  </r>
  <r>
    <s v="ORD0983"/>
    <x v="288"/>
    <x v="5"/>
    <n v="11"/>
    <s v="CUST0254"/>
    <x v="8"/>
    <x v="1"/>
    <x v="2"/>
    <x v="22"/>
    <n v="3"/>
    <n v="16372.97"/>
    <x v="0"/>
    <n v="49118.91"/>
    <n v="9823.7819999999992"/>
    <n v="39295.127999999997"/>
    <n v="30650.199840000001"/>
    <n v="8644.9281599999995"/>
    <n v="22"/>
    <s v="UPI"/>
  </r>
  <r>
    <s v="ORD0984"/>
    <x v="201"/>
    <x v="10"/>
    <n v="8"/>
    <s v="CUST0286"/>
    <x v="4"/>
    <x v="1"/>
    <x v="1"/>
    <x v="25"/>
    <n v="7"/>
    <n v="580.49"/>
    <x v="2"/>
    <n v="4063.43"/>
    <n v="0"/>
    <n v="4063.43"/>
    <n v="2112.9836"/>
    <n v="1950.4464"/>
    <n v="48.000000000000007"/>
    <s v="Credit Card"/>
  </r>
  <r>
    <s v="ORD0985"/>
    <x v="66"/>
    <x v="10"/>
    <n v="8"/>
    <s v="CUST0056"/>
    <x v="9"/>
    <x v="1"/>
    <x v="2"/>
    <x v="29"/>
    <n v="3"/>
    <n v="13893.51"/>
    <x v="3"/>
    <n v="41680.53"/>
    <n v="4168.0529999999999"/>
    <n v="37512.476999999999"/>
    <n v="29259.732059999998"/>
    <n v="8252.7449400000005"/>
    <n v="22"/>
    <s v="Credit Card"/>
  </r>
  <r>
    <s v="ORD0986"/>
    <x v="172"/>
    <x v="7"/>
    <n v="12"/>
    <s v="CUST0226"/>
    <x v="0"/>
    <x v="1"/>
    <x v="1"/>
    <x v="1"/>
    <n v="3"/>
    <n v="2070.46"/>
    <x v="3"/>
    <n v="6211.38"/>
    <n v="621.13800000000003"/>
    <n v="5590.2420000000002"/>
    <n v="2906.9258399999999"/>
    <n v="2683.3161599999999"/>
    <n v="48"/>
    <s v="Net Banking"/>
  </r>
  <r>
    <s v="ORD0987"/>
    <x v="127"/>
    <x v="7"/>
    <n v="12"/>
    <s v="CUST0025"/>
    <x v="6"/>
    <x v="0"/>
    <x v="0"/>
    <x v="4"/>
    <n v="3"/>
    <n v="1513.21"/>
    <x v="3"/>
    <n v="4539.63"/>
    <n v="453.96300000000002"/>
    <n v="4085.6669999999999"/>
    <n v="2247.1168499999999"/>
    <n v="1838.55015"/>
    <n v="44.999999999999993"/>
    <s v="Net Banking"/>
  </r>
  <r>
    <s v="ORD0988"/>
    <x v="162"/>
    <x v="6"/>
    <n v="7"/>
    <s v="CUST0206"/>
    <x v="3"/>
    <x v="0"/>
    <x v="2"/>
    <x v="2"/>
    <n v="3"/>
    <n v="42524.86"/>
    <x v="1"/>
    <n v="127574.58"/>
    <n v="19136.187000000002"/>
    <n v="108438.393"/>
    <n v="84581.946540000004"/>
    <n v="23856.44646000001"/>
    <n v="22"/>
    <s v="Credit Card"/>
  </r>
  <r>
    <s v="ORD0989"/>
    <x v="341"/>
    <x v="11"/>
    <n v="1"/>
    <s v="CUST0256"/>
    <x v="7"/>
    <x v="0"/>
    <x v="3"/>
    <x v="5"/>
    <n v="3"/>
    <n v="1215.25"/>
    <x v="0"/>
    <n v="3645.75"/>
    <n v="729.15000000000009"/>
    <n v="2916.6"/>
    <n v="1691.6279999999999"/>
    <n v="1224.972"/>
    <n v="42"/>
    <s v="Net Banking"/>
  </r>
  <r>
    <s v="ORD0990"/>
    <x v="133"/>
    <x v="8"/>
    <n v="6"/>
    <s v="CUST0060"/>
    <x v="1"/>
    <x v="1"/>
    <x v="2"/>
    <x v="2"/>
    <n v="6"/>
    <n v="44808.27"/>
    <x v="4"/>
    <n v="268849.62"/>
    <n v="13442.481"/>
    <n v="255407.139"/>
    <n v="199217.56842"/>
    <n v="56189.57058"/>
    <n v="22"/>
    <s v="Net Banking"/>
  </r>
  <r>
    <s v="ORD0991"/>
    <x v="196"/>
    <x v="6"/>
    <n v="7"/>
    <s v="CUST0107"/>
    <x v="0"/>
    <x v="0"/>
    <x v="5"/>
    <x v="20"/>
    <n v="7"/>
    <n v="7705.35"/>
    <x v="4"/>
    <n v="53937.45"/>
    <n v="2696.8724999999999"/>
    <n v="51240.577500000007"/>
    <n v="34843.592700000008"/>
    <n v="16396.984799999998"/>
    <n v="32"/>
    <s v="Net Banking"/>
  </r>
  <r>
    <s v="ORD0992"/>
    <x v="257"/>
    <x v="6"/>
    <n v="7"/>
    <s v="CUST0202"/>
    <x v="4"/>
    <x v="0"/>
    <x v="0"/>
    <x v="4"/>
    <n v="1"/>
    <n v="2240.06"/>
    <x v="5"/>
    <n v="2240.06"/>
    <n v="672.01799999999992"/>
    <n v="1568.0419999999999"/>
    <n v="862.42309999999998"/>
    <n v="705.61889999999994"/>
    <n v="45"/>
    <s v="UPI"/>
  </r>
  <r>
    <s v="ORD0993"/>
    <x v="25"/>
    <x v="9"/>
    <n v="5"/>
    <s v="CUST0194"/>
    <x v="4"/>
    <x v="0"/>
    <x v="5"/>
    <x v="14"/>
    <n v="3"/>
    <n v="19356.05"/>
    <x v="3"/>
    <n v="58068.149999999987"/>
    <n v="5806.8149999999996"/>
    <n v="52261.334999999992"/>
    <n v="35537.707799999996"/>
    <n v="16723.627199999999"/>
    <n v="32"/>
    <s v="UPI"/>
  </r>
  <r>
    <s v="ORD0994"/>
    <x v="282"/>
    <x v="4"/>
    <n v="9"/>
    <s v="CUST0216"/>
    <x v="7"/>
    <x v="1"/>
    <x v="4"/>
    <x v="9"/>
    <n v="6"/>
    <n v="908.67"/>
    <x v="2"/>
    <n v="5452.02"/>
    <n v="0"/>
    <n v="5452.02"/>
    <n v="3925.4544000000001"/>
    <n v="1526.5655999999999"/>
    <n v="28"/>
    <s v="Debit Card"/>
  </r>
  <r>
    <s v="ORD0995"/>
    <x v="241"/>
    <x v="6"/>
    <n v="7"/>
    <s v="CUST0241"/>
    <x v="3"/>
    <x v="1"/>
    <x v="3"/>
    <x v="18"/>
    <n v="2"/>
    <n v="859.85"/>
    <x v="3"/>
    <n v="1719.7"/>
    <n v="171.97"/>
    <n v="1547.73"/>
    <n v="897.68339999999989"/>
    <n v="650.04660000000013"/>
    <n v="42.000000000000007"/>
    <s v="Cash"/>
  </r>
  <r>
    <s v="ORD0996"/>
    <x v="70"/>
    <x v="8"/>
    <n v="6"/>
    <s v="CUST0021"/>
    <x v="6"/>
    <x v="1"/>
    <x v="4"/>
    <x v="26"/>
    <n v="3"/>
    <n v="1026.08"/>
    <x v="1"/>
    <n v="3078.24"/>
    <n v="461.73599999999988"/>
    <n v="2616.5039999999999"/>
    <n v="1883.8828799999999"/>
    <n v="732.62112000000002"/>
    <n v="28"/>
    <s v="UPI"/>
  </r>
  <r>
    <s v="ORD0997"/>
    <x v="308"/>
    <x v="5"/>
    <n v="11"/>
    <s v="CUST0193"/>
    <x v="7"/>
    <x v="2"/>
    <x v="3"/>
    <x v="24"/>
    <n v="7"/>
    <n v="1921.59"/>
    <x v="3"/>
    <n v="13451.13"/>
    <n v="1345.1130000000001"/>
    <n v="12106.017"/>
    <n v="7021.4898599999997"/>
    <n v="5084.5271400000001"/>
    <n v="42.000000000000007"/>
    <s v="Cash"/>
  </r>
  <r>
    <s v="ORD0998"/>
    <x v="188"/>
    <x v="2"/>
    <n v="10"/>
    <s v="CUST0135"/>
    <x v="8"/>
    <x v="2"/>
    <x v="3"/>
    <x v="24"/>
    <n v="6"/>
    <n v="1857.86"/>
    <x v="3"/>
    <n v="11147.16"/>
    <n v="1114.7159999999999"/>
    <n v="10032.444"/>
    <n v="5818.8175199999996"/>
    <n v="4213.6264799999999"/>
    <n v="42"/>
    <s v="Net Banking"/>
  </r>
  <r>
    <s v="ORD0999"/>
    <x v="290"/>
    <x v="11"/>
    <n v="1"/>
    <s v="CUST0051"/>
    <x v="8"/>
    <x v="1"/>
    <x v="1"/>
    <x v="23"/>
    <n v="3"/>
    <n v="2323.8000000000002"/>
    <x v="2"/>
    <n v="6971.4000000000005"/>
    <n v="0"/>
    <n v="6971.4000000000005"/>
    <n v="3625.1280000000011"/>
    <n v="3346.2719999999999"/>
    <n v="47.999999999999993"/>
    <s v="Credit Card"/>
  </r>
  <r>
    <s v="ORD1000"/>
    <x v="310"/>
    <x v="8"/>
    <n v="6"/>
    <s v="CUST0197"/>
    <x v="0"/>
    <x v="2"/>
    <x v="1"/>
    <x v="6"/>
    <n v="7"/>
    <n v="513.63"/>
    <x v="2"/>
    <n v="3595.41"/>
    <n v="0"/>
    <n v="3595.41"/>
    <n v="1869.6132"/>
    <n v="1725.7968000000001"/>
    <n v="48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8F538-6D0C-47B2-8640-640CB36C0A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B10" firstHeaderRow="1" firstDataRow="1" firstDataCol="1"/>
  <pivotFields count="19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1"/>
        <item x="0"/>
        <item x="2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7">
    <i>
      <x v="2"/>
    </i>
    <i>
      <x v="3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Sum of Profit_INR" fld="16" baseField="0" baseItem="0" numFmtId="165"/>
  </dataFields>
  <formats count="1">
    <format dxfId="33">
      <pivotArea outline="0" collapsedLevelsAreSubtotals="1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2B472-5C0D-4FA1-AD28-6DFB270166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:B34" firstHeaderRow="1" firstDataRow="1" firstDataCol="1"/>
  <pivotFields count="19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1">
        <item x="15"/>
        <item x="13"/>
        <item x="14"/>
        <item x="7"/>
        <item x="8"/>
        <item x="4"/>
        <item x="27"/>
        <item x="1"/>
        <item x="21"/>
        <item x="5"/>
        <item x="6"/>
        <item x="18"/>
        <item x="28"/>
        <item x="24"/>
        <item x="29"/>
        <item x="25"/>
        <item x="10"/>
        <item x="22"/>
        <item x="3"/>
        <item x="0"/>
        <item x="2"/>
        <item x="19"/>
        <item x="17"/>
        <item x="23"/>
        <item x="20"/>
        <item x="26"/>
        <item x="9"/>
        <item x="16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8"/>
  </rowFields>
  <rowItems count="31">
    <i>
      <x v="20"/>
    </i>
    <i>
      <x v="17"/>
    </i>
    <i>
      <x v="16"/>
    </i>
    <i>
      <x v="14"/>
    </i>
    <i>
      <x v="6"/>
    </i>
    <i>
      <x v="2"/>
    </i>
    <i>
      <x v="24"/>
    </i>
    <i>
      <x v="27"/>
    </i>
    <i>
      <x v="12"/>
    </i>
    <i>
      <x v="28"/>
    </i>
    <i>
      <x v="21"/>
    </i>
    <i>
      <x v="10"/>
    </i>
    <i>
      <x/>
    </i>
    <i>
      <x v="18"/>
    </i>
    <i>
      <x v="5"/>
    </i>
    <i>
      <x v="19"/>
    </i>
    <i>
      <x v="15"/>
    </i>
    <i>
      <x v="7"/>
    </i>
    <i>
      <x v="23"/>
    </i>
    <i>
      <x v="4"/>
    </i>
    <i>
      <x v="3"/>
    </i>
    <i>
      <x v="9"/>
    </i>
    <i>
      <x v="22"/>
    </i>
    <i>
      <x v="13"/>
    </i>
    <i>
      <x v="11"/>
    </i>
    <i>
      <x v="26"/>
    </i>
    <i>
      <x v="1"/>
    </i>
    <i>
      <x v="25"/>
    </i>
    <i>
      <x v="8"/>
    </i>
    <i>
      <x v="29"/>
    </i>
    <i t="grand">
      <x/>
    </i>
  </rowItems>
  <colItems count="1">
    <i/>
  </colItems>
  <dataFields count="1">
    <dataField name="Sum of Profit_INR" fld="16" baseField="0" baseItem="0" numFmtId="165"/>
  </dataFields>
  <formats count="1">
    <format dxfId="32">
      <pivotArea outline="0" collapsedLevelsAreSubtotals="1" fieldPosition="0"/>
    </format>
  </format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00260-F54D-4B4F-B5F7-92535263C28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11" firstHeaderRow="1" firstDataRow="1" firstDataCol="1"/>
  <pivotFields count="19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4"/>
        <item x="3"/>
        <item x="1"/>
        <item x="0"/>
        <item x="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fit_INR" fld="16" subtotal="average" baseField="0" baseItem="0" numFmtId="165"/>
  </dataFields>
  <formats count="3">
    <format dxfId="31">
      <pivotArea dataOnly="0" labelOnly="1" outline="0" fieldPosition="0">
        <references count="1">
          <reference field="11" count="0"/>
        </references>
      </pivotArea>
    </format>
    <format dxfId="30">
      <pivotArea dataOnly="0" labelOnly="1" grandRow="1" outline="0" fieldPosition="0"/>
    </format>
    <format dxfId="29">
      <pivotArea outline="0" collapsedLevelsAreSubtotals="1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7C969-8880-4D50-81BB-FA46C2EE818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14" firstHeaderRow="1" firstDataRow="1" firstDataCol="1"/>
  <pivotFields count="19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4"/>
        <item x="9"/>
        <item x="0"/>
        <item x="8"/>
        <item x="7"/>
        <item x="5"/>
        <item x="1"/>
        <item x="2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11">
    <i>
      <x v="9"/>
    </i>
    <i>
      <x v="2"/>
    </i>
    <i>
      <x v="7"/>
    </i>
    <i>
      <x v="3"/>
    </i>
    <i>
      <x/>
    </i>
    <i>
      <x v="6"/>
    </i>
    <i>
      <x v="5"/>
    </i>
    <i>
      <x v="1"/>
    </i>
    <i>
      <x v="8"/>
    </i>
    <i>
      <x v="4"/>
    </i>
    <i t="grand">
      <x/>
    </i>
  </rowItems>
  <colItems count="1">
    <i/>
  </colItems>
  <dataFields count="1">
    <dataField name="Sum of Profit_INR" fld="16" baseField="0" baseItem="0" numFmtId="165"/>
  </dataFields>
  <formats count="1">
    <format dxfId="0">
      <pivotArea outline="0" collapsedLevelsAreSubtotals="1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914B5-5ABB-4ACE-AE48-341F5C384E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7" firstHeaderRow="1" firstDataRow="1" firstDataCol="1"/>
  <pivotFields count="19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_INR" fld="16" baseField="0" baseItem="0" numFmtId="165"/>
  </dataFields>
  <formats count="2">
    <format dxfId="28">
      <pivotArea outline="0" collapsedLevelsAreSubtotals="1" fieldPosition="0"/>
    </format>
    <format dxfId="27">
      <pivotArea dataOnly="0" labelOnly="1" outline="0" axis="axisValues" fieldPosition="0"/>
    </format>
  </formats>
  <chartFormats count="2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7B015-2209-43AA-AD89-D80E33C85D5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10" firstHeaderRow="0" firstDataRow="1" firstDataCol="1"/>
  <pivotFields count="19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1"/>
        <item x="0"/>
        <item x="2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7">
    <i>
      <x v="2"/>
    </i>
    <i>
      <x v="3"/>
    </i>
    <i>
      <x v="1"/>
    </i>
    <i>
      <x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_INR" fld="14" baseField="0" baseItem="0"/>
    <dataField name="Sum of Profit_INR" fld="16" baseField="0" baseItem="0"/>
  </dataFields>
  <formats count="2">
    <format dxfId="1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7362C-9594-4954-8012-56CC3CFB5CE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9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0"/>
        <item x="2"/>
        <item x="5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ofit_Margin_Pct" fld="17" subtotal="average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80B6E-7A1F-46C2-87C2-43D2F6649AB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C16" firstHeaderRow="0" firstDataRow="1" firstDataCol="1"/>
  <pivotFields count="19">
    <pivotField compact="0" outline="0" showAll="0"/>
    <pivotField compact="0" numFmtId="164" outline="0" showAll="0">
      <items count="343">
        <item x="141"/>
        <item x="146"/>
        <item x="160"/>
        <item x="112"/>
        <item x="108"/>
        <item x="54"/>
        <item x="91"/>
        <item x="51"/>
        <item x="341"/>
        <item x="131"/>
        <item x="318"/>
        <item x="286"/>
        <item x="301"/>
        <item x="87"/>
        <item x="327"/>
        <item x="107"/>
        <item x="119"/>
        <item x="277"/>
        <item x="57"/>
        <item x="122"/>
        <item x="159"/>
        <item x="290"/>
        <item x="94"/>
        <item x="64"/>
        <item x="231"/>
        <item x="199"/>
        <item x="215"/>
        <item x="300"/>
        <item x="10"/>
        <item x="101"/>
        <item x="40"/>
        <item x="151"/>
        <item x="109"/>
        <item x="175"/>
        <item x="189"/>
        <item x="322"/>
        <item x="332"/>
        <item x="68"/>
        <item x="319"/>
        <item x="268"/>
        <item x="62"/>
        <item x="36"/>
        <item x="292"/>
        <item x="152"/>
        <item x="58"/>
        <item x="163"/>
        <item x="46"/>
        <item x="3"/>
        <item x="200"/>
        <item x="298"/>
        <item x="31"/>
        <item x="111"/>
        <item x="149"/>
        <item x="178"/>
        <item x="105"/>
        <item x="252"/>
        <item x="102"/>
        <item x="157"/>
        <item x="67"/>
        <item x="183"/>
        <item x="243"/>
        <item x="262"/>
        <item x="255"/>
        <item x="289"/>
        <item x="236"/>
        <item x="338"/>
        <item x="69"/>
        <item x="263"/>
        <item x="202"/>
        <item x="150"/>
        <item x="234"/>
        <item x="339"/>
        <item x="182"/>
        <item x="279"/>
        <item x="85"/>
        <item x="314"/>
        <item x="13"/>
        <item x="307"/>
        <item x="1"/>
        <item x="4"/>
        <item x="333"/>
        <item x="190"/>
        <item x="206"/>
        <item x="121"/>
        <item x="249"/>
        <item x="78"/>
        <item x="35"/>
        <item x="296"/>
        <item x="161"/>
        <item x="213"/>
        <item x="39"/>
        <item x="0"/>
        <item x="76"/>
        <item x="56"/>
        <item x="275"/>
        <item x="336"/>
        <item x="32"/>
        <item x="166"/>
        <item x="276"/>
        <item x="173"/>
        <item x="22"/>
        <item x="17"/>
        <item x="140"/>
        <item x="92"/>
        <item x="331"/>
        <item x="34"/>
        <item x="280"/>
        <item x="192"/>
        <item x="135"/>
        <item x="171"/>
        <item x="334"/>
        <item x="33"/>
        <item x="75"/>
        <item x="18"/>
        <item x="28"/>
        <item x="21"/>
        <item x="187"/>
        <item x="132"/>
        <item x="126"/>
        <item x="174"/>
        <item x="242"/>
        <item x="245"/>
        <item x="25"/>
        <item x="330"/>
        <item x="287"/>
        <item x="216"/>
        <item x="247"/>
        <item x="71"/>
        <item x="148"/>
        <item x="193"/>
        <item x="30"/>
        <item x="246"/>
        <item x="264"/>
        <item x="90"/>
        <item x="181"/>
        <item x="222"/>
        <item x="229"/>
        <item x="128"/>
        <item x="285"/>
        <item x="93"/>
        <item x="310"/>
        <item x="253"/>
        <item x="195"/>
        <item x="113"/>
        <item x="176"/>
        <item x="38"/>
        <item x="27"/>
        <item x="59"/>
        <item x="120"/>
        <item x="133"/>
        <item x="89"/>
        <item x="251"/>
        <item x="227"/>
        <item x="184"/>
        <item x="169"/>
        <item x="248"/>
        <item x="260"/>
        <item x="283"/>
        <item x="70"/>
        <item x="194"/>
        <item x="284"/>
        <item x="99"/>
        <item x="244"/>
        <item x="52"/>
        <item x="12"/>
        <item x="16"/>
        <item x="170"/>
        <item x="81"/>
        <item x="43"/>
        <item x="257"/>
        <item x="295"/>
        <item x="110"/>
        <item x="250"/>
        <item x="100"/>
        <item x="335"/>
        <item x="7"/>
        <item x="162"/>
        <item x="115"/>
        <item x="103"/>
        <item x="196"/>
        <item x="305"/>
        <item x="317"/>
        <item x="269"/>
        <item x="104"/>
        <item x="144"/>
        <item x="304"/>
        <item x="191"/>
        <item x="270"/>
        <item x="324"/>
        <item x="124"/>
        <item x="60"/>
        <item x="225"/>
        <item x="241"/>
        <item x="340"/>
        <item x="294"/>
        <item x="261"/>
        <item x="167"/>
        <item x="237"/>
        <item x="303"/>
        <item x="226"/>
        <item x="86"/>
        <item x="205"/>
        <item x="266"/>
        <item x="281"/>
        <item x="299"/>
        <item x="53"/>
        <item x="125"/>
        <item x="209"/>
        <item x="168"/>
        <item x="114"/>
        <item x="207"/>
        <item x="218"/>
        <item x="185"/>
        <item x="123"/>
        <item x="97"/>
        <item x="328"/>
        <item x="66"/>
        <item x="164"/>
        <item x="23"/>
        <item x="201"/>
        <item x="47"/>
        <item x="312"/>
        <item x="130"/>
        <item x="239"/>
        <item x="254"/>
        <item x="177"/>
        <item x="106"/>
        <item x="315"/>
        <item x="282"/>
        <item x="137"/>
        <item x="259"/>
        <item x="29"/>
        <item x="211"/>
        <item x="267"/>
        <item x="37"/>
        <item x="272"/>
        <item x="219"/>
        <item x="329"/>
        <item x="302"/>
        <item x="19"/>
        <item x="258"/>
        <item x="11"/>
        <item x="198"/>
        <item x="309"/>
        <item x="220"/>
        <item x="278"/>
        <item x="297"/>
        <item x="5"/>
        <item x="134"/>
        <item x="55"/>
        <item x="186"/>
        <item x="265"/>
        <item x="323"/>
        <item x="228"/>
        <item x="156"/>
        <item x="65"/>
        <item x="204"/>
        <item x="2"/>
        <item x="325"/>
        <item x="143"/>
        <item x="179"/>
        <item x="158"/>
        <item x="95"/>
        <item x="48"/>
        <item x="235"/>
        <item x="117"/>
        <item x="313"/>
        <item x="118"/>
        <item x="9"/>
        <item x="238"/>
        <item x="337"/>
        <item x="306"/>
        <item x="256"/>
        <item x="139"/>
        <item x="210"/>
        <item x="74"/>
        <item x="271"/>
        <item x="147"/>
        <item x="138"/>
        <item x="153"/>
        <item x="311"/>
        <item x="79"/>
        <item x="188"/>
        <item x="26"/>
        <item x="98"/>
        <item x="116"/>
        <item x="308"/>
        <item x="288"/>
        <item x="6"/>
        <item x="155"/>
        <item x="217"/>
        <item x="82"/>
        <item x="41"/>
        <item x="273"/>
        <item x="326"/>
        <item x="73"/>
        <item x="63"/>
        <item x="212"/>
        <item x="72"/>
        <item x="233"/>
        <item x="208"/>
        <item x="142"/>
        <item x="232"/>
        <item x="20"/>
        <item x="49"/>
        <item x="291"/>
        <item x="274"/>
        <item x="316"/>
        <item x="230"/>
        <item x="224"/>
        <item x="320"/>
        <item x="136"/>
        <item x="129"/>
        <item x="180"/>
        <item x="96"/>
        <item x="24"/>
        <item x="45"/>
        <item x="197"/>
        <item x="203"/>
        <item x="44"/>
        <item x="165"/>
        <item x="84"/>
        <item x="8"/>
        <item x="50"/>
        <item x="83"/>
        <item x="14"/>
        <item x="88"/>
        <item x="127"/>
        <item x="223"/>
        <item x="172"/>
        <item x="154"/>
        <item x="214"/>
        <item x="80"/>
        <item x="42"/>
        <item x="321"/>
        <item x="15"/>
        <item x="61"/>
        <item x="293"/>
        <item x="221"/>
        <item x="240"/>
        <item x="145"/>
        <item x="77"/>
        <item t="default"/>
      </items>
    </pivotField>
    <pivotField axis="axisRow" compact="0" outline="0" showAll="0">
      <items count="13">
        <item x="11"/>
        <item x="3"/>
        <item x="1"/>
        <item x="0"/>
        <item x="9"/>
        <item x="8"/>
        <item x="6"/>
        <item x="10"/>
        <item x="4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1"/>
        <item x="0"/>
        <item x="2"/>
        <item x="5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_INR" fld="14" baseField="0" baseItem="0"/>
    <dataField name="Sum of Profit_INR" fld="16" baseField="0" baseItem="0"/>
  </dataFields>
  <formats count="1">
    <format dxfId="26">
      <pivotArea outline="0" collapsedLevelsAreSubtotals="1" fieldPosition="0"/>
    </format>
  </formats>
  <chartFormats count="1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1" xr10:uid="{D6F89D29-E366-4B63-A709-A0F3A5FE4586}" sourceName="Month">
  <pivotTables>
    <pivotTable tabId="11" name="PivotTable8"/>
  </pivotTables>
  <data>
    <tabular pivotCacheId="876105420">
      <items count="12">
        <i x="11" s="1"/>
        <i x="3" s="1"/>
        <i x="1" s="1"/>
        <i x="0" s="1"/>
        <i x="9" s="1"/>
        <i x="8" s="1"/>
        <i x="6" s="1"/>
        <i x="10" s="1"/>
        <i x="4" s="1"/>
        <i x="2" s="1"/>
        <i x="5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0F4EC0FF-7D0F-41DA-9F2D-0B6E8571F34C}" sourceName="Category">
  <pivotTables>
    <pivotTable tabId="9" name="PivotTable6"/>
  </pivotTables>
  <data>
    <tabular pivotCacheId="876105420">
      <items count="6">
        <i x="1" s="1"/>
        <i x="0" s="1"/>
        <i x="2" s="1"/>
        <i x="5" s="1"/>
        <i x="4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Channel" xr10:uid="{CA7CF30F-53FE-44AA-ADCE-BD1DD3046DD4}" sourceName="Sales_Channel">
  <pivotTables>
    <pivotTable tabId="8" name="PivotTable5"/>
  </pivotTables>
  <data>
    <tabular pivotCacheId="876105420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90CE6131-3210-44A0-B520-F751B3F6FCA3}" sourceName="State">
  <pivotTables>
    <pivotTable tabId="7" name="PivotTable4"/>
  </pivotTables>
  <data>
    <tabular pivotCacheId="876105420">
      <items count="10">
        <i x="4" s="1"/>
        <i x="9" s="1"/>
        <i x="0" s="1"/>
        <i x="8" s="1"/>
        <i x="7" s="1"/>
        <i x="5" s="1"/>
        <i x="1" s="1"/>
        <i x="2" s="1"/>
        <i x="6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41AEA935-4A26-4C40-B136-1685E525D6F6}" cache="Slicer_Month1" caption="Month" style="SlicerStyleDark3" rowHeight="361950"/>
  <slicer name="Category 1" xr10:uid="{0FB516AC-492B-4991-920E-E8B40B5F0D4D}" cache="Slicer_Category1" caption="Category" style="SlicerStyleDark3" rowHeight="276225"/>
  <slicer name="Sales_Channel" xr10:uid="{CC56D032-F60D-4529-B343-E741BB7062B4}" cache="Slicer_Sales_Channel" caption="Sales_Channel" style="SlicerStyleDark3" rowHeight="361950"/>
  <slicer name="State" xr10:uid="{490EA80A-C13E-4400-996A-B2FB0727DC78}" cache="Slicer_State" caption="State" startItem="2" style="SlicerStyleDark3" rowHeight="361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EC9C4-C0FC-45E3-8C6E-F6AF249AA023}" name="SalesData" displayName="SalesData" ref="A1:S1001" totalsRowShown="0" headerRowDxfId="56" dataDxfId="54" headerRowBorderDxfId="55" tableBorderDxfId="53">
  <autoFilter ref="A1:S1001" xr:uid="{761EC9C4-C0FC-45E3-8C6E-F6AF249AA023}"/>
  <sortState xmlns:xlrd2="http://schemas.microsoft.com/office/spreadsheetml/2017/richdata2" ref="A2:S1001">
    <sortCondition ref="A1:A1001"/>
  </sortState>
  <tableColumns count="19">
    <tableColumn id="1" xr3:uid="{EE93664C-E88E-4D97-8578-3A4B0EC99A54}" name="Order_ID" dataDxfId="52"/>
    <tableColumn id="2" xr3:uid="{FE3AFCA1-1128-4E43-8154-4C9C1DF4A5EE}" name="Order_Date" dataDxfId="51"/>
    <tableColumn id="3" xr3:uid="{72EF3512-C79A-4892-93BB-AAA48008D1AB}" name="Month" dataDxfId="50"/>
    <tableColumn id="4" xr3:uid="{485A76F1-C3F2-44E3-8986-C9A29A299687}" name="Month_No" dataDxfId="49"/>
    <tableColumn id="5" xr3:uid="{06B17687-57F2-4958-AFE9-5BD10450DBCD}" name="Customer_ID" dataDxfId="48"/>
    <tableColumn id="6" xr3:uid="{02EFE292-CB05-4920-B587-65FFCB8D690D}" name="State" dataDxfId="47"/>
    <tableColumn id="7" xr3:uid="{E09D2A96-CB7B-4A50-A9C3-55DB7DA329B9}" name="Sales_Channel" dataDxfId="46"/>
    <tableColumn id="8" xr3:uid="{2E04D9A7-ECCB-4842-B2DC-D5ED3A01E27E}" name="Category" dataDxfId="45"/>
    <tableColumn id="9" xr3:uid="{57F5E3FC-5BCB-4191-85DB-C209C23DEBF5}" name="Product" dataDxfId="44"/>
    <tableColumn id="10" xr3:uid="{788CE788-3C99-44E8-84BF-FCEEB55DE96B}" name="Quantity" dataDxfId="43"/>
    <tableColumn id="11" xr3:uid="{A27A13E1-ED2B-47B7-8138-53E038F37B9E}" name="Unit_Price_INR" dataDxfId="42"/>
    <tableColumn id="12" xr3:uid="{6E9F51D9-5214-447A-8ADF-9D7C2E1DF635}" name="Discount_Pct" dataDxfId="41"/>
    <tableColumn id="13" xr3:uid="{208B17FE-409E-40FC-A6A9-4C07908498E2}" name="Gross_Sales_INR" dataDxfId="40"/>
    <tableColumn id="14" xr3:uid="{57898163-F924-4BB9-BAD7-12380CD25B7C}" name="Discount_Amount_INR" dataDxfId="39"/>
    <tableColumn id="15" xr3:uid="{E8E5D26D-87DA-433A-ACCF-625D8F235523}" name="Net_Sales_INR" dataDxfId="38"/>
    <tableColumn id="16" xr3:uid="{A8CD25C2-CC2E-4EF3-9D39-C2A31DC3A1D2}" name="Cost_INR" dataDxfId="37"/>
    <tableColumn id="17" xr3:uid="{46878453-EA5C-4362-A1FA-4C612D9BBA58}" name="Profit_INR" dataDxfId="36"/>
    <tableColumn id="18" xr3:uid="{284072EE-32B6-4607-B4CC-4ECF1A70FFFF}" name="Profit_Margin_Pct" dataDxfId="35"/>
    <tableColumn id="19" xr3:uid="{5C0554D5-BAD5-439B-877D-D527D45572AF}" name="Payment_Method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3C7EA3-297C-4438-A99C-3BC4ACB5FDCB}" name="SalesData3" displayName="SalesData3" ref="A1:S1001" totalsRowShown="0" headerRowDxfId="25" dataDxfId="23" headerRowBorderDxfId="24" tableBorderDxfId="22">
  <autoFilter ref="A1:S1001" xr:uid="{761EC9C4-C0FC-45E3-8C6E-F6AF249AA023}"/>
  <sortState xmlns:xlrd2="http://schemas.microsoft.com/office/spreadsheetml/2017/richdata2" ref="A2:S1001">
    <sortCondition ref="A1:A1001"/>
  </sortState>
  <tableColumns count="19">
    <tableColumn id="1" xr3:uid="{CD75C098-5214-4920-849D-4A139DBFED45}" name="Order_ID" dataDxfId="21"/>
    <tableColumn id="2" xr3:uid="{7023B368-EAE0-45EC-9FBE-1C5FEFF47AC1}" name="Order_Date" dataDxfId="20"/>
    <tableColumn id="3" xr3:uid="{9DCC0E86-1AE7-42A8-ADFB-631CA218F5B6}" name="Month" dataDxfId="19"/>
    <tableColumn id="4" xr3:uid="{FFAB146A-1BA4-401C-ADAB-1265A6A929B2}" name="Month_No" dataDxfId="18"/>
    <tableColumn id="5" xr3:uid="{C0622DB2-149B-45DC-8140-49E40FEFE86D}" name="Customer_ID" dataDxfId="17"/>
    <tableColumn id="6" xr3:uid="{362705A3-4043-4262-B616-8238919B92CD}" name="State" dataDxfId="16"/>
    <tableColumn id="7" xr3:uid="{613B3920-07C3-4647-A82A-B62FF5B1BC3B}" name="Sales_Channel" dataDxfId="15"/>
    <tableColumn id="8" xr3:uid="{FF72F339-13A0-4A50-B40E-708CEBE4CD37}" name="Category" dataDxfId="14"/>
    <tableColumn id="9" xr3:uid="{9A3E896B-2011-426F-B308-D5ED4D780974}" name="Product" dataDxfId="13"/>
    <tableColumn id="10" xr3:uid="{02D13722-4964-42C0-A3CA-096392828326}" name="Quantity" dataDxfId="12"/>
    <tableColumn id="11" xr3:uid="{37604216-0420-4E21-9888-D066D61214A4}" name="Unit_Price_INR" dataDxfId="11"/>
    <tableColumn id="12" xr3:uid="{D889768C-2B84-4D81-A3CC-0FA0B6765449}" name="Discount_Pct" dataDxfId="10"/>
    <tableColumn id="13" xr3:uid="{433E9AFF-8CC3-4A53-8ACA-7D4965A7F387}" name="Gross_Sales_INR" dataDxfId="9"/>
    <tableColumn id="14" xr3:uid="{DBA2C15C-B2D3-48C7-AB96-21A60728967E}" name="Discount_Amount_INR" dataDxfId="8"/>
    <tableColumn id="15" xr3:uid="{2F61F136-68A0-45AD-BCE0-6FB3367F6B9A}" name="Net_Sales_INR" dataDxfId="7"/>
    <tableColumn id="16" xr3:uid="{B5BB0C22-0B72-4083-AAF1-6ADCDA3FAD97}" name="Cost_INR" dataDxfId="6"/>
    <tableColumn id="17" xr3:uid="{186E7AA6-822F-4E3D-BE44-B5AD1BF0D058}" name="Profit_INR" dataDxfId="5"/>
    <tableColumn id="18" xr3:uid="{01D7495A-042F-46E6-93F7-1BD79AA69EDE}" name="Profit_Margin_Pct" dataDxfId="4"/>
    <tableColumn id="19" xr3:uid="{018D246C-0895-44FB-8B81-869D4C79F8BF}" name="Payment_Method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O1" workbookViewId="0">
      <selection activeCell="V13" sqref="V13"/>
    </sheetView>
  </sheetViews>
  <sheetFormatPr defaultRowHeight="14.5" x14ac:dyDescent="0.35"/>
  <cols>
    <col min="1" max="1" width="15.453125" style="2" customWidth="1"/>
    <col min="2" max="2" width="22" style="2" customWidth="1"/>
    <col min="3" max="3" width="13.54296875" style="2" customWidth="1"/>
    <col min="4" max="4" width="16.54296875" style="2" customWidth="1"/>
    <col min="5" max="5" width="17.7265625" style="2" customWidth="1"/>
    <col min="6" max="6" width="17.1796875" style="2" customWidth="1"/>
    <col min="7" max="7" width="21" style="2" customWidth="1"/>
    <col min="8" max="8" width="15.54296875" style="2" customWidth="1"/>
    <col min="9" max="9" width="14.1796875" style="2" customWidth="1"/>
    <col min="10" max="10" width="15.1796875" style="2" customWidth="1"/>
    <col min="11" max="11" width="22.7265625" style="2" customWidth="1"/>
    <col min="12" max="12" width="19" style="2" customWidth="1"/>
    <col min="13" max="13" width="21.7265625" style="2" customWidth="1"/>
    <col min="14" max="14" width="28.54296875" style="2" customWidth="1"/>
    <col min="15" max="15" width="19.54296875" style="2" customWidth="1"/>
    <col min="16" max="16" width="17" style="2" customWidth="1"/>
    <col min="17" max="17" width="19.1796875" style="2" customWidth="1"/>
    <col min="18" max="18" width="23.26953125" style="2" customWidth="1"/>
    <col min="19" max="19" width="25.26953125" style="2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1" t="s">
        <v>19</v>
      </c>
      <c r="B2" s="3">
        <v>45760</v>
      </c>
      <c r="C2" s="1" t="s">
        <v>20</v>
      </c>
      <c r="D2" s="1">
        <v>4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>
        <v>5</v>
      </c>
      <c r="K2" s="1">
        <v>1508.89</v>
      </c>
      <c r="L2" s="1">
        <v>0.2</v>
      </c>
      <c r="M2" s="1">
        <v>7544.4500000000007</v>
      </c>
      <c r="N2" s="1">
        <v>1508.89</v>
      </c>
      <c r="O2" s="1">
        <v>6035.56</v>
      </c>
      <c r="P2" s="1">
        <v>3319.558</v>
      </c>
      <c r="Q2" s="1">
        <v>2716.002</v>
      </c>
      <c r="R2" s="1">
        <v>44.999999999999993</v>
      </c>
      <c r="S2" s="1" t="s">
        <v>26</v>
      </c>
    </row>
    <row r="3" spans="1:19" x14ac:dyDescent="0.35">
      <c r="A3" s="1" t="s">
        <v>27</v>
      </c>
      <c r="B3" s="3">
        <v>45745</v>
      </c>
      <c r="C3" s="1" t="s">
        <v>28</v>
      </c>
      <c r="D3" s="1">
        <v>3</v>
      </c>
      <c r="E3" s="1" t="s">
        <v>29</v>
      </c>
      <c r="F3" s="1" t="s">
        <v>30</v>
      </c>
      <c r="G3" s="1" t="s">
        <v>23</v>
      </c>
      <c r="H3" s="1" t="s">
        <v>31</v>
      </c>
      <c r="I3" s="1" t="s">
        <v>32</v>
      </c>
      <c r="J3" s="1">
        <v>4</v>
      </c>
      <c r="K3" s="1">
        <v>671.46</v>
      </c>
      <c r="L3" s="1">
        <v>0.15</v>
      </c>
      <c r="M3" s="1">
        <v>2685.84</v>
      </c>
      <c r="N3" s="1">
        <v>402.87599999999998</v>
      </c>
      <c r="O3" s="1">
        <v>2282.9639999999999</v>
      </c>
      <c r="P3" s="1">
        <v>1187.1412800000001</v>
      </c>
      <c r="Q3" s="1">
        <v>1095.8227199999999</v>
      </c>
      <c r="R3" s="1">
        <v>48</v>
      </c>
      <c r="S3" s="1" t="s">
        <v>33</v>
      </c>
    </row>
    <row r="4" spans="1:19" x14ac:dyDescent="0.35">
      <c r="A4" s="1" t="s">
        <v>34</v>
      </c>
      <c r="B4" s="3">
        <v>45934</v>
      </c>
      <c r="C4" s="1" t="s">
        <v>35</v>
      </c>
      <c r="D4" s="1">
        <v>10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>
        <v>4</v>
      </c>
      <c r="K4" s="1">
        <v>42864.23</v>
      </c>
      <c r="L4" s="1">
        <v>0</v>
      </c>
      <c r="M4" s="1">
        <v>171456.92</v>
      </c>
      <c r="N4" s="1">
        <v>0</v>
      </c>
      <c r="O4" s="1">
        <v>171456.92</v>
      </c>
      <c r="P4" s="1">
        <v>133736.3976</v>
      </c>
      <c r="Q4" s="1">
        <v>37720.522399999987</v>
      </c>
      <c r="R4" s="1">
        <v>21.999999999999989</v>
      </c>
      <c r="S4" s="1" t="s">
        <v>33</v>
      </c>
    </row>
    <row r="5" spans="1:19" x14ac:dyDescent="0.35">
      <c r="A5" s="1" t="s">
        <v>41</v>
      </c>
      <c r="B5" s="3">
        <v>45712</v>
      </c>
      <c r="C5" s="1" t="s">
        <v>42</v>
      </c>
      <c r="D5" s="1">
        <v>2</v>
      </c>
      <c r="E5" s="1" t="s">
        <v>21</v>
      </c>
      <c r="F5" s="1" t="s">
        <v>43</v>
      </c>
      <c r="G5" s="1" t="s">
        <v>38</v>
      </c>
      <c r="H5" s="1" t="s">
        <v>24</v>
      </c>
      <c r="I5" s="1" t="s">
        <v>44</v>
      </c>
      <c r="J5" s="1">
        <v>1</v>
      </c>
      <c r="K5" s="1">
        <v>755.48</v>
      </c>
      <c r="L5" s="1">
        <v>0.15</v>
      </c>
      <c r="M5" s="1">
        <v>755.48</v>
      </c>
      <c r="N5" s="1">
        <v>113.322</v>
      </c>
      <c r="O5" s="1">
        <v>642.15800000000002</v>
      </c>
      <c r="P5" s="1">
        <v>353.18689999999998</v>
      </c>
      <c r="Q5" s="1">
        <v>288.97109999999998</v>
      </c>
      <c r="R5" s="1">
        <v>44.999999999999993</v>
      </c>
      <c r="S5" s="1" t="s">
        <v>33</v>
      </c>
    </row>
    <row r="6" spans="1:19" x14ac:dyDescent="0.35">
      <c r="A6" s="1" t="s">
        <v>45</v>
      </c>
      <c r="B6" s="3">
        <v>45746</v>
      </c>
      <c r="C6" s="1" t="s">
        <v>28</v>
      </c>
      <c r="D6" s="1">
        <v>3</v>
      </c>
      <c r="E6" s="1" t="s">
        <v>46</v>
      </c>
      <c r="F6" s="1" t="s">
        <v>47</v>
      </c>
      <c r="G6" s="1" t="s">
        <v>38</v>
      </c>
      <c r="H6" s="1" t="s">
        <v>24</v>
      </c>
      <c r="I6" s="1" t="s">
        <v>48</v>
      </c>
      <c r="J6" s="1">
        <v>6</v>
      </c>
      <c r="K6" s="1">
        <v>4946.1899999999996</v>
      </c>
      <c r="L6" s="1">
        <v>0.1</v>
      </c>
      <c r="M6" s="1">
        <v>29677.14</v>
      </c>
      <c r="N6" s="1">
        <v>2967.7139999999999</v>
      </c>
      <c r="O6" s="1">
        <v>26709.425999999999</v>
      </c>
      <c r="P6" s="1">
        <v>14690.184300000001</v>
      </c>
      <c r="Q6" s="1">
        <v>12019.2417</v>
      </c>
      <c r="R6" s="1">
        <v>44.999999999999993</v>
      </c>
      <c r="S6" s="1" t="s">
        <v>33</v>
      </c>
    </row>
    <row r="7" spans="1:19" x14ac:dyDescent="0.35">
      <c r="A7" s="1" t="s">
        <v>49</v>
      </c>
      <c r="B7" s="3">
        <v>45921</v>
      </c>
      <c r="C7" s="1" t="s">
        <v>50</v>
      </c>
      <c r="D7" s="1">
        <v>9</v>
      </c>
      <c r="E7" s="1" t="s">
        <v>51</v>
      </c>
      <c r="F7" s="1" t="s">
        <v>52</v>
      </c>
      <c r="G7" s="1" t="s">
        <v>23</v>
      </c>
      <c r="H7" s="1" t="s">
        <v>53</v>
      </c>
      <c r="I7" s="1" t="s">
        <v>54</v>
      </c>
      <c r="J7" s="1">
        <v>6</v>
      </c>
      <c r="K7" s="1">
        <v>1038.55</v>
      </c>
      <c r="L7" s="1">
        <v>0.05</v>
      </c>
      <c r="M7" s="1">
        <v>6231.2999999999993</v>
      </c>
      <c r="N7" s="1">
        <v>311.565</v>
      </c>
      <c r="O7" s="1">
        <v>5919.7349999999997</v>
      </c>
      <c r="P7" s="1">
        <v>3433.4463000000001</v>
      </c>
      <c r="Q7" s="1">
        <v>2486.2887000000001</v>
      </c>
      <c r="R7" s="1">
        <v>42.000000000000007</v>
      </c>
      <c r="S7" s="1" t="s">
        <v>33</v>
      </c>
    </row>
    <row r="8" spans="1:19" x14ac:dyDescent="0.35">
      <c r="A8" s="1" t="s">
        <v>55</v>
      </c>
      <c r="B8" s="3">
        <v>45967</v>
      </c>
      <c r="C8" s="1" t="s">
        <v>56</v>
      </c>
      <c r="D8" s="1">
        <v>11</v>
      </c>
      <c r="E8" s="1" t="s">
        <v>57</v>
      </c>
      <c r="F8" s="1" t="s">
        <v>58</v>
      </c>
      <c r="G8" s="1" t="s">
        <v>23</v>
      </c>
      <c r="H8" s="1" t="s">
        <v>31</v>
      </c>
      <c r="I8" s="1" t="s">
        <v>59</v>
      </c>
      <c r="J8" s="1">
        <v>7</v>
      </c>
      <c r="K8" s="1">
        <v>2979.54</v>
      </c>
      <c r="L8" s="1">
        <v>0.1</v>
      </c>
      <c r="M8" s="1">
        <v>20856.78</v>
      </c>
      <c r="N8" s="1">
        <v>2085.6779999999999</v>
      </c>
      <c r="O8" s="1">
        <v>18771.101999999999</v>
      </c>
      <c r="P8" s="1">
        <v>9760.9730399999989</v>
      </c>
      <c r="Q8" s="1">
        <v>9010.12896</v>
      </c>
      <c r="R8" s="1">
        <v>48.000000000000007</v>
      </c>
      <c r="S8" s="1" t="s">
        <v>60</v>
      </c>
    </row>
    <row r="9" spans="1:19" x14ac:dyDescent="0.35">
      <c r="A9" s="1" t="s">
        <v>61</v>
      </c>
      <c r="B9" s="3">
        <v>45847</v>
      </c>
      <c r="C9" s="1" t="s">
        <v>62</v>
      </c>
      <c r="D9" s="1">
        <v>7</v>
      </c>
      <c r="E9" s="1" t="s">
        <v>63</v>
      </c>
      <c r="F9" s="1" t="s">
        <v>43</v>
      </c>
      <c r="G9" s="1" t="s">
        <v>64</v>
      </c>
      <c r="H9" s="1" t="s">
        <v>31</v>
      </c>
      <c r="I9" s="1" t="s">
        <v>65</v>
      </c>
      <c r="J9" s="1">
        <v>5</v>
      </c>
      <c r="K9" s="1">
        <v>1095.45</v>
      </c>
      <c r="L9" s="1">
        <v>0.2</v>
      </c>
      <c r="M9" s="1">
        <v>5477.25</v>
      </c>
      <c r="N9" s="1">
        <v>1095.45</v>
      </c>
      <c r="O9" s="1">
        <v>4381.8</v>
      </c>
      <c r="P9" s="1">
        <v>2278.5360000000001</v>
      </c>
      <c r="Q9" s="1">
        <v>2103.2640000000001</v>
      </c>
      <c r="R9" s="1">
        <v>48</v>
      </c>
      <c r="S9" s="1" t="s">
        <v>60</v>
      </c>
    </row>
    <row r="10" spans="1:19" x14ac:dyDescent="0.35">
      <c r="A10" s="1" t="s">
        <v>66</v>
      </c>
      <c r="B10" s="3">
        <v>46002</v>
      </c>
      <c r="C10" s="1" t="s">
        <v>67</v>
      </c>
      <c r="D10" s="1">
        <v>12</v>
      </c>
      <c r="E10" s="1" t="s">
        <v>68</v>
      </c>
      <c r="F10" s="1" t="s">
        <v>69</v>
      </c>
      <c r="G10" s="1" t="s">
        <v>64</v>
      </c>
      <c r="H10" s="1" t="s">
        <v>39</v>
      </c>
      <c r="I10" s="1" t="s">
        <v>40</v>
      </c>
      <c r="J10" s="1">
        <v>1</v>
      </c>
      <c r="K10" s="1">
        <v>19326.79</v>
      </c>
      <c r="L10" s="1">
        <v>0</v>
      </c>
      <c r="M10" s="1">
        <v>19326.79</v>
      </c>
      <c r="N10" s="1">
        <v>0</v>
      </c>
      <c r="O10" s="1">
        <v>19326.79</v>
      </c>
      <c r="P10" s="1">
        <v>15074.896199999999</v>
      </c>
      <c r="Q10" s="1">
        <v>4251.8937999999998</v>
      </c>
      <c r="R10" s="1">
        <v>22</v>
      </c>
      <c r="S10" s="1" t="s">
        <v>26</v>
      </c>
    </row>
    <row r="11" spans="1:19" x14ac:dyDescent="0.35">
      <c r="A11" s="1" t="s">
        <v>70</v>
      </c>
      <c r="B11" s="3">
        <v>45946</v>
      </c>
      <c r="C11" s="1" t="s">
        <v>35</v>
      </c>
      <c r="D11" s="1">
        <v>10</v>
      </c>
      <c r="E11" s="1" t="s">
        <v>71</v>
      </c>
      <c r="F11" s="1" t="s">
        <v>22</v>
      </c>
      <c r="G11" s="1" t="s">
        <v>64</v>
      </c>
      <c r="H11" s="1" t="s">
        <v>53</v>
      </c>
      <c r="I11" s="1" t="s">
        <v>72</v>
      </c>
      <c r="J11" s="1">
        <v>5</v>
      </c>
      <c r="K11" s="1">
        <v>2323.12</v>
      </c>
      <c r="L11" s="1">
        <v>0.15</v>
      </c>
      <c r="M11" s="1">
        <v>11615.6</v>
      </c>
      <c r="N11" s="1">
        <v>1742.34</v>
      </c>
      <c r="O11" s="1">
        <v>9873.2599999999984</v>
      </c>
      <c r="P11" s="1">
        <v>5726.4907999999987</v>
      </c>
      <c r="Q11" s="1">
        <v>4146.7691999999997</v>
      </c>
      <c r="R11" s="1">
        <v>42.000000000000007</v>
      </c>
      <c r="S11" s="1" t="s">
        <v>73</v>
      </c>
    </row>
    <row r="12" spans="1:19" x14ac:dyDescent="0.35">
      <c r="A12" s="1" t="s">
        <v>74</v>
      </c>
      <c r="B12" s="3">
        <v>45690</v>
      </c>
      <c r="C12" s="1" t="s">
        <v>42</v>
      </c>
      <c r="D12" s="1">
        <v>2</v>
      </c>
      <c r="E12" s="1" t="s">
        <v>75</v>
      </c>
      <c r="F12" s="1" t="s">
        <v>76</v>
      </c>
      <c r="G12" s="1" t="s">
        <v>38</v>
      </c>
      <c r="H12" s="1" t="s">
        <v>77</v>
      </c>
      <c r="I12" s="1" t="s">
        <v>78</v>
      </c>
      <c r="J12" s="1">
        <v>5</v>
      </c>
      <c r="K12" s="1">
        <v>889.05</v>
      </c>
      <c r="L12" s="1">
        <v>0.15</v>
      </c>
      <c r="M12" s="1">
        <v>4445.25</v>
      </c>
      <c r="N12" s="1">
        <v>666.78750000000002</v>
      </c>
      <c r="O12" s="1">
        <v>3778.4625000000001</v>
      </c>
      <c r="P12" s="1">
        <v>2720.4929999999999</v>
      </c>
      <c r="Q12" s="1">
        <v>1057.9694999999999</v>
      </c>
      <c r="R12" s="1">
        <v>28</v>
      </c>
      <c r="S12" s="1" t="s">
        <v>26</v>
      </c>
    </row>
    <row r="13" spans="1:19" x14ac:dyDescent="0.35">
      <c r="A13" s="1" t="s">
        <v>79</v>
      </c>
      <c r="B13" s="3">
        <v>45914</v>
      </c>
      <c r="C13" s="1" t="s">
        <v>50</v>
      </c>
      <c r="D13" s="1">
        <v>9</v>
      </c>
      <c r="E13" s="1" t="s">
        <v>80</v>
      </c>
      <c r="F13" s="1" t="s">
        <v>43</v>
      </c>
      <c r="G13" s="1" t="s">
        <v>38</v>
      </c>
      <c r="H13" s="1" t="s">
        <v>31</v>
      </c>
      <c r="I13" s="1" t="s">
        <v>32</v>
      </c>
      <c r="J13" s="1">
        <v>2</v>
      </c>
      <c r="K13" s="1">
        <v>978.75</v>
      </c>
      <c r="L13" s="1">
        <v>0.05</v>
      </c>
      <c r="M13" s="1">
        <v>1957.5</v>
      </c>
      <c r="N13" s="1">
        <v>97.875</v>
      </c>
      <c r="O13" s="1">
        <v>1859.625</v>
      </c>
      <c r="P13" s="1">
        <v>967.005</v>
      </c>
      <c r="Q13" s="1">
        <v>892.62</v>
      </c>
      <c r="R13" s="1">
        <v>48</v>
      </c>
      <c r="S13" s="1" t="s">
        <v>73</v>
      </c>
    </row>
    <row r="14" spans="1:19" x14ac:dyDescent="0.35">
      <c r="A14" s="1" t="s">
        <v>81</v>
      </c>
      <c r="B14" s="3">
        <v>45836</v>
      </c>
      <c r="C14" s="1" t="s">
        <v>82</v>
      </c>
      <c r="D14" s="1">
        <v>6</v>
      </c>
      <c r="E14" s="1" t="s">
        <v>83</v>
      </c>
      <c r="F14" s="1" t="s">
        <v>58</v>
      </c>
      <c r="G14" s="1" t="s">
        <v>64</v>
      </c>
      <c r="H14" s="1" t="s">
        <v>39</v>
      </c>
      <c r="I14" s="1" t="s">
        <v>40</v>
      </c>
      <c r="J14" s="1">
        <v>4</v>
      </c>
      <c r="K14" s="1">
        <v>40106.71</v>
      </c>
      <c r="L14" s="1">
        <v>0.15</v>
      </c>
      <c r="M14" s="1">
        <v>160426.84</v>
      </c>
      <c r="N14" s="1">
        <v>24064.026000000002</v>
      </c>
      <c r="O14" s="1">
        <v>136362.81400000001</v>
      </c>
      <c r="P14" s="1">
        <v>106362.99492</v>
      </c>
      <c r="Q14" s="1">
        <v>29999.819080000001</v>
      </c>
      <c r="R14" s="1">
        <v>22</v>
      </c>
      <c r="S14" s="1" t="s">
        <v>26</v>
      </c>
    </row>
    <row r="15" spans="1:19" x14ac:dyDescent="0.35">
      <c r="A15" s="1" t="s">
        <v>84</v>
      </c>
      <c r="B15" s="3">
        <v>45743</v>
      </c>
      <c r="C15" s="1" t="s">
        <v>28</v>
      </c>
      <c r="D15" s="1">
        <v>3</v>
      </c>
      <c r="E15" s="1" t="s">
        <v>85</v>
      </c>
      <c r="F15" s="1" t="s">
        <v>58</v>
      </c>
      <c r="G15" s="1" t="s">
        <v>23</v>
      </c>
      <c r="H15" s="1" t="s">
        <v>24</v>
      </c>
      <c r="I15" s="1" t="s">
        <v>25</v>
      </c>
      <c r="J15" s="1">
        <v>2</v>
      </c>
      <c r="K15" s="1">
        <v>3933.95</v>
      </c>
      <c r="L15" s="1">
        <v>0.05</v>
      </c>
      <c r="M15" s="1">
        <v>7867.9</v>
      </c>
      <c r="N15" s="1">
        <v>393.39499999999998</v>
      </c>
      <c r="O15" s="1">
        <v>7474.5049999999992</v>
      </c>
      <c r="P15" s="1">
        <v>4110.97775</v>
      </c>
      <c r="Q15" s="1">
        <v>3363.5272499999992</v>
      </c>
      <c r="R15" s="1">
        <v>44.999999999999993</v>
      </c>
      <c r="S15" s="1" t="s">
        <v>73</v>
      </c>
    </row>
    <row r="16" spans="1:19" x14ac:dyDescent="0.35">
      <c r="A16" s="1" t="s">
        <v>86</v>
      </c>
      <c r="B16" s="3">
        <v>46005</v>
      </c>
      <c r="C16" s="1" t="s">
        <v>67</v>
      </c>
      <c r="D16" s="1">
        <v>12</v>
      </c>
      <c r="E16" s="1" t="s">
        <v>80</v>
      </c>
      <c r="F16" s="1" t="s">
        <v>43</v>
      </c>
      <c r="G16" s="1" t="s">
        <v>64</v>
      </c>
      <c r="H16" s="1" t="s">
        <v>39</v>
      </c>
      <c r="I16" s="1" t="s">
        <v>87</v>
      </c>
      <c r="J16" s="1">
        <v>7</v>
      </c>
      <c r="K16" s="1">
        <v>59689.22</v>
      </c>
      <c r="L16" s="1">
        <v>0.05</v>
      </c>
      <c r="M16" s="1">
        <v>417824.54</v>
      </c>
      <c r="N16" s="1">
        <v>20891.226999999999</v>
      </c>
      <c r="O16" s="1">
        <v>396933.31300000002</v>
      </c>
      <c r="P16" s="1">
        <v>309607.98414000002</v>
      </c>
      <c r="Q16" s="1">
        <v>87325.328860000009</v>
      </c>
      <c r="R16" s="1">
        <v>22</v>
      </c>
      <c r="S16" s="1" t="s">
        <v>26</v>
      </c>
    </row>
    <row r="17" spans="1:19" x14ac:dyDescent="0.35">
      <c r="A17" s="1" t="s">
        <v>88</v>
      </c>
      <c r="B17" s="3">
        <v>46016</v>
      </c>
      <c r="C17" s="1" t="s">
        <v>67</v>
      </c>
      <c r="D17" s="1">
        <v>12</v>
      </c>
      <c r="E17" s="1" t="s">
        <v>89</v>
      </c>
      <c r="F17" s="1" t="s">
        <v>30</v>
      </c>
      <c r="G17" s="1" t="s">
        <v>38</v>
      </c>
      <c r="H17" s="1" t="s">
        <v>77</v>
      </c>
      <c r="I17" s="1" t="s">
        <v>90</v>
      </c>
      <c r="J17" s="1">
        <v>3</v>
      </c>
      <c r="K17" s="1">
        <v>530.02</v>
      </c>
      <c r="L17" s="1">
        <v>0.05</v>
      </c>
      <c r="M17" s="1">
        <v>1590.06</v>
      </c>
      <c r="N17" s="1">
        <v>79.503</v>
      </c>
      <c r="O17" s="1">
        <v>1510.557</v>
      </c>
      <c r="P17" s="1">
        <v>1087.60104</v>
      </c>
      <c r="Q17" s="1">
        <v>422.95596</v>
      </c>
      <c r="R17" s="1">
        <v>28</v>
      </c>
      <c r="S17" s="1" t="s">
        <v>60</v>
      </c>
    </row>
    <row r="18" spans="1:19" x14ac:dyDescent="0.35">
      <c r="A18" s="1" t="s">
        <v>91</v>
      </c>
      <c r="B18" s="3">
        <v>45837</v>
      </c>
      <c r="C18" s="1" t="s">
        <v>82</v>
      </c>
      <c r="D18" s="1">
        <v>6</v>
      </c>
      <c r="E18" s="1" t="s">
        <v>92</v>
      </c>
      <c r="F18" s="1" t="s">
        <v>47</v>
      </c>
      <c r="G18" s="1" t="s">
        <v>38</v>
      </c>
      <c r="H18" s="1" t="s">
        <v>39</v>
      </c>
      <c r="I18" s="1" t="s">
        <v>87</v>
      </c>
      <c r="J18" s="1">
        <v>6</v>
      </c>
      <c r="K18" s="1">
        <v>63391.58</v>
      </c>
      <c r="L18" s="1">
        <v>0.3</v>
      </c>
      <c r="M18" s="1">
        <v>380349.48</v>
      </c>
      <c r="N18" s="1">
        <v>114104.844</v>
      </c>
      <c r="O18" s="1">
        <v>266244.636</v>
      </c>
      <c r="P18" s="1">
        <v>207670.81607999999</v>
      </c>
      <c r="Q18" s="1">
        <v>58573.81991999998</v>
      </c>
      <c r="R18" s="1">
        <v>21.999999999999989</v>
      </c>
      <c r="S18" s="1" t="s">
        <v>93</v>
      </c>
    </row>
    <row r="19" spans="1:19" x14ac:dyDescent="0.35">
      <c r="A19" s="1" t="s">
        <v>94</v>
      </c>
      <c r="B19" s="3">
        <v>45770</v>
      </c>
      <c r="C19" s="1" t="s">
        <v>20</v>
      </c>
      <c r="D19" s="1">
        <v>4</v>
      </c>
      <c r="E19" s="1" t="s">
        <v>95</v>
      </c>
      <c r="F19" s="1" t="s">
        <v>22</v>
      </c>
      <c r="G19" s="1" t="s">
        <v>64</v>
      </c>
      <c r="H19" s="1" t="s">
        <v>39</v>
      </c>
      <c r="I19" s="1" t="s">
        <v>87</v>
      </c>
      <c r="J19" s="1">
        <v>3</v>
      </c>
      <c r="K19" s="1">
        <v>42745.17</v>
      </c>
      <c r="L19" s="1">
        <v>0.1</v>
      </c>
      <c r="M19" s="1">
        <v>128235.51</v>
      </c>
      <c r="N19" s="1">
        <v>12823.550999999999</v>
      </c>
      <c r="O19" s="1">
        <v>115411.959</v>
      </c>
      <c r="P19" s="1">
        <v>90021.328020000001</v>
      </c>
      <c r="Q19" s="1">
        <v>25390.630980000002</v>
      </c>
      <c r="R19" s="1">
        <v>22</v>
      </c>
      <c r="S19" s="1" t="s">
        <v>60</v>
      </c>
    </row>
    <row r="20" spans="1:19" x14ac:dyDescent="0.35">
      <c r="A20" s="1" t="s">
        <v>96</v>
      </c>
      <c r="B20" s="3">
        <v>45783</v>
      </c>
      <c r="C20" s="1" t="s">
        <v>97</v>
      </c>
      <c r="D20" s="1">
        <v>5</v>
      </c>
      <c r="E20" s="1" t="s">
        <v>98</v>
      </c>
      <c r="F20" s="1" t="s">
        <v>58</v>
      </c>
      <c r="G20" s="1" t="s">
        <v>38</v>
      </c>
      <c r="H20" s="1" t="s">
        <v>99</v>
      </c>
      <c r="I20" s="1" t="s">
        <v>100</v>
      </c>
      <c r="J20" s="1">
        <v>5</v>
      </c>
      <c r="K20" s="1">
        <v>13512.69</v>
      </c>
      <c r="L20" s="1">
        <v>0.3</v>
      </c>
      <c r="M20" s="1">
        <v>67563.45</v>
      </c>
      <c r="N20" s="1">
        <v>20269.035</v>
      </c>
      <c r="O20" s="1">
        <v>47294.414999999994</v>
      </c>
      <c r="P20" s="1">
        <v>32160.2022</v>
      </c>
      <c r="Q20" s="1">
        <v>15134.21279999999</v>
      </c>
      <c r="R20" s="1">
        <v>31.999999999999989</v>
      </c>
      <c r="S20" s="1" t="s">
        <v>26</v>
      </c>
    </row>
    <row r="21" spans="1:19" x14ac:dyDescent="0.35">
      <c r="A21" s="1" t="s">
        <v>101</v>
      </c>
      <c r="B21" s="3">
        <v>45912</v>
      </c>
      <c r="C21" s="1" t="s">
        <v>50</v>
      </c>
      <c r="D21" s="1">
        <v>9</v>
      </c>
      <c r="E21" s="1" t="s">
        <v>102</v>
      </c>
      <c r="F21" s="1" t="s">
        <v>76</v>
      </c>
      <c r="G21" s="1" t="s">
        <v>64</v>
      </c>
      <c r="H21" s="1" t="s">
        <v>77</v>
      </c>
      <c r="I21" s="1" t="s">
        <v>103</v>
      </c>
      <c r="J21" s="1">
        <v>5</v>
      </c>
      <c r="K21" s="1">
        <v>777.15</v>
      </c>
      <c r="L21" s="1">
        <v>0.15</v>
      </c>
      <c r="M21" s="1">
        <v>3885.75</v>
      </c>
      <c r="N21" s="1">
        <v>582.86249999999995</v>
      </c>
      <c r="O21" s="1">
        <v>3302.8874999999998</v>
      </c>
      <c r="P21" s="1">
        <v>2378.0790000000002</v>
      </c>
      <c r="Q21" s="1">
        <v>924.80850000000009</v>
      </c>
      <c r="R21" s="1">
        <v>28</v>
      </c>
      <c r="S21" s="1" t="s">
        <v>26</v>
      </c>
    </row>
    <row r="22" spans="1:19" x14ac:dyDescent="0.35">
      <c r="A22" s="1" t="s">
        <v>104</v>
      </c>
      <c r="B22" s="3">
        <v>45983</v>
      </c>
      <c r="C22" s="1" t="s">
        <v>56</v>
      </c>
      <c r="D22" s="1">
        <v>11</v>
      </c>
      <c r="E22" s="1" t="s">
        <v>105</v>
      </c>
      <c r="F22" s="1" t="s">
        <v>58</v>
      </c>
      <c r="G22" s="1" t="s">
        <v>38</v>
      </c>
      <c r="H22" s="1" t="s">
        <v>31</v>
      </c>
      <c r="I22" s="1" t="s">
        <v>59</v>
      </c>
      <c r="J22" s="1">
        <v>3</v>
      </c>
      <c r="K22" s="1">
        <v>2149.9499999999998</v>
      </c>
      <c r="L22" s="1">
        <v>0.15</v>
      </c>
      <c r="M22" s="1">
        <v>6449.8499999999995</v>
      </c>
      <c r="N22" s="1">
        <v>967.47749999999985</v>
      </c>
      <c r="O22" s="1">
        <v>5482.3724999999986</v>
      </c>
      <c r="P22" s="1">
        <v>2850.8337000000001</v>
      </c>
      <c r="Q22" s="1">
        <v>2631.5387999999998</v>
      </c>
      <c r="R22" s="1">
        <v>48</v>
      </c>
      <c r="S22" s="1" t="s">
        <v>60</v>
      </c>
    </row>
    <row r="23" spans="1:19" x14ac:dyDescent="0.35">
      <c r="A23" s="1" t="s">
        <v>106</v>
      </c>
      <c r="B23" s="3">
        <v>45785</v>
      </c>
      <c r="C23" s="1" t="s">
        <v>97</v>
      </c>
      <c r="D23" s="1">
        <v>5</v>
      </c>
      <c r="E23" s="1" t="s">
        <v>107</v>
      </c>
      <c r="F23" s="1" t="s">
        <v>37</v>
      </c>
      <c r="G23" s="1" t="s">
        <v>38</v>
      </c>
      <c r="H23" s="1" t="s">
        <v>99</v>
      </c>
      <c r="I23" s="1" t="s">
        <v>108</v>
      </c>
      <c r="J23" s="1">
        <v>1</v>
      </c>
      <c r="K23" s="1">
        <v>17703.03</v>
      </c>
      <c r="L23" s="1">
        <v>0.15</v>
      </c>
      <c r="M23" s="1">
        <v>17703.03</v>
      </c>
      <c r="N23" s="1">
        <v>2655.4544999999998</v>
      </c>
      <c r="O23" s="1">
        <v>15047.575500000001</v>
      </c>
      <c r="P23" s="1">
        <v>10232.351339999999</v>
      </c>
      <c r="Q23" s="1">
        <v>4815.2241599999998</v>
      </c>
      <c r="R23" s="1">
        <v>32</v>
      </c>
      <c r="S23" s="1" t="s">
        <v>73</v>
      </c>
    </row>
    <row r="24" spans="1:19" x14ac:dyDescent="0.35">
      <c r="A24" s="1" t="s">
        <v>109</v>
      </c>
      <c r="B24" s="3">
        <v>45769</v>
      </c>
      <c r="C24" s="1" t="s">
        <v>20</v>
      </c>
      <c r="D24" s="1">
        <v>4</v>
      </c>
      <c r="E24" s="1" t="s">
        <v>110</v>
      </c>
      <c r="F24" s="1" t="s">
        <v>111</v>
      </c>
      <c r="G24" s="1" t="s">
        <v>64</v>
      </c>
      <c r="H24" s="1" t="s">
        <v>39</v>
      </c>
      <c r="I24" s="1" t="s">
        <v>40</v>
      </c>
      <c r="J24" s="1">
        <v>4</v>
      </c>
      <c r="K24" s="1">
        <v>38190.080000000002</v>
      </c>
      <c r="L24" s="1">
        <v>0.05</v>
      </c>
      <c r="M24" s="1">
        <v>152760.32000000001</v>
      </c>
      <c r="N24" s="1">
        <v>7638.0160000000014</v>
      </c>
      <c r="O24" s="1">
        <v>145122.304</v>
      </c>
      <c r="P24" s="1">
        <v>113195.39711999999</v>
      </c>
      <c r="Q24" s="1">
        <v>31926.906879999991</v>
      </c>
      <c r="R24" s="1">
        <v>22</v>
      </c>
      <c r="S24" s="1" t="s">
        <v>60</v>
      </c>
    </row>
    <row r="25" spans="1:19" x14ac:dyDescent="0.35">
      <c r="A25" s="1" t="s">
        <v>112</v>
      </c>
      <c r="B25" s="3">
        <v>45890</v>
      </c>
      <c r="C25" s="1" t="s">
        <v>113</v>
      </c>
      <c r="D25" s="1">
        <v>8</v>
      </c>
      <c r="E25" s="1" t="s">
        <v>114</v>
      </c>
      <c r="F25" s="1" t="s">
        <v>52</v>
      </c>
      <c r="G25" s="1" t="s">
        <v>64</v>
      </c>
      <c r="H25" s="1" t="s">
        <v>53</v>
      </c>
      <c r="I25" s="1" t="s">
        <v>72</v>
      </c>
      <c r="J25" s="1">
        <v>3</v>
      </c>
      <c r="K25" s="1">
        <v>1842.29</v>
      </c>
      <c r="L25" s="1">
        <v>0.25</v>
      </c>
      <c r="M25" s="1">
        <v>5526.87</v>
      </c>
      <c r="N25" s="1">
        <v>1381.7175</v>
      </c>
      <c r="O25" s="1">
        <v>4145.1525000000001</v>
      </c>
      <c r="P25" s="1">
        <v>2404.1884500000001</v>
      </c>
      <c r="Q25" s="1">
        <v>1740.96405</v>
      </c>
      <c r="R25" s="1">
        <v>42</v>
      </c>
      <c r="S25" s="1" t="s">
        <v>26</v>
      </c>
    </row>
    <row r="26" spans="1:19" x14ac:dyDescent="0.35">
      <c r="A26" s="1" t="s">
        <v>115</v>
      </c>
      <c r="B26" s="3">
        <v>45770</v>
      </c>
      <c r="C26" s="1" t="s">
        <v>20</v>
      </c>
      <c r="D26" s="1">
        <v>4</v>
      </c>
      <c r="E26" s="1" t="s">
        <v>116</v>
      </c>
      <c r="F26" s="1" t="s">
        <v>43</v>
      </c>
      <c r="G26" s="1" t="s">
        <v>38</v>
      </c>
      <c r="H26" s="1" t="s">
        <v>24</v>
      </c>
      <c r="I26" s="1" t="s">
        <v>117</v>
      </c>
      <c r="J26" s="1">
        <v>6</v>
      </c>
      <c r="K26" s="1">
        <v>4179.4399999999996</v>
      </c>
      <c r="L26" s="1">
        <v>0.15</v>
      </c>
      <c r="M26" s="1">
        <v>25076.639999999999</v>
      </c>
      <c r="N26" s="1">
        <v>3761.4960000000001</v>
      </c>
      <c r="O26" s="1">
        <v>21315.144</v>
      </c>
      <c r="P26" s="1">
        <v>11723.3292</v>
      </c>
      <c r="Q26" s="1">
        <v>9591.8147999999983</v>
      </c>
      <c r="R26" s="1">
        <v>44.999999999999993</v>
      </c>
      <c r="S26" s="1" t="s">
        <v>93</v>
      </c>
    </row>
    <row r="27" spans="1:19" x14ac:dyDescent="0.35">
      <c r="A27" s="1" t="s">
        <v>118</v>
      </c>
      <c r="B27" s="3">
        <v>45995</v>
      </c>
      <c r="C27" s="1" t="s">
        <v>67</v>
      </c>
      <c r="D27" s="1">
        <v>12</v>
      </c>
      <c r="E27" s="1" t="s">
        <v>119</v>
      </c>
      <c r="F27" s="1" t="s">
        <v>58</v>
      </c>
      <c r="G27" s="1" t="s">
        <v>64</v>
      </c>
      <c r="H27" s="1" t="s">
        <v>99</v>
      </c>
      <c r="I27" s="1" t="s">
        <v>120</v>
      </c>
      <c r="J27" s="1">
        <v>6</v>
      </c>
      <c r="K27" s="1">
        <v>12589.54</v>
      </c>
      <c r="L27" s="1">
        <v>0.3</v>
      </c>
      <c r="M27" s="1">
        <v>75537.240000000005</v>
      </c>
      <c r="N27" s="1">
        <v>22661.171999999999</v>
      </c>
      <c r="O27" s="1">
        <v>52876.067999999999</v>
      </c>
      <c r="P27" s="1">
        <v>35955.726240000004</v>
      </c>
      <c r="Q27" s="1">
        <v>16920.341759999999</v>
      </c>
      <c r="R27" s="1">
        <v>31.999999999999989</v>
      </c>
      <c r="S27" s="1" t="s">
        <v>33</v>
      </c>
    </row>
    <row r="28" spans="1:19" x14ac:dyDescent="0.35">
      <c r="A28" s="1" t="s">
        <v>121</v>
      </c>
      <c r="B28" s="3">
        <v>45792</v>
      </c>
      <c r="C28" s="1" t="s">
        <v>97</v>
      </c>
      <c r="D28" s="1">
        <v>5</v>
      </c>
      <c r="E28" s="1" t="s">
        <v>122</v>
      </c>
      <c r="F28" s="1" t="s">
        <v>52</v>
      </c>
      <c r="G28" s="1" t="s">
        <v>23</v>
      </c>
      <c r="H28" s="1" t="s">
        <v>53</v>
      </c>
      <c r="I28" s="1" t="s">
        <v>123</v>
      </c>
      <c r="J28" s="1">
        <v>1</v>
      </c>
      <c r="K28" s="1">
        <v>839.35</v>
      </c>
      <c r="L28" s="1">
        <v>0.1</v>
      </c>
      <c r="M28" s="1">
        <v>839.35</v>
      </c>
      <c r="N28" s="1">
        <v>83.935000000000002</v>
      </c>
      <c r="O28" s="1">
        <v>755.41499999999996</v>
      </c>
      <c r="P28" s="1">
        <v>438.14069999999992</v>
      </c>
      <c r="Q28" s="1">
        <v>317.27429999999998</v>
      </c>
      <c r="R28" s="1">
        <v>42.000000000000007</v>
      </c>
      <c r="S28" s="1" t="s">
        <v>26</v>
      </c>
    </row>
    <row r="29" spans="1:19" x14ac:dyDescent="0.35">
      <c r="A29" s="1" t="s">
        <v>124</v>
      </c>
      <c r="B29" s="3">
        <v>45921</v>
      </c>
      <c r="C29" s="1" t="s">
        <v>50</v>
      </c>
      <c r="D29" s="1">
        <v>9</v>
      </c>
      <c r="E29" s="1" t="s">
        <v>125</v>
      </c>
      <c r="F29" s="1" t="s">
        <v>76</v>
      </c>
      <c r="G29" s="1" t="s">
        <v>64</v>
      </c>
      <c r="H29" s="1" t="s">
        <v>53</v>
      </c>
      <c r="I29" s="1" t="s">
        <v>72</v>
      </c>
      <c r="J29" s="1">
        <v>3</v>
      </c>
      <c r="K29" s="1">
        <v>2007.55</v>
      </c>
      <c r="L29" s="1">
        <v>0.1</v>
      </c>
      <c r="M29" s="1">
        <v>6022.65</v>
      </c>
      <c r="N29" s="1">
        <v>602.26499999999999</v>
      </c>
      <c r="O29" s="1">
        <v>5420.3849999999993</v>
      </c>
      <c r="P29" s="1">
        <v>3143.8233</v>
      </c>
      <c r="Q29" s="1">
        <v>2276.5617000000002</v>
      </c>
      <c r="R29" s="1">
        <v>42</v>
      </c>
      <c r="S29" s="1" t="s">
        <v>93</v>
      </c>
    </row>
    <row r="30" spans="1:19" x14ac:dyDescent="0.35">
      <c r="A30" s="1" t="s">
        <v>126</v>
      </c>
      <c r="B30" s="3">
        <v>45961</v>
      </c>
      <c r="C30" s="1" t="s">
        <v>35</v>
      </c>
      <c r="D30" s="1">
        <v>10</v>
      </c>
      <c r="E30" s="1" t="s">
        <v>127</v>
      </c>
      <c r="F30" s="1" t="s">
        <v>111</v>
      </c>
      <c r="G30" s="1" t="s">
        <v>23</v>
      </c>
      <c r="H30" s="1" t="s">
        <v>53</v>
      </c>
      <c r="I30" s="1" t="s">
        <v>128</v>
      </c>
      <c r="J30" s="1">
        <v>4</v>
      </c>
      <c r="K30" s="1">
        <v>158.36000000000001</v>
      </c>
      <c r="L30" s="1">
        <v>0.15</v>
      </c>
      <c r="M30" s="1">
        <v>633.44000000000005</v>
      </c>
      <c r="N30" s="1">
        <v>95.016000000000005</v>
      </c>
      <c r="O30" s="1">
        <v>538.42400000000009</v>
      </c>
      <c r="P30" s="1">
        <v>312.28591999999998</v>
      </c>
      <c r="Q30" s="1">
        <v>226.13808000000009</v>
      </c>
      <c r="R30" s="1">
        <v>42.000000000000007</v>
      </c>
      <c r="S30" s="1" t="s">
        <v>33</v>
      </c>
    </row>
    <row r="31" spans="1:19" x14ac:dyDescent="0.35">
      <c r="A31" s="1" t="s">
        <v>129</v>
      </c>
      <c r="B31" s="3">
        <v>45890</v>
      </c>
      <c r="C31" s="1" t="s">
        <v>113</v>
      </c>
      <c r="D31" s="1">
        <v>8</v>
      </c>
      <c r="E31" s="1" t="s">
        <v>130</v>
      </c>
      <c r="F31" s="1" t="s">
        <v>76</v>
      </c>
      <c r="G31" s="1" t="s">
        <v>38</v>
      </c>
      <c r="H31" s="1" t="s">
        <v>31</v>
      </c>
      <c r="I31" s="1" t="s">
        <v>65</v>
      </c>
      <c r="J31" s="1">
        <v>5</v>
      </c>
      <c r="K31" s="1">
        <v>1613.01</v>
      </c>
      <c r="L31" s="1">
        <v>0.3</v>
      </c>
      <c r="M31" s="1">
        <v>8065.05</v>
      </c>
      <c r="N31" s="1">
        <v>2419.5149999999999</v>
      </c>
      <c r="O31" s="1">
        <v>5645.5349999999999</v>
      </c>
      <c r="P31" s="1">
        <v>2935.6781999999998</v>
      </c>
      <c r="Q31" s="1">
        <v>2709.8568</v>
      </c>
      <c r="R31" s="1">
        <v>48.000000000000007</v>
      </c>
      <c r="S31" s="1" t="s">
        <v>93</v>
      </c>
    </row>
    <row r="32" spans="1:19" x14ac:dyDescent="0.35">
      <c r="A32" s="1" t="s">
        <v>131</v>
      </c>
      <c r="B32" s="3">
        <v>45818</v>
      </c>
      <c r="C32" s="1" t="s">
        <v>82</v>
      </c>
      <c r="D32" s="1">
        <v>6</v>
      </c>
      <c r="E32" s="1" t="s">
        <v>132</v>
      </c>
      <c r="F32" s="1" t="s">
        <v>69</v>
      </c>
      <c r="G32" s="1" t="s">
        <v>23</v>
      </c>
      <c r="H32" s="1" t="s">
        <v>53</v>
      </c>
      <c r="I32" s="1" t="s">
        <v>54</v>
      </c>
      <c r="J32" s="1">
        <v>2</v>
      </c>
      <c r="K32" s="1">
        <v>1436.32</v>
      </c>
      <c r="L32" s="1">
        <v>0.25</v>
      </c>
      <c r="M32" s="1">
        <v>2872.64</v>
      </c>
      <c r="N32" s="1">
        <v>718.16</v>
      </c>
      <c r="O32" s="1">
        <v>2154.48</v>
      </c>
      <c r="P32" s="1">
        <v>1249.5984000000001</v>
      </c>
      <c r="Q32" s="1">
        <v>904.88160000000016</v>
      </c>
      <c r="R32" s="1">
        <v>42.000000000000007</v>
      </c>
      <c r="S32" s="1" t="s">
        <v>73</v>
      </c>
    </row>
    <row r="33" spans="1:19" x14ac:dyDescent="0.35">
      <c r="A33" s="1" t="s">
        <v>133</v>
      </c>
      <c r="B33" s="3">
        <v>45784</v>
      </c>
      <c r="C33" s="1" t="s">
        <v>97</v>
      </c>
      <c r="D33" s="1">
        <v>5</v>
      </c>
      <c r="E33" s="1" t="s">
        <v>134</v>
      </c>
      <c r="F33" s="1" t="s">
        <v>52</v>
      </c>
      <c r="G33" s="1" t="s">
        <v>38</v>
      </c>
      <c r="H33" s="1" t="s">
        <v>53</v>
      </c>
      <c r="I33" s="1" t="s">
        <v>123</v>
      </c>
      <c r="J33" s="1">
        <v>2</v>
      </c>
      <c r="K33" s="1">
        <v>2205.6999999999998</v>
      </c>
      <c r="L33" s="1">
        <v>0.15</v>
      </c>
      <c r="M33" s="1">
        <v>4411.3999999999996</v>
      </c>
      <c r="N33" s="1">
        <v>661.70999999999992</v>
      </c>
      <c r="O33" s="1">
        <v>3749.69</v>
      </c>
      <c r="P33" s="1">
        <v>2174.8202000000001</v>
      </c>
      <c r="Q33" s="1">
        <v>1574.8697999999999</v>
      </c>
      <c r="R33" s="1">
        <v>42.000000000000007</v>
      </c>
      <c r="S33" s="1" t="s">
        <v>73</v>
      </c>
    </row>
    <row r="34" spans="1:19" x14ac:dyDescent="0.35">
      <c r="A34" s="1" t="s">
        <v>135</v>
      </c>
      <c r="B34" s="3">
        <v>45904</v>
      </c>
      <c r="C34" s="1" t="s">
        <v>50</v>
      </c>
      <c r="D34" s="1">
        <v>9</v>
      </c>
      <c r="E34" s="1" t="s">
        <v>136</v>
      </c>
      <c r="F34" s="1" t="s">
        <v>58</v>
      </c>
      <c r="G34" s="1" t="s">
        <v>64</v>
      </c>
      <c r="H34" s="1" t="s">
        <v>99</v>
      </c>
      <c r="I34" s="1" t="s">
        <v>108</v>
      </c>
      <c r="J34" s="1">
        <v>3</v>
      </c>
      <c r="K34" s="1">
        <v>8264.66</v>
      </c>
      <c r="L34" s="1">
        <v>0.15</v>
      </c>
      <c r="M34" s="1">
        <v>24793.98</v>
      </c>
      <c r="N34" s="1">
        <v>3719.0970000000002</v>
      </c>
      <c r="O34" s="1">
        <v>21074.883000000002</v>
      </c>
      <c r="P34" s="1">
        <v>14330.92044</v>
      </c>
      <c r="Q34" s="1">
        <v>6743.9625599999999</v>
      </c>
      <c r="R34" s="1">
        <v>32</v>
      </c>
      <c r="S34" s="1" t="s">
        <v>26</v>
      </c>
    </row>
    <row r="35" spans="1:19" x14ac:dyDescent="0.35">
      <c r="A35" s="1" t="s">
        <v>137</v>
      </c>
      <c r="B35" s="3">
        <v>45800</v>
      </c>
      <c r="C35" s="1" t="s">
        <v>97</v>
      </c>
      <c r="D35" s="1">
        <v>5</v>
      </c>
      <c r="E35" s="1" t="s">
        <v>138</v>
      </c>
      <c r="F35" s="1" t="s">
        <v>43</v>
      </c>
      <c r="G35" s="1" t="s">
        <v>23</v>
      </c>
      <c r="H35" s="1" t="s">
        <v>24</v>
      </c>
      <c r="I35" s="1" t="s">
        <v>139</v>
      </c>
      <c r="J35" s="1">
        <v>2</v>
      </c>
      <c r="K35" s="1">
        <v>1016.9</v>
      </c>
      <c r="L35" s="1">
        <v>0.15</v>
      </c>
      <c r="M35" s="1">
        <v>2033.8</v>
      </c>
      <c r="N35" s="1">
        <v>305.07</v>
      </c>
      <c r="O35" s="1">
        <v>1728.73</v>
      </c>
      <c r="P35" s="1">
        <v>950.80150000000003</v>
      </c>
      <c r="Q35" s="1">
        <v>777.92849999999999</v>
      </c>
      <c r="R35" s="1">
        <v>45</v>
      </c>
      <c r="S35" s="1" t="s">
        <v>73</v>
      </c>
    </row>
    <row r="36" spans="1:19" x14ac:dyDescent="0.35">
      <c r="A36" s="1" t="s">
        <v>140</v>
      </c>
      <c r="B36" s="3">
        <v>45715</v>
      </c>
      <c r="C36" s="1" t="s">
        <v>42</v>
      </c>
      <c r="D36" s="1">
        <v>2</v>
      </c>
      <c r="E36" s="1" t="s">
        <v>95</v>
      </c>
      <c r="F36" s="1" t="s">
        <v>111</v>
      </c>
      <c r="G36" s="1" t="s">
        <v>64</v>
      </c>
      <c r="H36" s="1" t="s">
        <v>77</v>
      </c>
      <c r="I36" s="1" t="s">
        <v>78</v>
      </c>
      <c r="J36" s="1">
        <v>1</v>
      </c>
      <c r="K36" s="1">
        <v>92.95</v>
      </c>
      <c r="L36" s="1">
        <v>0.2</v>
      </c>
      <c r="M36" s="1">
        <v>92.95</v>
      </c>
      <c r="N36" s="1">
        <v>18.59</v>
      </c>
      <c r="O36" s="1">
        <v>74.36</v>
      </c>
      <c r="P36" s="1">
        <v>53.539200000000001</v>
      </c>
      <c r="Q36" s="1">
        <v>20.820799999999998</v>
      </c>
      <c r="R36" s="1">
        <v>28</v>
      </c>
      <c r="S36" s="1" t="s">
        <v>33</v>
      </c>
    </row>
    <row r="37" spans="1:19" x14ac:dyDescent="0.35">
      <c r="A37" s="1" t="s">
        <v>141</v>
      </c>
      <c r="B37" s="3">
        <v>45765</v>
      </c>
      <c r="C37" s="1" t="s">
        <v>20</v>
      </c>
      <c r="D37" s="1">
        <v>4</v>
      </c>
      <c r="E37" s="1" t="s">
        <v>142</v>
      </c>
      <c r="F37" s="1" t="s">
        <v>69</v>
      </c>
      <c r="G37" s="1" t="s">
        <v>38</v>
      </c>
      <c r="H37" s="1" t="s">
        <v>31</v>
      </c>
      <c r="I37" s="1" t="s">
        <v>59</v>
      </c>
      <c r="J37" s="1">
        <v>7</v>
      </c>
      <c r="K37" s="1">
        <v>481.65</v>
      </c>
      <c r="L37" s="1">
        <v>0</v>
      </c>
      <c r="M37" s="1">
        <v>3371.55</v>
      </c>
      <c r="N37" s="1">
        <v>0</v>
      </c>
      <c r="O37" s="1">
        <v>3371.55</v>
      </c>
      <c r="P37" s="1">
        <v>1753.2059999999999</v>
      </c>
      <c r="Q37" s="1">
        <v>1618.3440000000001</v>
      </c>
      <c r="R37" s="1">
        <v>48</v>
      </c>
      <c r="S37" s="1" t="s">
        <v>93</v>
      </c>
    </row>
    <row r="38" spans="1:19" x14ac:dyDescent="0.35">
      <c r="A38" s="1" t="s">
        <v>143</v>
      </c>
      <c r="B38" s="3">
        <v>45781</v>
      </c>
      <c r="C38" s="1" t="s">
        <v>97</v>
      </c>
      <c r="D38" s="1">
        <v>5</v>
      </c>
      <c r="E38" s="1" t="s">
        <v>144</v>
      </c>
      <c r="F38" s="1" t="s">
        <v>37</v>
      </c>
      <c r="G38" s="1" t="s">
        <v>38</v>
      </c>
      <c r="H38" s="1" t="s">
        <v>99</v>
      </c>
      <c r="I38" s="1" t="s">
        <v>145</v>
      </c>
      <c r="J38" s="1">
        <v>6</v>
      </c>
      <c r="K38" s="1">
        <v>3424.02</v>
      </c>
      <c r="L38" s="1">
        <v>0.1</v>
      </c>
      <c r="M38" s="1">
        <v>20544.12</v>
      </c>
      <c r="N38" s="1">
        <v>2054.4119999999998</v>
      </c>
      <c r="O38" s="1">
        <v>18489.707999999999</v>
      </c>
      <c r="P38" s="1">
        <v>12573.00144</v>
      </c>
      <c r="Q38" s="1">
        <v>5916.7065599999987</v>
      </c>
      <c r="R38" s="1">
        <v>32</v>
      </c>
      <c r="S38" s="1" t="s">
        <v>93</v>
      </c>
    </row>
    <row r="39" spans="1:19" x14ac:dyDescent="0.35">
      <c r="A39" s="1" t="s">
        <v>146</v>
      </c>
      <c r="B39" s="3">
        <v>45774</v>
      </c>
      <c r="C39" s="1" t="s">
        <v>20</v>
      </c>
      <c r="D39" s="1">
        <v>4</v>
      </c>
      <c r="E39" s="1" t="s">
        <v>147</v>
      </c>
      <c r="F39" s="1" t="s">
        <v>37</v>
      </c>
      <c r="G39" s="1" t="s">
        <v>23</v>
      </c>
      <c r="H39" s="1" t="s">
        <v>77</v>
      </c>
      <c r="I39" s="1" t="s">
        <v>148</v>
      </c>
      <c r="J39" s="1">
        <v>7</v>
      </c>
      <c r="K39" s="1">
        <v>542.55999999999995</v>
      </c>
      <c r="L39" s="1">
        <v>0.15</v>
      </c>
      <c r="M39" s="1">
        <v>3797.92</v>
      </c>
      <c r="N39" s="1">
        <v>569.68799999999987</v>
      </c>
      <c r="O39" s="1">
        <v>3228.232</v>
      </c>
      <c r="P39" s="1">
        <v>2324.3270400000001</v>
      </c>
      <c r="Q39" s="1">
        <v>903.9049600000003</v>
      </c>
      <c r="R39" s="1">
        <v>28.000000000000011</v>
      </c>
      <c r="S39" s="1" t="s">
        <v>73</v>
      </c>
    </row>
    <row r="40" spans="1:19" x14ac:dyDescent="0.35">
      <c r="A40" s="1" t="s">
        <v>149</v>
      </c>
      <c r="B40" s="3">
        <v>45753</v>
      </c>
      <c r="C40" s="1" t="s">
        <v>20</v>
      </c>
      <c r="D40" s="1">
        <v>4</v>
      </c>
      <c r="E40" s="1" t="s">
        <v>150</v>
      </c>
      <c r="F40" s="1" t="s">
        <v>22</v>
      </c>
      <c r="G40" s="1" t="s">
        <v>38</v>
      </c>
      <c r="H40" s="1" t="s">
        <v>77</v>
      </c>
      <c r="I40" s="1" t="s">
        <v>78</v>
      </c>
      <c r="J40" s="1">
        <v>6</v>
      </c>
      <c r="K40" s="1">
        <v>871.79</v>
      </c>
      <c r="L40" s="1">
        <v>0.15</v>
      </c>
      <c r="M40" s="1">
        <v>5230.74</v>
      </c>
      <c r="N40" s="1">
        <v>784.61099999999999</v>
      </c>
      <c r="O40" s="1">
        <v>4446.1289999999999</v>
      </c>
      <c r="P40" s="1">
        <v>3201.21288</v>
      </c>
      <c r="Q40" s="1">
        <v>1244.9161200000001</v>
      </c>
      <c r="R40" s="1">
        <v>28.000000000000011</v>
      </c>
      <c r="S40" s="1" t="s">
        <v>93</v>
      </c>
    </row>
    <row r="41" spans="1:19" x14ac:dyDescent="0.35">
      <c r="A41" s="1" t="s">
        <v>151</v>
      </c>
      <c r="B41" s="3">
        <v>45904</v>
      </c>
      <c r="C41" s="1" t="s">
        <v>50</v>
      </c>
      <c r="D41" s="1">
        <v>9</v>
      </c>
      <c r="E41" s="1" t="s">
        <v>152</v>
      </c>
      <c r="F41" s="1" t="s">
        <v>43</v>
      </c>
      <c r="G41" s="1" t="s">
        <v>64</v>
      </c>
      <c r="H41" s="1" t="s">
        <v>53</v>
      </c>
      <c r="I41" s="1" t="s">
        <v>72</v>
      </c>
      <c r="J41" s="1">
        <v>4</v>
      </c>
      <c r="K41" s="1">
        <v>1458.49</v>
      </c>
      <c r="L41" s="1">
        <v>0.05</v>
      </c>
      <c r="M41" s="1">
        <v>5833.96</v>
      </c>
      <c r="N41" s="1">
        <v>291.69799999999998</v>
      </c>
      <c r="O41" s="1">
        <v>5542.2619999999997</v>
      </c>
      <c r="P41" s="1">
        <v>3214.5119599999998</v>
      </c>
      <c r="Q41" s="1">
        <v>2327.7500399999999</v>
      </c>
      <c r="R41" s="1">
        <v>42</v>
      </c>
      <c r="S41" s="1" t="s">
        <v>93</v>
      </c>
    </row>
    <row r="42" spans="1:19" x14ac:dyDescent="0.35">
      <c r="A42" s="1" t="s">
        <v>153</v>
      </c>
      <c r="B42" s="3">
        <v>45704</v>
      </c>
      <c r="C42" s="1" t="s">
        <v>42</v>
      </c>
      <c r="D42" s="1">
        <v>2</v>
      </c>
      <c r="E42" s="1" t="s">
        <v>154</v>
      </c>
      <c r="F42" s="1" t="s">
        <v>37</v>
      </c>
      <c r="G42" s="1" t="s">
        <v>23</v>
      </c>
      <c r="H42" s="1" t="s">
        <v>39</v>
      </c>
      <c r="I42" s="1" t="s">
        <v>155</v>
      </c>
      <c r="J42" s="1">
        <v>6</v>
      </c>
      <c r="K42" s="1">
        <v>56761.25</v>
      </c>
      <c r="L42" s="1">
        <v>0.15</v>
      </c>
      <c r="M42" s="1">
        <v>340567.5</v>
      </c>
      <c r="N42" s="1">
        <v>51085.125</v>
      </c>
      <c r="O42" s="1">
        <v>289482.375</v>
      </c>
      <c r="P42" s="1">
        <v>225796.2525</v>
      </c>
      <c r="Q42" s="1">
        <v>63686.122499999998</v>
      </c>
      <c r="R42" s="1">
        <v>22</v>
      </c>
      <c r="S42" s="1" t="s">
        <v>33</v>
      </c>
    </row>
    <row r="43" spans="1:19" x14ac:dyDescent="0.35">
      <c r="A43" s="1" t="s">
        <v>156</v>
      </c>
      <c r="B43" s="3">
        <v>45946</v>
      </c>
      <c r="C43" s="1" t="s">
        <v>35</v>
      </c>
      <c r="D43" s="1">
        <v>10</v>
      </c>
      <c r="E43" s="1" t="s">
        <v>157</v>
      </c>
      <c r="F43" s="1" t="s">
        <v>111</v>
      </c>
      <c r="G43" s="1" t="s">
        <v>23</v>
      </c>
      <c r="H43" s="1" t="s">
        <v>77</v>
      </c>
      <c r="I43" s="1" t="s">
        <v>103</v>
      </c>
      <c r="J43" s="1">
        <v>6</v>
      </c>
      <c r="K43" s="1">
        <v>797.24</v>
      </c>
      <c r="L43" s="1">
        <v>0</v>
      </c>
      <c r="M43" s="1">
        <v>4783.4400000000014</v>
      </c>
      <c r="N43" s="1">
        <v>0</v>
      </c>
      <c r="O43" s="1">
        <v>4783.4400000000014</v>
      </c>
      <c r="P43" s="1">
        <v>3444.0767999999998</v>
      </c>
      <c r="Q43" s="1">
        <v>1339.3632</v>
      </c>
      <c r="R43" s="1">
        <v>28</v>
      </c>
      <c r="S43" s="1" t="s">
        <v>73</v>
      </c>
    </row>
    <row r="44" spans="1:19" x14ac:dyDescent="0.35">
      <c r="A44" s="1" t="s">
        <v>158</v>
      </c>
      <c r="B44" s="3">
        <v>45907</v>
      </c>
      <c r="C44" s="1" t="s">
        <v>50</v>
      </c>
      <c r="D44" s="1">
        <v>9</v>
      </c>
      <c r="E44" s="1" t="s">
        <v>159</v>
      </c>
      <c r="F44" s="1" t="s">
        <v>30</v>
      </c>
      <c r="G44" s="1" t="s">
        <v>38</v>
      </c>
      <c r="H44" s="1" t="s">
        <v>53</v>
      </c>
      <c r="I44" s="1" t="s">
        <v>54</v>
      </c>
      <c r="J44" s="1">
        <v>2</v>
      </c>
      <c r="K44" s="1">
        <v>1302.5</v>
      </c>
      <c r="L44" s="1">
        <v>0.1</v>
      </c>
      <c r="M44" s="1">
        <v>2605</v>
      </c>
      <c r="N44" s="1">
        <v>260.5</v>
      </c>
      <c r="O44" s="1">
        <v>2344.5</v>
      </c>
      <c r="P44" s="1">
        <v>1359.81</v>
      </c>
      <c r="Q44" s="1">
        <v>984.69</v>
      </c>
      <c r="R44" s="1">
        <v>42.000000000000007</v>
      </c>
      <c r="S44" s="1" t="s">
        <v>60</v>
      </c>
    </row>
    <row r="45" spans="1:19" x14ac:dyDescent="0.35">
      <c r="A45" s="1" t="s">
        <v>160</v>
      </c>
      <c r="B45" s="3">
        <v>45817</v>
      </c>
      <c r="C45" s="1" t="s">
        <v>82</v>
      </c>
      <c r="D45" s="1">
        <v>6</v>
      </c>
      <c r="E45" s="1" t="s">
        <v>161</v>
      </c>
      <c r="F45" s="1" t="s">
        <v>76</v>
      </c>
      <c r="G45" s="1" t="s">
        <v>64</v>
      </c>
      <c r="H45" s="1" t="s">
        <v>53</v>
      </c>
      <c r="I45" s="1" t="s">
        <v>128</v>
      </c>
      <c r="J45" s="1">
        <v>4</v>
      </c>
      <c r="K45" s="1">
        <v>1481.14</v>
      </c>
      <c r="L45" s="1">
        <v>0.1</v>
      </c>
      <c r="M45" s="1">
        <v>5924.56</v>
      </c>
      <c r="N45" s="1">
        <v>592.45600000000002</v>
      </c>
      <c r="O45" s="1">
        <v>5332.1040000000003</v>
      </c>
      <c r="P45" s="1">
        <v>3092.62032</v>
      </c>
      <c r="Q45" s="1">
        <v>2239.4836799999998</v>
      </c>
      <c r="R45" s="1">
        <v>42.000000000000007</v>
      </c>
      <c r="S45" s="1" t="s">
        <v>26</v>
      </c>
    </row>
    <row r="46" spans="1:19" x14ac:dyDescent="0.35">
      <c r="A46" s="1" t="s">
        <v>162</v>
      </c>
      <c r="B46" s="3">
        <v>45758</v>
      </c>
      <c r="C46" s="1" t="s">
        <v>20</v>
      </c>
      <c r="D46" s="1">
        <v>4</v>
      </c>
      <c r="E46" s="1" t="s">
        <v>163</v>
      </c>
      <c r="F46" s="1" t="s">
        <v>47</v>
      </c>
      <c r="G46" s="1" t="s">
        <v>64</v>
      </c>
      <c r="H46" s="1" t="s">
        <v>24</v>
      </c>
      <c r="I46" s="1" t="s">
        <v>25</v>
      </c>
      <c r="J46" s="1">
        <v>3</v>
      </c>
      <c r="K46" s="1">
        <v>5012.3500000000004</v>
      </c>
      <c r="L46" s="1">
        <v>0.15</v>
      </c>
      <c r="M46" s="1">
        <v>15037.05</v>
      </c>
      <c r="N46" s="1">
        <v>2255.5574999999999</v>
      </c>
      <c r="O46" s="1">
        <v>12781.4925</v>
      </c>
      <c r="P46" s="1">
        <v>7029.8208750000003</v>
      </c>
      <c r="Q46" s="1">
        <v>5751.6716249999999</v>
      </c>
      <c r="R46" s="1">
        <v>45</v>
      </c>
      <c r="S46" s="1" t="s">
        <v>73</v>
      </c>
    </row>
    <row r="47" spans="1:19" x14ac:dyDescent="0.35">
      <c r="A47" s="1" t="s">
        <v>164</v>
      </c>
      <c r="B47" s="3">
        <v>45692</v>
      </c>
      <c r="C47" s="1" t="s">
        <v>42</v>
      </c>
      <c r="D47" s="1">
        <v>2</v>
      </c>
      <c r="E47" s="1" t="s">
        <v>165</v>
      </c>
      <c r="F47" s="1" t="s">
        <v>47</v>
      </c>
      <c r="G47" s="1" t="s">
        <v>38</v>
      </c>
      <c r="H47" s="1" t="s">
        <v>39</v>
      </c>
      <c r="I47" s="1" t="s">
        <v>87</v>
      </c>
      <c r="J47" s="1">
        <v>2</v>
      </c>
      <c r="K47" s="1">
        <v>26181.61</v>
      </c>
      <c r="L47" s="1">
        <v>0.2</v>
      </c>
      <c r="M47" s="1">
        <v>52363.22</v>
      </c>
      <c r="N47" s="1">
        <v>10472.644</v>
      </c>
      <c r="O47" s="1">
        <v>41890.576000000001</v>
      </c>
      <c r="P47" s="1">
        <v>32674.649280000001</v>
      </c>
      <c r="Q47" s="1">
        <v>9215.9267199999995</v>
      </c>
      <c r="R47" s="1">
        <v>22</v>
      </c>
      <c r="S47" s="1" t="s">
        <v>33</v>
      </c>
    </row>
    <row r="48" spans="1:19" x14ac:dyDescent="0.35">
      <c r="A48" s="1" t="s">
        <v>166</v>
      </c>
      <c r="B48" s="3">
        <v>45971</v>
      </c>
      <c r="C48" s="1" t="s">
        <v>56</v>
      </c>
      <c r="D48" s="1">
        <v>11</v>
      </c>
      <c r="E48" s="1" t="s">
        <v>63</v>
      </c>
      <c r="F48" s="1" t="s">
        <v>111</v>
      </c>
      <c r="G48" s="1" t="s">
        <v>64</v>
      </c>
      <c r="H48" s="1" t="s">
        <v>31</v>
      </c>
      <c r="I48" s="1" t="s">
        <v>167</v>
      </c>
      <c r="J48" s="1">
        <v>2</v>
      </c>
      <c r="K48" s="1">
        <v>2275.5100000000002</v>
      </c>
      <c r="L48" s="1">
        <v>0.25</v>
      </c>
      <c r="M48" s="1">
        <v>4551.0200000000004</v>
      </c>
      <c r="N48" s="1">
        <v>1137.7550000000001</v>
      </c>
      <c r="O48" s="1">
        <v>3413.2649999999999</v>
      </c>
      <c r="P48" s="1">
        <v>1774.8978</v>
      </c>
      <c r="Q48" s="1">
        <v>1638.3671999999999</v>
      </c>
      <c r="R48" s="1">
        <v>48</v>
      </c>
      <c r="S48" s="1" t="s">
        <v>33</v>
      </c>
    </row>
    <row r="49" spans="1:19" x14ac:dyDescent="0.35">
      <c r="A49" s="1" t="s">
        <v>168</v>
      </c>
      <c r="B49" s="3">
        <v>46014</v>
      </c>
      <c r="C49" s="1" t="s">
        <v>67</v>
      </c>
      <c r="D49" s="1">
        <v>12</v>
      </c>
      <c r="E49" s="1" t="s">
        <v>169</v>
      </c>
      <c r="F49" s="1" t="s">
        <v>30</v>
      </c>
      <c r="G49" s="1" t="s">
        <v>38</v>
      </c>
      <c r="H49" s="1" t="s">
        <v>39</v>
      </c>
      <c r="I49" s="1" t="s">
        <v>155</v>
      </c>
      <c r="J49" s="1">
        <v>3</v>
      </c>
      <c r="K49" s="1">
        <v>64458.79</v>
      </c>
      <c r="L49" s="1">
        <v>0.1</v>
      </c>
      <c r="M49" s="1">
        <v>193376.37</v>
      </c>
      <c r="N49" s="1">
        <v>19337.636999999999</v>
      </c>
      <c r="O49" s="1">
        <v>174038.73300000001</v>
      </c>
      <c r="P49" s="1">
        <v>135750.21174</v>
      </c>
      <c r="Q49" s="1">
        <v>38288.521260000009</v>
      </c>
      <c r="R49" s="1">
        <v>22</v>
      </c>
      <c r="S49" s="1" t="s">
        <v>33</v>
      </c>
    </row>
    <row r="50" spans="1:19" x14ac:dyDescent="0.35">
      <c r="A50" s="1" t="s">
        <v>170</v>
      </c>
      <c r="B50" s="3">
        <v>45840</v>
      </c>
      <c r="C50" s="1" t="s">
        <v>62</v>
      </c>
      <c r="D50" s="1">
        <v>7</v>
      </c>
      <c r="E50" s="1" t="s">
        <v>171</v>
      </c>
      <c r="F50" s="1" t="s">
        <v>76</v>
      </c>
      <c r="G50" s="1" t="s">
        <v>23</v>
      </c>
      <c r="H50" s="1" t="s">
        <v>31</v>
      </c>
      <c r="I50" s="1" t="s">
        <v>59</v>
      </c>
      <c r="J50" s="1">
        <v>7</v>
      </c>
      <c r="K50" s="1">
        <v>2689.99</v>
      </c>
      <c r="L50" s="1">
        <v>0</v>
      </c>
      <c r="M50" s="1">
        <v>18829.93</v>
      </c>
      <c r="N50" s="1">
        <v>0</v>
      </c>
      <c r="O50" s="1">
        <v>18829.93</v>
      </c>
      <c r="P50" s="1">
        <v>9791.5636000000013</v>
      </c>
      <c r="Q50" s="1">
        <v>9038.366399999999</v>
      </c>
      <c r="R50" s="1">
        <v>47.999999999999993</v>
      </c>
      <c r="S50" s="1" t="s">
        <v>60</v>
      </c>
    </row>
    <row r="51" spans="1:19" x14ac:dyDescent="0.35">
      <c r="A51" s="1" t="s">
        <v>172</v>
      </c>
      <c r="B51" s="3">
        <v>45999</v>
      </c>
      <c r="C51" s="1" t="s">
        <v>67</v>
      </c>
      <c r="D51" s="1">
        <v>12</v>
      </c>
      <c r="E51" s="1" t="s">
        <v>173</v>
      </c>
      <c r="F51" s="1" t="s">
        <v>69</v>
      </c>
      <c r="G51" s="1" t="s">
        <v>64</v>
      </c>
      <c r="H51" s="1" t="s">
        <v>31</v>
      </c>
      <c r="I51" s="1" t="s">
        <v>59</v>
      </c>
      <c r="J51" s="1">
        <v>3</v>
      </c>
      <c r="K51" s="1">
        <v>529.95000000000005</v>
      </c>
      <c r="L51" s="1">
        <v>0</v>
      </c>
      <c r="M51" s="1">
        <v>1589.85</v>
      </c>
      <c r="N51" s="1">
        <v>0</v>
      </c>
      <c r="O51" s="1">
        <v>1589.85</v>
      </c>
      <c r="P51" s="1">
        <v>826.72200000000009</v>
      </c>
      <c r="Q51" s="1">
        <v>763.12800000000004</v>
      </c>
      <c r="R51" s="1">
        <v>48</v>
      </c>
      <c r="S51" s="1" t="s">
        <v>33</v>
      </c>
    </row>
    <row r="52" spans="1:19" x14ac:dyDescent="0.35">
      <c r="A52" s="1" t="s">
        <v>174</v>
      </c>
      <c r="B52" s="3">
        <v>45996</v>
      </c>
      <c r="C52" s="1" t="s">
        <v>67</v>
      </c>
      <c r="D52" s="1">
        <v>12</v>
      </c>
      <c r="E52" s="1" t="s">
        <v>175</v>
      </c>
      <c r="F52" s="1" t="s">
        <v>58</v>
      </c>
      <c r="G52" s="1" t="s">
        <v>38</v>
      </c>
      <c r="H52" s="1" t="s">
        <v>99</v>
      </c>
      <c r="I52" s="1" t="s">
        <v>120</v>
      </c>
      <c r="J52" s="1">
        <v>7</v>
      </c>
      <c r="K52" s="1">
        <v>4373.8999999999996</v>
      </c>
      <c r="L52" s="1">
        <v>0</v>
      </c>
      <c r="M52" s="1">
        <v>30617.3</v>
      </c>
      <c r="N52" s="1">
        <v>0</v>
      </c>
      <c r="O52" s="1">
        <v>30617.3</v>
      </c>
      <c r="P52" s="1">
        <v>20819.763999999999</v>
      </c>
      <c r="Q52" s="1">
        <v>9797.5359999999964</v>
      </c>
      <c r="R52" s="1">
        <v>32</v>
      </c>
      <c r="S52" s="1" t="s">
        <v>33</v>
      </c>
    </row>
    <row r="53" spans="1:19" x14ac:dyDescent="0.35">
      <c r="A53" s="1" t="s">
        <v>176</v>
      </c>
      <c r="B53" s="3">
        <v>45710</v>
      </c>
      <c r="C53" s="1" t="s">
        <v>42</v>
      </c>
      <c r="D53" s="1">
        <v>2</v>
      </c>
      <c r="E53" s="1" t="s">
        <v>177</v>
      </c>
      <c r="F53" s="1" t="s">
        <v>37</v>
      </c>
      <c r="G53" s="1" t="s">
        <v>64</v>
      </c>
      <c r="H53" s="1" t="s">
        <v>39</v>
      </c>
      <c r="I53" s="1" t="s">
        <v>40</v>
      </c>
      <c r="J53" s="1">
        <v>7</v>
      </c>
      <c r="K53" s="1">
        <v>13198.75</v>
      </c>
      <c r="L53" s="1">
        <v>0.1</v>
      </c>
      <c r="M53" s="1">
        <v>92391.25</v>
      </c>
      <c r="N53" s="1">
        <v>9239.125</v>
      </c>
      <c r="O53" s="1">
        <v>83152.125</v>
      </c>
      <c r="P53" s="1">
        <v>64858.657500000001</v>
      </c>
      <c r="Q53" s="1">
        <v>18293.467499999999</v>
      </c>
      <c r="R53" s="1">
        <v>22</v>
      </c>
      <c r="S53" s="1" t="s">
        <v>93</v>
      </c>
    </row>
    <row r="54" spans="1:19" x14ac:dyDescent="0.35">
      <c r="A54" s="1" t="s">
        <v>178</v>
      </c>
      <c r="B54" s="3">
        <v>45892</v>
      </c>
      <c r="C54" s="1" t="s">
        <v>113</v>
      </c>
      <c r="D54" s="1">
        <v>8</v>
      </c>
      <c r="E54" s="1" t="s">
        <v>179</v>
      </c>
      <c r="F54" s="1" t="s">
        <v>52</v>
      </c>
      <c r="G54" s="1" t="s">
        <v>38</v>
      </c>
      <c r="H54" s="1" t="s">
        <v>53</v>
      </c>
      <c r="I54" s="1" t="s">
        <v>123</v>
      </c>
      <c r="J54" s="1">
        <v>2</v>
      </c>
      <c r="K54" s="1">
        <v>2424.7600000000002</v>
      </c>
      <c r="L54" s="1">
        <v>0.15</v>
      </c>
      <c r="M54" s="1">
        <v>4849.5200000000004</v>
      </c>
      <c r="N54" s="1">
        <v>727.428</v>
      </c>
      <c r="O54" s="1">
        <v>4122.0920000000006</v>
      </c>
      <c r="P54" s="1">
        <v>2390.8133600000001</v>
      </c>
      <c r="Q54" s="1">
        <v>1731.27864</v>
      </c>
      <c r="R54" s="1">
        <v>42.000000000000007</v>
      </c>
      <c r="S54" s="1" t="s">
        <v>73</v>
      </c>
    </row>
    <row r="55" spans="1:19" x14ac:dyDescent="0.35">
      <c r="A55" s="1" t="s">
        <v>180</v>
      </c>
      <c r="B55" s="3">
        <v>45940</v>
      </c>
      <c r="C55" s="1" t="s">
        <v>35</v>
      </c>
      <c r="D55" s="1">
        <v>10</v>
      </c>
      <c r="E55" s="1" t="s">
        <v>181</v>
      </c>
      <c r="F55" s="1" t="s">
        <v>76</v>
      </c>
      <c r="G55" s="1" t="s">
        <v>23</v>
      </c>
      <c r="H55" s="1" t="s">
        <v>99</v>
      </c>
      <c r="I55" s="1" t="s">
        <v>108</v>
      </c>
      <c r="J55" s="1">
        <v>2</v>
      </c>
      <c r="K55" s="1">
        <v>4330.3500000000004</v>
      </c>
      <c r="L55" s="1">
        <v>0</v>
      </c>
      <c r="M55" s="1">
        <v>8660.7000000000007</v>
      </c>
      <c r="N55" s="1">
        <v>0</v>
      </c>
      <c r="O55" s="1">
        <v>8660.7000000000007</v>
      </c>
      <c r="P55" s="1">
        <v>5889.2760000000007</v>
      </c>
      <c r="Q55" s="1">
        <v>2771.424</v>
      </c>
      <c r="R55" s="1">
        <v>32</v>
      </c>
      <c r="S55" s="1" t="s">
        <v>60</v>
      </c>
    </row>
    <row r="56" spans="1:19" x14ac:dyDescent="0.35">
      <c r="A56" s="1" t="s">
        <v>182</v>
      </c>
      <c r="B56" s="3">
        <v>45984</v>
      </c>
      <c r="C56" s="1" t="s">
        <v>56</v>
      </c>
      <c r="D56" s="1">
        <v>11</v>
      </c>
      <c r="E56" s="1" t="s">
        <v>144</v>
      </c>
      <c r="F56" s="1" t="s">
        <v>52</v>
      </c>
      <c r="G56" s="1" t="s">
        <v>38</v>
      </c>
      <c r="H56" s="1" t="s">
        <v>39</v>
      </c>
      <c r="I56" s="1" t="s">
        <v>40</v>
      </c>
      <c r="J56" s="1">
        <v>5</v>
      </c>
      <c r="K56" s="1">
        <v>50942.559999999998</v>
      </c>
      <c r="L56" s="1">
        <v>0.1</v>
      </c>
      <c r="M56" s="1">
        <v>254712.8</v>
      </c>
      <c r="N56" s="1">
        <v>25471.279999999999</v>
      </c>
      <c r="O56" s="1">
        <v>229241.52</v>
      </c>
      <c r="P56" s="1">
        <v>178808.38560000001</v>
      </c>
      <c r="Q56" s="1">
        <v>50433.134399999981</v>
      </c>
      <c r="R56" s="1">
        <v>21.999999999999989</v>
      </c>
      <c r="S56" s="1" t="s">
        <v>73</v>
      </c>
    </row>
    <row r="57" spans="1:19" x14ac:dyDescent="0.35">
      <c r="A57" s="1" t="s">
        <v>183</v>
      </c>
      <c r="B57" s="3">
        <v>46003</v>
      </c>
      <c r="C57" s="1" t="s">
        <v>67</v>
      </c>
      <c r="D57" s="1">
        <v>12</v>
      </c>
      <c r="E57" s="1" t="s">
        <v>184</v>
      </c>
      <c r="F57" s="1" t="s">
        <v>37</v>
      </c>
      <c r="G57" s="1" t="s">
        <v>64</v>
      </c>
      <c r="H57" s="1" t="s">
        <v>53</v>
      </c>
      <c r="I57" s="1" t="s">
        <v>185</v>
      </c>
      <c r="J57" s="1">
        <v>7</v>
      </c>
      <c r="K57" s="1">
        <v>1142.68</v>
      </c>
      <c r="L57" s="1">
        <v>0.05</v>
      </c>
      <c r="M57" s="1">
        <v>7998.76</v>
      </c>
      <c r="N57" s="1">
        <v>399.93799999999999</v>
      </c>
      <c r="O57" s="1">
        <v>7598.8220000000001</v>
      </c>
      <c r="P57" s="1">
        <v>4407.3167599999997</v>
      </c>
      <c r="Q57" s="1">
        <v>3191.50524</v>
      </c>
      <c r="R57" s="1">
        <v>42.000000000000007</v>
      </c>
      <c r="S57" s="1" t="s">
        <v>60</v>
      </c>
    </row>
    <row r="58" spans="1:19" x14ac:dyDescent="0.35">
      <c r="A58" s="1" t="s">
        <v>186</v>
      </c>
      <c r="B58" s="3">
        <v>46005</v>
      </c>
      <c r="C58" s="1" t="s">
        <v>67</v>
      </c>
      <c r="D58" s="1">
        <v>12</v>
      </c>
      <c r="E58" s="1" t="s">
        <v>187</v>
      </c>
      <c r="F58" s="1" t="s">
        <v>52</v>
      </c>
      <c r="G58" s="1" t="s">
        <v>23</v>
      </c>
      <c r="H58" s="1" t="s">
        <v>77</v>
      </c>
      <c r="I58" s="1" t="s">
        <v>103</v>
      </c>
      <c r="J58" s="1">
        <v>1</v>
      </c>
      <c r="K58" s="1">
        <v>481.1</v>
      </c>
      <c r="L58" s="1">
        <v>0.05</v>
      </c>
      <c r="M58" s="1">
        <v>481.1</v>
      </c>
      <c r="N58" s="1">
        <v>24.055</v>
      </c>
      <c r="O58" s="1">
        <v>457.04500000000002</v>
      </c>
      <c r="P58" s="1">
        <v>329.07240000000002</v>
      </c>
      <c r="Q58" s="1">
        <v>127.9726</v>
      </c>
      <c r="R58" s="1">
        <v>28</v>
      </c>
      <c r="S58" s="1" t="s">
        <v>93</v>
      </c>
    </row>
    <row r="59" spans="1:19" x14ac:dyDescent="0.35">
      <c r="A59" s="1" t="s">
        <v>188</v>
      </c>
      <c r="B59" s="3">
        <v>45817</v>
      </c>
      <c r="C59" s="1" t="s">
        <v>82</v>
      </c>
      <c r="D59" s="1">
        <v>6</v>
      </c>
      <c r="E59" s="1" t="s">
        <v>189</v>
      </c>
      <c r="F59" s="1" t="s">
        <v>111</v>
      </c>
      <c r="G59" s="1" t="s">
        <v>38</v>
      </c>
      <c r="H59" s="1" t="s">
        <v>31</v>
      </c>
      <c r="I59" s="1" t="s">
        <v>190</v>
      </c>
      <c r="J59" s="1">
        <v>5</v>
      </c>
      <c r="K59" s="1">
        <v>1264.8699999999999</v>
      </c>
      <c r="L59" s="1">
        <v>0</v>
      </c>
      <c r="M59" s="1">
        <v>6324.3499999999995</v>
      </c>
      <c r="N59" s="1">
        <v>0</v>
      </c>
      <c r="O59" s="1">
        <v>6324.3499999999995</v>
      </c>
      <c r="P59" s="1">
        <v>3288.6619999999998</v>
      </c>
      <c r="Q59" s="1">
        <v>3035.6880000000001</v>
      </c>
      <c r="R59" s="1">
        <v>48</v>
      </c>
      <c r="S59" s="1" t="s">
        <v>33</v>
      </c>
    </row>
    <row r="60" spans="1:19" x14ac:dyDescent="0.35">
      <c r="A60" s="1" t="s">
        <v>191</v>
      </c>
      <c r="B60" s="3">
        <v>45704</v>
      </c>
      <c r="C60" s="1" t="s">
        <v>42</v>
      </c>
      <c r="D60" s="1">
        <v>2</v>
      </c>
      <c r="E60" s="1" t="s">
        <v>95</v>
      </c>
      <c r="F60" s="1" t="s">
        <v>52</v>
      </c>
      <c r="G60" s="1" t="s">
        <v>38</v>
      </c>
      <c r="H60" s="1" t="s">
        <v>39</v>
      </c>
      <c r="I60" s="1" t="s">
        <v>87</v>
      </c>
      <c r="J60" s="1">
        <v>1</v>
      </c>
      <c r="K60" s="1">
        <v>47657.68</v>
      </c>
      <c r="L60" s="1">
        <v>0.1</v>
      </c>
      <c r="M60" s="1">
        <v>47657.68</v>
      </c>
      <c r="N60" s="1">
        <v>4765.768</v>
      </c>
      <c r="O60" s="1">
        <v>42891.911999999997</v>
      </c>
      <c r="P60" s="1">
        <v>33455.691359999997</v>
      </c>
      <c r="Q60" s="1">
        <v>9436.2206399999995</v>
      </c>
      <c r="R60" s="1">
        <v>22</v>
      </c>
      <c r="S60" s="1" t="s">
        <v>26</v>
      </c>
    </row>
    <row r="61" spans="1:19" x14ac:dyDescent="0.35">
      <c r="A61" s="1" t="s">
        <v>192</v>
      </c>
      <c r="B61" s="3">
        <v>45669</v>
      </c>
      <c r="C61" s="1" t="s">
        <v>193</v>
      </c>
      <c r="D61" s="1">
        <v>1</v>
      </c>
      <c r="E61" s="1" t="s">
        <v>194</v>
      </c>
      <c r="F61" s="1" t="s">
        <v>37</v>
      </c>
      <c r="G61" s="1" t="s">
        <v>23</v>
      </c>
      <c r="H61" s="1" t="s">
        <v>99</v>
      </c>
      <c r="I61" s="1" t="s">
        <v>145</v>
      </c>
      <c r="J61" s="1">
        <v>6</v>
      </c>
      <c r="K61" s="1">
        <v>12752.28</v>
      </c>
      <c r="L61" s="1">
        <v>0.15</v>
      </c>
      <c r="M61" s="1">
        <v>76513.680000000008</v>
      </c>
      <c r="N61" s="1">
        <v>11477.052</v>
      </c>
      <c r="O61" s="1">
        <v>65036.627999999997</v>
      </c>
      <c r="P61" s="1">
        <v>44224.907040000013</v>
      </c>
      <c r="Q61" s="1">
        <v>20811.720959999999</v>
      </c>
      <c r="R61" s="1">
        <v>32</v>
      </c>
      <c r="S61" s="1" t="s">
        <v>33</v>
      </c>
    </row>
    <row r="62" spans="1:19" x14ac:dyDescent="0.35">
      <c r="A62" s="1" t="s">
        <v>195</v>
      </c>
      <c r="B62" s="3">
        <v>45835</v>
      </c>
      <c r="C62" s="1" t="s">
        <v>82</v>
      </c>
      <c r="D62" s="1">
        <v>6</v>
      </c>
      <c r="E62" s="1" t="s">
        <v>196</v>
      </c>
      <c r="F62" s="1" t="s">
        <v>43</v>
      </c>
      <c r="G62" s="1" t="s">
        <v>64</v>
      </c>
      <c r="H62" s="1" t="s">
        <v>24</v>
      </c>
      <c r="I62" s="1" t="s">
        <v>139</v>
      </c>
      <c r="J62" s="1">
        <v>4</v>
      </c>
      <c r="K62" s="1">
        <v>2481.9</v>
      </c>
      <c r="L62" s="1">
        <v>0.05</v>
      </c>
      <c r="M62" s="1">
        <v>9927.6</v>
      </c>
      <c r="N62" s="1">
        <v>496.38000000000011</v>
      </c>
      <c r="O62" s="1">
        <v>9431.2200000000012</v>
      </c>
      <c r="P62" s="1">
        <v>5187.1710000000012</v>
      </c>
      <c r="Q62" s="1">
        <v>4244.049</v>
      </c>
      <c r="R62" s="1">
        <v>44.999999999999993</v>
      </c>
      <c r="S62" s="1" t="s">
        <v>33</v>
      </c>
    </row>
    <row r="63" spans="1:19" x14ac:dyDescent="0.35">
      <c r="A63" s="1" t="s">
        <v>197</v>
      </c>
      <c r="B63" s="3">
        <v>45877</v>
      </c>
      <c r="C63" s="1" t="s">
        <v>113</v>
      </c>
      <c r="D63" s="1">
        <v>8</v>
      </c>
      <c r="E63" s="1" t="s">
        <v>198</v>
      </c>
      <c r="F63" s="1" t="s">
        <v>69</v>
      </c>
      <c r="G63" s="1" t="s">
        <v>64</v>
      </c>
      <c r="H63" s="1" t="s">
        <v>31</v>
      </c>
      <c r="I63" s="1" t="s">
        <v>167</v>
      </c>
      <c r="J63" s="1">
        <v>5</v>
      </c>
      <c r="K63" s="1">
        <v>3206.06</v>
      </c>
      <c r="L63" s="1">
        <v>0.2</v>
      </c>
      <c r="M63" s="1">
        <v>16030.3</v>
      </c>
      <c r="N63" s="1">
        <v>3206.06</v>
      </c>
      <c r="O63" s="1">
        <v>12824.24</v>
      </c>
      <c r="P63" s="1">
        <v>6668.6048000000001</v>
      </c>
      <c r="Q63" s="1">
        <v>6155.6351999999997</v>
      </c>
      <c r="R63" s="1">
        <v>48</v>
      </c>
      <c r="S63" s="1" t="s">
        <v>73</v>
      </c>
    </row>
    <row r="64" spans="1:19" x14ac:dyDescent="0.35">
      <c r="A64" s="1" t="s">
        <v>199</v>
      </c>
      <c r="B64" s="3">
        <v>45667</v>
      </c>
      <c r="C64" s="1" t="s">
        <v>193</v>
      </c>
      <c r="D64" s="1">
        <v>1</v>
      </c>
      <c r="E64" s="1" t="s">
        <v>200</v>
      </c>
      <c r="F64" s="1" t="s">
        <v>52</v>
      </c>
      <c r="G64" s="1" t="s">
        <v>64</v>
      </c>
      <c r="H64" s="1" t="s">
        <v>77</v>
      </c>
      <c r="I64" s="1" t="s">
        <v>201</v>
      </c>
      <c r="J64" s="1">
        <v>2</v>
      </c>
      <c r="K64" s="1">
        <v>684.33</v>
      </c>
      <c r="L64" s="1">
        <v>0.05</v>
      </c>
      <c r="M64" s="1">
        <v>1368.66</v>
      </c>
      <c r="N64" s="1">
        <v>68.433000000000007</v>
      </c>
      <c r="O64" s="1">
        <v>1300.2270000000001</v>
      </c>
      <c r="P64" s="1">
        <v>936.16344000000004</v>
      </c>
      <c r="Q64" s="1">
        <v>364.06356000000011</v>
      </c>
      <c r="R64" s="1">
        <v>28</v>
      </c>
      <c r="S64" s="1" t="s">
        <v>60</v>
      </c>
    </row>
    <row r="65" spans="1:19" x14ac:dyDescent="0.35">
      <c r="A65" s="1" t="s">
        <v>202</v>
      </c>
      <c r="B65" s="3">
        <v>45924</v>
      </c>
      <c r="C65" s="1" t="s">
        <v>50</v>
      </c>
      <c r="D65" s="1">
        <v>9</v>
      </c>
      <c r="E65" s="1" t="s">
        <v>80</v>
      </c>
      <c r="F65" s="1" t="s">
        <v>76</v>
      </c>
      <c r="G65" s="1" t="s">
        <v>64</v>
      </c>
      <c r="H65" s="1" t="s">
        <v>31</v>
      </c>
      <c r="I65" s="1" t="s">
        <v>167</v>
      </c>
      <c r="J65" s="1">
        <v>2</v>
      </c>
      <c r="K65" s="1">
        <v>1456.94</v>
      </c>
      <c r="L65" s="1">
        <v>0.3</v>
      </c>
      <c r="M65" s="1">
        <v>2913.88</v>
      </c>
      <c r="N65" s="1">
        <v>874.16399999999999</v>
      </c>
      <c r="O65" s="1">
        <v>2039.7159999999999</v>
      </c>
      <c r="P65" s="1">
        <v>1060.6523199999999</v>
      </c>
      <c r="Q65" s="1">
        <v>979.06367999999998</v>
      </c>
      <c r="R65" s="1">
        <v>48</v>
      </c>
      <c r="S65" s="1" t="s">
        <v>73</v>
      </c>
    </row>
    <row r="66" spans="1:19" x14ac:dyDescent="0.35">
      <c r="A66" s="1" t="s">
        <v>203</v>
      </c>
      <c r="B66" s="3">
        <v>45762</v>
      </c>
      <c r="C66" s="1" t="s">
        <v>20</v>
      </c>
      <c r="D66" s="1">
        <v>4</v>
      </c>
      <c r="E66" s="1" t="s">
        <v>204</v>
      </c>
      <c r="F66" s="1" t="s">
        <v>76</v>
      </c>
      <c r="G66" s="1" t="s">
        <v>64</v>
      </c>
      <c r="H66" s="1" t="s">
        <v>53</v>
      </c>
      <c r="I66" s="1" t="s">
        <v>123</v>
      </c>
      <c r="J66" s="1">
        <v>7</v>
      </c>
      <c r="K66" s="1">
        <v>756.18</v>
      </c>
      <c r="L66" s="1">
        <v>0</v>
      </c>
      <c r="M66" s="1">
        <v>5293.2599999999993</v>
      </c>
      <c r="N66" s="1">
        <v>0</v>
      </c>
      <c r="O66" s="1">
        <v>5293.2599999999993</v>
      </c>
      <c r="P66" s="1">
        <v>3070.090799999999</v>
      </c>
      <c r="Q66" s="1">
        <v>2223.1691999999998</v>
      </c>
      <c r="R66" s="1">
        <v>42.000000000000007</v>
      </c>
      <c r="S66" s="1" t="s">
        <v>26</v>
      </c>
    </row>
    <row r="67" spans="1:19" x14ac:dyDescent="0.35">
      <c r="A67" s="1" t="s">
        <v>205</v>
      </c>
      <c r="B67" s="3">
        <v>45680</v>
      </c>
      <c r="C67" s="1" t="s">
        <v>193</v>
      </c>
      <c r="D67" s="1">
        <v>1</v>
      </c>
      <c r="E67" s="1" t="s">
        <v>196</v>
      </c>
      <c r="F67" s="1" t="s">
        <v>111</v>
      </c>
      <c r="G67" s="1" t="s">
        <v>23</v>
      </c>
      <c r="H67" s="1" t="s">
        <v>31</v>
      </c>
      <c r="I67" s="1" t="s">
        <v>167</v>
      </c>
      <c r="J67" s="1">
        <v>5</v>
      </c>
      <c r="K67" s="1">
        <v>3317.73</v>
      </c>
      <c r="L67" s="1">
        <v>0.2</v>
      </c>
      <c r="M67" s="1">
        <v>16588.650000000001</v>
      </c>
      <c r="N67" s="1">
        <v>3317.73</v>
      </c>
      <c r="O67" s="1">
        <v>13270.92</v>
      </c>
      <c r="P67" s="1">
        <v>6900.8784000000014</v>
      </c>
      <c r="Q67" s="1">
        <v>6370.0415999999996</v>
      </c>
      <c r="R67" s="1">
        <v>48</v>
      </c>
      <c r="S67" s="1" t="s">
        <v>60</v>
      </c>
    </row>
    <row r="68" spans="1:19" x14ac:dyDescent="0.35">
      <c r="A68" s="1" t="s">
        <v>206</v>
      </c>
      <c r="B68" s="3">
        <v>45708</v>
      </c>
      <c r="C68" s="1" t="s">
        <v>42</v>
      </c>
      <c r="D68" s="1">
        <v>2</v>
      </c>
      <c r="E68" s="1" t="s">
        <v>207</v>
      </c>
      <c r="F68" s="1" t="s">
        <v>47</v>
      </c>
      <c r="G68" s="1" t="s">
        <v>38</v>
      </c>
      <c r="H68" s="1" t="s">
        <v>31</v>
      </c>
      <c r="I68" s="1" t="s">
        <v>32</v>
      </c>
      <c r="J68" s="1">
        <v>5</v>
      </c>
      <c r="K68" s="1">
        <v>883.85</v>
      </c>
      <c r="L68" s="1">
        <v>0.25</v>
      </c>
      <c r="M68" s="1">
        <v>4419.25</v>
      </c>
      <c r="N68" s="1">
        <v>1104.8125</v>
      </c>
      <c r="O68" s="1">
        <v>3314.4375</v>
      </c>
      <c r="P68" s="1">
        <v>1723.5074999999999</v>
      </c>
      <c r="Q68" s="1">
        <v>1590.93</v>
      </c>
      <c r="R68" s="1">
        <v>47.999999999999993</v>
      </c>
      <c r="S68" s="1" t="s">
        <v>73</v>
      </c>
    </row>
    <row r="69" spans="1:19" x14ac:dyDescent="0.35">
      <c r="A69" s="1" t="s">
        <v>208</v>
      </c>
      <c r="B69" s="3">
        <v>45819</v>
      </c>
      <c r="C69" s="1" t="s">
        <v>82</v>
      </c>
      <c r="D69" s="1">
        <v>6</v>
      </c>
      <c r="E69" s="1" t="s">
        <v>95</v>
      </c>
      <c r="F69" s="1" t="s">
        <v>111</v>
      </c>
      <c r="G69" s="1" t="s">
        <v>23</v>
      </c>
      <c r="H69" s="1" t="s">
        <v>77</v>
      </c>
      <c r="I69" s="1" t="s">
        <v>90</v>
      </c>
      <c r="J69" s="1">
        <v>6</v>
      </c>
      <c r="K69" s="1">
        <v>1006.08</v>
      </c>
      <c r="L69" s="1">
        <v>0.1</v>
      </c>
      <c r="M69" s="1">
        <v>6036.48</v>
      </c>
      <c r="N69" s="1">
        <v>603.64800000000002</v>
      </c>
      <c r="O69" s="1">
        <v>5432.8320000000003</v>
      </c>
      <c r="P69" s="1">
        <v>3911.63904</v>
      </c>
      <c r="Q69" s="1">
        <v>1521.1929600000001</v>
      </c>
      <c r="R69" s="1">
        <v>28</v>
      </c>
      <c r="S69" s="1" t="s">
        <v>60</v>
      </c>
    </row>
    <row r="70" spans="1:19" x14ac:dyDescent="0.35">
      <c r="A70" s="1" t="s">
        <v>209</v>
      </c>
      <c r="B70" s="3">
        <v>45769</v>
      </c>
      <c r="C70" s="1" t="s">
        <v>20</v>
      </c>
      <c r="D70" s="1">
        <v>4</v>
      </c>
      <c r="E70" s="1" t="s">
        <v>210</v>
      </c>
      <c r="F70" s="1" t="s">
        <v>52</v>
      </c>
      <c r="G70" s="1" t="s">
        <v>23</v>
      </c>
      <c r="H70" s="1" t="s">
        <v>31</v>
      </c>
      <c r="I70" s="1" t="s">
        <v>32</v>
      </c>
      <c r="J70" s="1">
        <v>5</v>
      </c>
      <c r="K70" s="1">
        <v>2309.89</v>
      </c>
      <c r="L70" s="1">
        <v>0.2</v>
      </c>
      <c r="M70" s="1">
        <v>11549.45</v>
      </c>
      <c r="N70" s="1">
        <v>2309.89</v>
      </c>
      <c r="O70" s="1">
        <v>9239.56</v>
      </c>
      <c r="P70" s="1">
        <v>4804.5712000000003</v>
      </c>
      <c r="Q70" s="1">
        <v>4434.9887999999992</v>
      </c>
      <c r="R70" s="1">
        <v>47.999999999999993</v>
      </c>
      <c r="S70" s="1" t="s">
        <v>73</v>
      </c>
    </row>
    <row r="71" spans="1:19" x14ac:dyDescent="0.35">
      <c r="A71" s="1" t="s">
        <v>211</v>
      </c>
      <c r="B71" s="3">
        <v>45995</v>
      </c>
      <c r="C71" s="1" t="s">
        <v>67</v>
      </c>
      <c r="D71" s="1">
        <v>12</v>
      </c>
      <c r="E71" s="1" t="s">
        <v>212</v>
      </c>
      <c r="F71" s="1" t="s">
        <v>52</v>
      </c>
      <c r="G71" s="1" t="s">
        <v>64</v>
      </c>
      <c r="H71" s="1" t="s">
        <v>77</v>
      </c>
      <c r="I71" s="1" t="s">
        <v>103</v>
      </c>
      <c r="J71" s="1">
        <v>7</v>
      </c>
      <c r="K71" s="1">
        <v>553.1</v>
      </c>
      <c r="L71" s="1">
        <v>0.25</v>
      </c>
      <c r="M71" s="1">
        <v>3871.7</v>
      </c>
      <c r="N71" s="1">
        <v>967.92500000000007</v>
      </c>
      <c r="O71" s="1">
        <v>2903.7750000000001</v>
      </c>
      <c r="P71" s="1">
        <v>2090.7179999999998</v>
      </c>
      <c r="Q71" s="1">
        <v>813.05700000000024</v>
      </c>
      <c r="R71" s="1">
        <v>28.000000000000011</v>
      </c>
      <c r="S71" s="1" t="s">
        <v>73</v>
      </c>
    </row>
    <row r="72" spans="1:19" x14ac:dyDescent="0.35">
      <c r="A72" s="1" t="s">
        <v>213</v>
      </c>
      <c r="B72" s="3">
        <v>45708</v>
      </c>
      <c r="C72" s="1" t="s">
        <v>42</v>
      </c>
      <c r="D72" s="1">
        <v>2</v>
      </c>
      <c r="E72" s="1" t="s">
        <v>171</v>
      </c>
      <c r="F72" s="1" t="s">
        <v>58</v>
      </c>
      <c r="G72" s="1" t="s">
        <v>64</v>
      </c>
      <c r="H72" s="1" t="s">
        <v>39</v>
      </c>
      <c r="I72" s="1" t="s">
        <v>214</v>
      </c>
      <c r="J72" s="1">
        <v>5</v>
      </c>
      <c r="K72" s="1">
        <v>53398.89</v>
      </c>
      <c r="L72" s="1">
        <v>0.1</v>
      </c>
      <c r="M72" s="1">
        <v>266994.45</v>
      </c>
      <c r="N72" s="1">
        <v>26699.445</v>
      </c>
      <c r="O72" s="1">
        <v>240295.005</v>
      </c>
      <c r="P72" s="1">
        <v>187430.10389999999</v>
      </c>
      <c r="Q72" s="1">
        <v>52864.901099999988</v>
      </c>
      <c r="R72" s="1">
        <v>21.999999999999989</v>
      </c>
      <c r="S72" s="1" t="s">
        <v>93</v>
      </c>
    </row>
    <row r="73" spans="1:19" x14ac:dyDescent="0.35">
      <c r="A73" s="1" t="s">
        <v>215</v>
      </c>
      <c r="B73" s="3">
        <v>45862</v>
      </c>
      <c r="C73" s="1" t="s">
        <v>62</v>
      </c>
      <c r="D73" s="1">
        <v>7</v>
      </c>
      <c r="E73" s="1" t="s">
        <v>216</v>
      </c>
      <c r="F73" s="1" t="s">
        <v>43</v>
      </c>
      <c r="G73" s="1" t="s">
        <v>38</v>
      </c>
      <c r="H73" s="1" t="s">
        <v>77</v>
      </c>
      <c r="I73" s="1" t="s">
        <v>90</v>
      </c>
      <c r="J73" s="1">
        <v>3</v>
      </c>
      <c r="K73" s="1">
        <v>716.6</v>
      </c>
      <c r="L73" s="1">
        <v>0.1</v>
      </c>
      <c r="M73" s="1">
        <v>2149.8000000000002</v>
      </c>
      <c r="N73" s="1">
        <v>214.98</v>
      </c>
      <c r="O73" s="1">
        <v>1934.82</v>
      </c>
      <c r="P73" s="1">
        <v>1393.0704000000001</v>
      </c>
      <c r="Q73" s="1">
        <v>541.7496000000001</v>
      </c>
      <c r="R73" s="1">
        <v>28</v>
      </c>
      <c r="S73" s="1" t="s">
        <v>33</v>
      </c>
    </row>
    <row r="74" spans="1:19" x14ac:dyDescent="0.35">
      <c r="A74" s="1" t="s">
        <v>217</v>
      </c>
      <c r="B74" s="3">
        <v>46017</v>
      </c>
      <c r="C74" s="1" t="s">
        <v>67</v>
      </c>
      <c r="D74" s="1">
        <v>12</v>
      </c>
      <c r="E74" s="1" t="s">
        <v>218</v>
      </c>
      <c r="F74" s="1" t="s">
        <v>47</v>
      </c>
      <c r="G74" s="1" t="s">
        <v>64</v>
      </c>
      <c r="H74" s="1" t="s">
        <v>24</v>
      </c>
      <c r="I74" s="1" t="s">
        <v>44</v>
      </c>
      <c r="J74" s="1">
        <v>1</v>
      </c>
      <c r="K74" s="1">
        <v>5432.34</v>
      </c>
      <c r="L74" s="1">
        <v>0.1</v>
      </c>
      <c r="M74" s="1">
        <v>5432.34</v>
      </c>
      <c r="N74" s="1">
        <v>543.23400000000004</v>
      </c>
      <c r="O74" s="1">
        <v>4889.1059999999998</v>
      </c>
      <c r="P74" s="1">
        <v>2689.0083</v>
      </c>
      <c r="Q74" s="1">
        <v>2200.0976999999998</v>
      </c>
      <c r="R74" s="1">
        <v>44.999999999999993</v>
      </c>
      <c r="S74" s="1" t="s">
        <v>26</v>
      </c>
    </row>
    <row r="75" spans="1:19" x14ac:dyDescent="0.35">
      <c r="A75" s="1" t="s">
        <v>219</v>
      </c>
      <c r="B75" s="3">
        <v>45934</v>
      </c>
      <c r="C75" s="1" t="s">
        <v>35</v>
      </c>
      <c r="D75" s="1">
        <v>10</v>
      </c>
      <c r="E75" s="1" t="s">
        <v>220</v>
      </c>
      <c r="F75" s="1" t="s">
        <v>111</v>
      </c>
      <c r="G75" s="1" t="s">
        <v>64</v>
      </c>
      <c r="H75" s="1" t="s">
        <v>31</v>
      </c>
      <c r="I75" s="1" t="s">
        <v>59</v>
      </c>
      <c r="J75" s="1">
        <v>2</v>
      </c>
      <c r="K75" s="1">
        <v>1119.3499999999999</v>
      </c>
      <c r="L75" s="1">
        <v>0.05</v>
      </c>
      <c r="M75" s="1">
        <v>2238.6999999999998</v>
      </c>
      <c r="N75" s="1">
        <v>111.935</v>
      </c>
      <c r="O75" s="1">
        <v>2126.7649999999999</v>
      </c>
      <c r="P75" s="1">
        <v>1105.9177999999999</v>
      </c>
      <c r="Q75" s="1">
        <v>1020.8472</v>
      </c>
      <c r="R75" s="1">
        <v>48</v>
      </c>
      <c r="S75" s="1" t="s">
        <v>73</v>
      </c>
    </row>
    <row r="76" spans="1:19" x14ac:dyDescent="0.35">
      <c r="A76" s="1" t="s">
        <v>221</v>
      </c>
      <c r="B76" s="3">
        <v>45703</v>
      </c>
      <c r="C76" s="1" t="s">
        <v>42</v>
      </c>
      <c r="D76" s="1">
        <v>2</v>
      </c>
      <c r="E76" s="1" t="s">
        <v>222</v>
      </c>
      <c r="F76" s="1" t="s">
        <v>37</v>
      </c>
      <c r="G76" s="1" t="s">
        <v>64</v>
      </c>
      <c r="H76" s="1" t="s">
        <v>99</v>
      </c>
      <c r="I76" s="1" t="s">
        <v>223</v>
      </c>
      <c r="J76" s="1">
        <v>1</v>
      </c>
      <c r="K76" s="1">
        <v>13826.89</v>
      </c>
      <c r="L76" s="1">
        <v>0.15</v>
      </c>
      <c r="M76" s="1">
        <v>13826.89</v>
      </c>
      <c r="N76" s="1">
        <v>2074.0335</v>
      </c>
      <c r="O76" s="1">
        <v>11752.8565</v>
      </c>
      <c r="P76" s="1">
        <v>7991.9424200000003</v>
      </c>
      <c r="Q76" s="1">
        <v>3760.91408</v>
      </c>
      <c r="R76" s="1">
        <v>32</v>
      </c>
      <c r="S76" s="1" t="s">
        <v>26</v>
      </c>
    </row>
    <row r="77" spans="1:19" x14ac:dyDescent="0.35">
      <c r="A77" s="1" t="s">
        <v>224</v>
      </c>
      <c r="B77" s="3">
        <v>45976</v>
      </c>
      <c r="C77" s="1" t="s">
        <v>56</v>
      </c>
      <c r="D77" s="1">
        <v>11</v>
      </c>
      <c r="E77" s="1" t="s">
        <v>225</v>
      </c>
      <c r="F77" s="1" t="s">
        <v>69</v>
      </c>
      <c r="G77" s="1" t="s">
        <v>64</v>
      </c>
      <c r="H77" s="1" t="s">
        <v>31</v>
      </c>
      <c r="I77" s="1" t="s">
        <v>59</v>
      </c>
      <c r="J77" s="1">
        <v>1</v>
      </c>
      <c r="K77" s="1">
        <v>1113.7</v>
      </c>
      <c r="L77" s="1">
        <v>0.2</v>
      </c>
      <c r="M77" s="1">
        <v>1113.7</v>
      </c>
      <c r="N77" s="1">
        <v>222.74</v>
      </c>
      <c r="O77" s="1">
        <v>890.96</v>
      </c>
      <c r="P77" s="1">
        <v>463.29919999999998</v>
      </c>
      <c r="Q77" s="1">
        <v>427.66079999999999</v>
      </c>
      <c r="R77" s="1">
        <v>48</v>
      </c>
      <c r="S77" s="1" t="s">
        <v>73</v>
      </c>
    </row>
    <row r="78" spans="1:19" x14ac:dyDescent="0.35">
      <c r="A78" s="1" t="s">
        <v>226</v>
      </c>
      <c r="B78" s="3">
        <v>45685</v>
      </c>
      <c r="C78" s="1" t="s">
        <v>193</v>
      </c>
      <c r="D78" s="1">
        <v>1</v>
      </c>
      <c r="E78" s="1" t="s">
        <v>227</v>
      </c>
      <c r="F78" s="1" t="s">
        <v>69</v>
      </c>
      <c r="G78" s="1" t="s">
        <v>38</v>
      </c>
      <c r="H78" s="1" t="s">
        <v>77</v>
      </c>
      <c r="I78" s="1" t="s">
        <v>90</v>
      </c>
      <c r="J78" s="1">
        <v>2</v>
      </c>
      <c r="K78" s="1">
        <v>909.59</v>
      </c>
      <c r="L78" s="1">
        <v>0</v>
      </c>
      <c r="M78" s="1">
        <v>1819.18</v>
      </c>
      <c r="N78" s="1">
        <v>0</v>
      </c>
      <c r="O78" s="1">
        <v>1819.18</v>
      </c>
      <c r="P78" s="1">
        <v>1309.8096</v>
      </c>
      <c r="Q78" s="1">
        <v>509.37040000000002</v>
      </c>
      <c r="R78" s="1">
        <v>28</v>
      </c>
      <c r="S78" s="1" t="s">
        <v>33</v>
      </c>
    </row>
    <row r="79" spans="1:19" x14ac:dyDescent="0.35">
      <c r="A79" s="1" t="s">
        <v>228</v>
      </c>
      <c r="B79" s="3">
        <v>45931</v>
      </c>
      <c r="C79" s="1" t="s">
        <v>35</v>
      </c>
      <c r="D79" s="1">
        <v>10</v>
      </c>
      <c r="E79" s="1" t="s">
        <v>229</v>
      </c>
      <c r="F79" s="1" t="s">
        <v>111</v>
      </c>
      <c r="G79" s="1" t="s">
        <v>23</v>
      </c>
      <c r="H79" s="1" t="s">
        <v>99</v>
      </c>
      <c r="I79" s="1" t="s">
        <v>223</v>
      </c>
      <c r="J79" s="1">
        <v>6</v>
      </c>
      <c r="K79" s="1">
        <v>14483.89</v>
      </c>
      <c r="L79" s="1">
        <v>0.05</v>
      </c>
      <c r="M79" s="1">
        <v>86903.34</v>
      </c>
      <c r="N79" s="1">
        <v>4345.1670000000004</v>
      </c>
      <c r="O79" s="1">
        <v>82558.172999999995</v>
      </c>
      <c r="P79" s="1">
        <v>56139.557639999999</v>
      </c>
      <c r="Q79" s="1">
        <v>26418.61536</v>
      </c>
      <c r="R79" s="1">
        <v>32</v>
      </c>
      <c r="S79" s="1" t="s">
        <v>60</v>
      </c>
    </row>
    <row r="80" spans="1:19" x14ac:dyDescent="0.35">
      <c r="A80" s="1" t="s">
        <v>230</v>
      </c>
      <c r="B80" s="3">
        <v>45888</v>
      </c>
      <c r="C80" s="1" t="s">
        <v>113</v>
      </c>
      <c r="D80" s="1">
        <v>8</v>
      </c>
      <c r="E80" s="1" t="s">
        <v>231</v>
      </c>
      <c r="F80" s="1" t="s">
        <v>58</v>
      </c>
      <c r="G80" s="1" t="s">
        <v>64</v>
      </c>
      <c r="H80" s="1" t="s">
        <v>77</v>
      </c>
      <c r="I80" s="1" t="s">
        <v>103</v>
      </c>
      <c r="J80" s="1">
        <v>2</v>
      </c>
      <c r="K80" s="1">
        <v>665.64</v>
      </c>
      <c r="L80" s="1">
        <v>0.05</v>
      </c>
      <c r="M80" s="1">
        <v>1331.28</v>
      </c>
      <c r="N80" s="1">
        <v>66.564000000000007</v>
      </c>
      <c r="O80" s="1">
        <v>1264.7159999999999</v>
      </c>
      <c r="P80" s="1">
        <v>910.59551999999985</v>
      </c>
      <c r="Q80" s="1">
        <v>354.12047999999999</v>
      </c>
      <c r="R80" s="1">
        <v>28.000000000000011</v>
      </c>
      <c r="S80" s="1" t="s">
        <v>73</v>
      </c>
    </row>
    <row r="81" spans="1:19" x14ac:dyDescent="0.35">
      <c r="A81" s="1" t="s">
        <v>232</v>
      </c>
      <c r="B81" s="3">
        <v>45724</v>
      </c>
      <c r="C81" s="1" t="s">
        <v>28</v>
      </c>
      <c r="D81" s="1">
        <v>3</v>
      </c>
      <c r="E81" s="1" t="s">
        <v>233</v>
      </c>
      <c r="F81" s="1" t="s">
        <v>30</v>
      </c>
      <c r="G81" s="1" t="s">
        <v>64</v>
      </c>
      <c r="H81" s="1" t="s">
        <v>39</v>
      </c>
      <c r="I81" s="1" t="s">
        <v>234</v>
      </c>
      <c r="J81" s="1">
        <v>5</v>
      </c>
      <c r="K81" s="1">
        <v>35336.18</v>
      </c>
      <c r="L81" s="1">
        <v>0.15</v>
      </c>
      <c r="M81" s="1">
        <v>176680.9</v>
      </c>
      <c r="N81" s="1">
        <v>26502.134999999998</v>
      </c>
      <c r="O81" s="1">
        <v>150178.76500000001</v>
      </c>
      <c r="P81" s="1">
        <v>117139.43670000001</v>
      </c>
      <c r="Q81" s="1">
        <v>33039.328299999986</v>
      </c>
      <c r="R81" s="1">
        <v>22</v>
      </c>
      <c r="S81" s="1" t="s">
        <v>26</v>
      </c>
    </row>
    <row r="82" spans="1:19" x14ac:dyDescent="0.35">
      <c r="A82" s="1" t="s">
        <v>235</v>
      </c>
      <c r="B82" s="3">
        <v>45699</v>
      </c>
      <c r="C82" s="1" t="s">
        <v>42</v>
      </c>
      <c r="D82" s="1">
        <v>2</v>
      </c>
      <c r="E82" s="1" t="s">
        <v>236</v>
      </c>
      <c r="F82" s="1" t="s">
        <v>30</v>
      </c>
      <c r="G82" s="1" t="s">
        <v>38</v>
      </c>
      <c r="H82" s="1" t="s">
        <v>39</v>
      </c>
      <c r="I82" s="1" t="s">
        <v>155</v>
      </c>
      <c r="J82" s="1">
        <v>5</v>
      </c>
      <c r="K82" s="1">
        <v>28695.69</v>
      </c>
      <c r="L82" s="1">
        <v>0.15</v>
      </c>
      <c r="M82" s="1">
        <v>143478.45000000001</v>
      </c>
      <c r="N82" s="1">
        <v>21521.767500000002</v>
      </c>
      <c r="O82" s="1">
        <v>121956.6825</v>
      </c>
      <c r="P82" s="1">
        <v>95126.212349999987</v>
      </c>
      <c r="Q82" s="1">
        <v>26830.47014999999</v>
      </c>
      <c r="R82" s="1">
        <v>22</v>
      </c>
      <c r="S82" s="1" t="s">
        <v>93</v>
      </c>
    </row>
    <row r="83" spans="1:19" x14ac:dyDescent="0.35">
      <c r="A83" s="1" t="s">
        <v>237</v>
      </c>
      <c r="B83" s="3">
        <v>45946</v>
      </c>
      <c r="C83" s="1" t="s">
        <v>35</v>
      </c>
      <c r="D83" s="1">
        <v>10</v>
      </c>
      <c r="E83" s="1" t="s">
        <v>116</v>
      </c>
      <c r="F83" s="1" t="s">
        <v>58</v>
      </c>
      <c r="G83" s="1" t="s">
        <v>23</v>
      </c>
      <c r="H83" s="1" t="s">
        <v>31</v>
      </c>
      <c r="I83" s="1" t="s">
        <v>190</v>
      </c>
      <c r="J83" s="1">
        <v>6</v>
      </c>
      <c r="K83" s="1">
        <v>943.6</v>
      </c>
      <c r="L83" s="1">
        <v>0.1</v>
      </c>
      <c r="M83" s="1">
        <v>5661.6</v>
      </c>
      <c r="N83" s="1">
        <v>566.16000000000008</v>
      </c>
      <c r="O83" s="1">
        <v>5095.4400000000014</v>
      </c>
      <c r="P83" s="1">
        <v>2649.6288</v>
      </c>
      <c r="Q83" s="1">
        <v>2445.8112000000001</v>
      </c>
      <c r="R83" s="1">
        <v>48</v>
      </c>
      <c r="S83" s="1" t="s">
        <v>60</v>
      </c>
    </row>
    <row r="84" spans="1:19" x14ac:dyDescent="0.35">
      <c r="A84" s="1" t="s">
        <v>238</v>
      </c>
      <c r="B84" s="3">
        <v>45904</v>
      </c>
      <c r="C84" s="1" t="s">
        <v>50</v>
      </c>
      <c r="D84" s="1">
        <v>9</v>
      </c>
      <c r="E84" s="1" t="s">
        <v>177</v>
      </c>
      <c r="F84" s="1" t="s">
        <v>52</v>
      </c>
      <c r="G84" s="1" t="s">
        <v>23</v>
      </c>
      <c r="H84" s="1" t="s">
        <v>53</v>
      </c>
      <c r="I84" s="1" t="s">
        <v>72</v>
      </c>
      <c r="J84" s="1">
        <v>3</v>
      </c>
      <c r="K84" s="1">
        <v>143.78</v>
      </c>
      <c r="L84" s="1">
        <v>0.15</v>
      </c>
      <c r="M84" s="1">
        <v>431.34</v>
      </c>
      <c r="N84" s="1">
        <v>64.701000000000008</v>
      </c>
      <c r="O84" s="1">
        <v>366.63900000000001</v>
      </c>
      <c r="P84" s="1">
        <v>212.65062</v>
      </c>
      <c r="Q84" s="1">
        <v>153.98838000000001</v>
      </c>
      <c r="R84" s="1">
        <v>42</v>
      </c>
      <c r="S84" s="1" t="s">
        <v>33</v>
      </c>
    </row>
    <row r="85" spans="1:19" x14ac:dyDescent="0.35">
      <c r="A85" s="1" t="s">
        <v>239</v>
      </c>
      <c r="B85" s="3">
        <v>45732</v>
      </c>
      <c r="C85" s="1" t="s">
        <v>28</v>
      </c>
      <c r="D85" s="1">
        <v>3</v>
      </c>
      <c r="E85" s="1" t="s">
        <v>240</v>
      </c>
      <c r="F85" s="1" t="s">
        <v>43</v>
      </c>
      <c r="G85" s="1" t="s">
        <v>23</v>
      </c>
      <c r="H85" s="1" t="s">
        <v>24</v>
      </c>
      <c r="I85" s="1" t="s">
        <v>25</v>
      </c>
      <c r="J85" s="1">
        <v>7</v>
      </c>
      <c r="K85" s="1">
        <v>4993.8999999999996</v>
      </c>
      <c r="L85" s="1">
        <v>0.05</v>
      </c>
      <c r="M85" s="1">
        <v>34957.300000000003</v>
      </c>
      <c r="N85" s="1">
        <v>1747.865</v>
      </c>
      <c r="O85" s="1">
        <v>33209.434999999998</v>
      </c>
      <c r="P85" s="1">
        <v>18265.189249999999</v>
      </c>
      <c r="Q85" s="1">
        <v>14944.24575</v>
      </c>
      <c r="R85" s="1">
        <v>44.999999999999993</v>
      </c>
      <c r="S85" s="1" t="s">
        <v>73</v>
      </c>
    </row>
    <row r="86" spans="1:19" x14ac:dyDescent="0.35">
      <c r="A86" s="1" t="s">
        <v>241</v>
      </c>
      <c r="B86" s="3">
        <v>45830</v>
      </c>
      <c r="C86" s="1" t="s">
        <v>82</v>
      </c>
      <c r="D86" s="1">
        <v>6</v>
      </c>
      <c r="E86" s="1" t="s">
        <v>144</v>
      </c>
      <c r="F86" s="1" t="s">
        <v>58</v>
      </c>
      <c r="G86" s="1" t="s">
        <v>64</v>
      </c>
      <c r="H86" s="1" t="s">
        <v>24</v>
      </c>
      <c r="I86" s="1" t="s">
        <v>48</v>
      </c>
      <c r="J86" s="1">
        <v>5</v>
      </c>
      <c r="K86" s="1">
        <v>1528.74</v>
      </c>
      <c r="L86" s="1">
        <v>0.1</v>
      </c>
      <c r="M86" s="1">
        <v>7643.7</v>
      </c>
      <c r="N86" s="1">
        <v>764.37</v>
      </c>
      <c r="O86" s="1">
        <v>6879.33</v>
      </c>
      <c r="P86" s="1">
        <v>3783.6315</v>
      </c>
      <c r="Q86" s="1">
        <v>3095.6985</v>
      </c>
      <c r="R86" s="1">
        <v>44.999999999999993</v>
      </c>
      <c r="S86" s="1" t="s">
        <v>60</v>
      </c>
    </row>
    <row r="87" spans="1:19" x14ac:dyDescent="0.35">
      <c r="A87" s="1" t="s">
        <v>242</v>
      </c>
      <c r="B87" s="3">
        <v>45797</v>
      </c>
      <c r="C87" s="1" t="s">
        <v>97</v>
      </c>
      <c r="D87" s="1">
        <v>5</v>
      </c>
      <c r="E87" s="1" t="s">
        <v>68</v>
      </c>
      <c r="F87" s="1" t="s">
        <v>58</v>
      </c>
      <c r="G87" s="1" t="s">
        <v>64</v>
      </c>
      <c r="H87" s="1" t="s">
        <v>39</v>
      </c>
      <c r="I87" s="1" t="s">
        <v>40</v>
      </c>
      <c r="J87" s="1">
        <v>2</v>
      </c>
      <c r="K87" s="1">
        <v>51763.43</v>
      </c>
      <c r="L87" s="1">
        <v>0</v>
      </c>
      <c r="M87" s="1">
        <v>103526.86</v>
      </c>
      <c r="N87" s="1">
        <v>0</v>
      </c>
      <c r="O87" s="1">
        <v>103526.86</v>
      </c>
      <c r="P87" s="1">
        <v>80750.950800000006</v>
      </c>
      <c r="Q87" s="1">
        <v>22775.909199999991</v>
      </c>
      <c r="R87" s="1">
        <v>21.999999999999989</v>
      </c>
      <c r="S87" s="1" t="s">
        <v>26</v>
      </c>
    </row>
    <row r="88" spans="1:19" x14ac:dyDescent="0.35">
      <c r="A88" s="1" t="s">
        <v>243</v>
      </c>
      <c r="B88" s="3">
        <v>45818</v>
      </c>
      <c r="C88" s="1" t="s">
        <v>82</v>
      </c>
      <c r="D88" s="1">
        <v>6</v>
      </c>
      <c r="E88" s="1" t="s">
        <v>244</v>
      </c>
      <c r="F88" s="1" t="s">
        <v>47</v>
      </c>
      <c r="G88" s="1" t="s">
        <v>64</v>
      </c>
      <c r="H88" s="1" t="s">
        <v>77</v>
      </c>
      <c r="I88" s="1" t="s">
        <v>201</v>
      </c>
      <c r="J88" s="1">
        <v>2</v>
      </c>
      <c r="K88" s="1">
        <v>572.41</v>
      </c>
      <c r="L88" s="1">
        <v>0.1</v>
      </c>
      <c r="M88" s="1">
        <v>1144.82</v>
      </c>
      <c r="N88" s="1">
        <v>114.482</v>
      </c>
      <c r="O88" s="1">
        <v>1030.338</v>
      </c>
      <c r="P88" s="1">
        <v>741.84335999999996</v>
      </c>
      <c r="Q88" s="1">
        <v>288.49464</v>
      </c>
      <c r="R88" s="1">
        <v>28</v>
      </c>
      <c r="S88" s="1" t="s">
        <v>33</v>
      </c>
    </row>
    <row r="89" spans="1:19" x14ac:dyDescent="0.35">
      <c r="A89" s="1" t="s">
        <v>245</v>
      </c>
      <c r="B89" s="3">
        <v>45978</v>
      </c>
      <c r="C89" s="1" t="s">
        <v>56</v>
      </c>
      <c r="D89" s="1">
        <v>11</v>
      </c>
      <c r="E89" s="1" t="s">
        <v>246</v>
      </c>
      <c r="F89" s="1" t="s">
        <v>22</v>
      </c>
      <c r="G89" s="1" t="s">
        <v>38</v>
      </c>
      <c r="H89" s="1" t="s">
        <v>31</v>
      </c>
      <c r="I89" s="1" t="s">
        <v>167</v>
      </c>
      <c r="J89" s="1">
        <v>1</v>
      </c>
      <c r="K89" s="1">
        <v>2708.75</v>
      </c>
      <c r="L89" s="1">
        <v>0.15</v>
      </c>
      <c r="M89" s="1">
        <v>2708.75</v>
      </c>
      <c r="N89" s="1">
        <v>406.3125</v>
      </c>
      <c r="O89" s="1">
        <v>2302.4375</v>
      </c>
      <c r="P89" s="1">
        <v>1197.2674999999999</v>
      </c>
      <c r="Q89" s="1">
        <v>1105.17</v>
      </c>
      <c r="R89" s="1">
        <v>48.000000000000007</v>
      </c>
      <c r="S89" s="1" t="s">
        <v>93</v>
      </c>
    </row>
    <row r="90" spans="1:19" x14ac:dyDescent="0.35">
      <c r="A90" s="1" t="s">
        <v>247</v>
      </c>
      <c r="B90" s="3">
        <v>45975</v>
      </c>
      <c r="C90" s="1" t="s">
        <v>56</v>
      </c>
      <c r="D90" s="1">
        <v>11</v>
      </c>
      <c r="E90" s="1" t="s">
        <v>248</v>
      </c>
      <c r="F90" s="1" t="s">
        <v>47</v>
      </c>
      <c r="G90" s="1" t="s">
        <v>38</v>
      </c>
      <c r="H90" s="1" t="s">
        <v>24</v>
      </c>
      <c r="I90" s="1" t="s">
        <v>25</v>
      </c>
      <c r="J90" s="1">
        <v>4</v>
      </c>
      <c r="K90" s="1">
        <v>2746.85</v>
      </c>
      <c r="L90" s="1">
        <v>0.25</v>
      </c>
      <c r="M90" s="1">
        <v>10987.4</v>
      </c>
      <c r="N90" s="1">
        <v>2746.85</v>
      </c>
      <c r="O90" s="1">
        <v>8240.5499999999993</v>
      </c>
      <c r="P90" s="1">
        <v>4532.3024999999998</v>
      </c>
      <c r="Q90" s="1">
        <v>3708.247499999999</v>
      </c>
      <c r="R90" s="1">
        <v>44.999999999999993</v>
      </c>
      <c r="S90" s="1" t="s">
        <v>60</v>
      </c>
    </row>
    <row r="91" spans="1:19" x14ac:dyDescent="0.35">
      <c r="A91" s="1" t="s">
        <v>249</v>
      </c>
      <c r="B91" s="3">
        <v>45953</v>
      </c>
      <c r="C91" s="1" t="s">
        <v>35</v>
      </c>
      <c r="D91" s="1">
        <v>10</v>
      </c>
      <c r="E91" s="1" t="s">
        <v>250</v>
      </c>
      <c r="F91" s="1" t="s">
        <v>69</v>
      </c>
      <c r="G91" s="1" t="s">
        <v>64</v>
      </c>
      <c r="H91" s="1" t="s">
        <v>77</v>
      </c>
      <c r="I91" s="1" t="s">
        <v>78</v>
      </c>
      <c r="J91" s="1">
        <v>4</v>
      </c>
      <c r="K91" s="1">
        <v>1018.1</v>
      </c>
      <c r="L91" s="1">
        <v>0.05</v>
      </c>
      <c r="M91" s="1">
        <v>4072.4</v>
      </c>
      <c r="N91" s="1">
        <v>203.62</v>
      </c>
      <c r="O91" s="1">
        <v>3868.78</v>
      </c>
      <c r="P91" s="1">
        <v>2785.5216</v>
      </c>
      <c r="Q91" s="1">
        <v>1083.2583999999999</v>
      </c>
      <c r="R91" s="1">
        <v>28</v>
      </c>
      <c r="S91" s="1" t="s">
        <v>93</v>
      </c>
    </row>
    <row r="92" spans="1:19" x14ac:dyDescent="0.35">
      <c r="A92" s="1" t="s">
        <v>251</v>
      </c>
      <c r="B92" s="3">
        <v>45996</v>
      </c>
      <c r="C92" s="1" t="s">
        <v>67</v>
      </c>
      <c r="D92" s="1">
        <v>12</v>
      </c>
      <c r="E92" s="1" t="s">
        <v>252</v>
      </c>
      <c r="F92" s="1" t="s">
        <v>37</v>
      </c>
      <c r="G92" s="1" t="s">
        <v>64</v>
      </c>
      <c r="H92" s="1" t="s">
        <v>53</v>
      </c>
      <c r="I92" s="1" t="s">
        <v>54</v>
      </c>
      <c r="J92" s="1">
        <v>6</v>
      </c>
      <c r="K92" s="1">
        <v>1355.36</v>
      </c>
      <c r="L92" s="1">
        <v>0.1</v>
      </c>
      <c r="M92" s="1">
        <v>8132.16</v>
      </c>
      <c r="N92" s="1">
        <v>813.21600000000001</v>
      </c>
      <c r="O92" s="1">
        <v>7318.9440000000004</v>
      </c>
      <c r="P92" s="1">
        <v>4244.9875199999997</v>
      </c>
      <c r="Q92" s="1">
        <v>3073.9564799999998</v>
      </c>
      <c r="R92" s="1">
        <v>42</v>
      </c>
      <c r="S92" s="1" t="s">
        <v>26</v>
      </c>
    </row>
    <row r="93" spans="1:19" x14ac:dyDescent="0.35">
      <c r="A93" s="1" t="s">
        <v>253</v>
      </c>
      <c r="B93" s="3">
        <v>45782</v>
      </c>
      <c r="C93" s="1" t="s">
        <v>97</v>
      </c>
      <c r="D93" s="1">
        <v>5</v>
      </c>
      <c r="E93" s="1" t="s">
        <v>254</v>
      </c>
      <c r="F93" s="1" t="s">
        <v>76</v>
      </c>
      <c r="G93" s="1" t="s">
        <v>64</v>
      </c>
      <c r="H93" s="1" t="s">
        <v>77</v>
      </c>
      <c r="I93" s="1" t="s">
        <v>201</v>
      </c>
      <c r="J93" s="1">
        <v>1</v>
      </c>
      <c r="K93" s="1">
        <v>909.75</v>
      </c>
      <c r="L93" s="1">
        <v>0.1</v>
      </c>
      <c r="M93" s="1">
        <v>909.75</v>
      </c>
      <c r="N93" s="1">
        <v>90.975000000000009</v>
      </c>
      <c r="O93" s="1">
        <v>818.77499999999998</v>
      </c>
      <c r="P93" s="1">
        <v>589.51799999999992</v>
      </c>
      <c r="Q93" s="1">
        <v>229.25700000000009</v>
      </c>
      <c r="R93" s="1">
        <v>28.000000000000011</v>
      </c>
      <c r="S93" s="1" t="s">
        <v>93</v>
      </c>
    </row>
    <row r="94" spans="1:19" x14ac:dyDescent="0.35">
      <c r="A94" s="1" t="s">
        <v>255</v>
      </c>
      <c r="B94" s="3">
        <v>45761</v>
      </c>
      <c r="C94" s="1" t="s">
        <v>20</v>
      </c>
      <c r="D94" s="1">
        <v>4</v>
      </c>
      <c r="E94" s="1" t="s">
        <v>256</v>
      </c>
      <c r="F94" s="1" t="s">
        <v>30</v>
      </c>
      <c r="G94" s="1" t="s">
        <v>23</v>
      </c>
      <c r="H94" s="1" t="s">
        <v>53</v>
      </c>
      <c r="I94" s="1" t="s">
        <v>72</v>
      </c>
      <c r="J94" s="1">
        <v>7</v>
      </c>
      <c r="K94" s="1">
        <v>380.56</v>
      </c>
      <c r="L94" s="1">
        <v>0.25</v>
      </c>
      <c r="M94" s="1">
        <v>2663.92</v>
      </c>
      <c r="N94" s="1">
        <v>665.98</v>
      </c>
      <c r="O94" s="1">
        <v>1997.94</v>
      </c>
      <c r="P94" s="1">
        <v>1158.8052</v>
      </c>
      <c r="Q94" s="1">
        <v>839.13480000000004</v>
      </c>
      <c r="R94" s="1">
        <v>42</v>
      </c>
      <c r="S94" s="1" t="s">
        <v>93</v>
      </c>
    </row>
    <row r="95" spans="1:19" x14ac:dyDescent="0.35">
      <c r="A95" s="1" t="s">
        <v>257</v>
      </c>
      <c r="B95" s="3">
        <v>45946</v>
      </c>
      <c r="C95" s="1" t="s">
        <v>35</v>
      </c>
      <c r="D95" s="1">
        <v>10</v>
      </c>
      <c r="E95" s="1" t="s">
        <v>246</v>
      </c>
      <c r="F95" s="1" t="s">
        <v>43</v>
      </c>
      <c r="G95" s="1" t="s">
        <v>64</v>
      </c>
      <c r="H95" s="1" t="s">
        <v>24</v>
      </c>
      <c r="I95" s="1" t="s">
        <v>139</v>
      </c>
      <c r="J95" s="1">
        <v>6</v>
      </c>
      <c r="K95" s="1">
        <v>5416.41</v>
      </c>
      <c r="L95" s="1">
        <v>0.2</v>
      </c>
      <c r="M95" s="1">
        <v>32498.46</v>
      </c>
      <c r="N95" s="1">
        <v>6499.692</v>
      </c>
      <c r="O95" s="1">
        <v>25998.768</v>
      </c>
      <c r="P95" s="1">
        <v>14299.322399999999</v>
      </c>
      <c r="Q95" s="1">
        <v>11699.445599999999</v>
      </c>
      <c r="R95" s="1">
        <v>44.999999999999993</v>
      </c>
      <c r="S95" s="1" t="s">
        <v>93</v>
      </c>
    </row>
    <row r="96" spans="1:19" x14ac:dyDescent="0.35">
      <c r="A96" s="1" t="s">
        <v>258</v>
      </c>
      <c r="B96" s="3">
        <v>45946</v>
      </c>
      <c r="C96" s="1" t="s">
        <v>35</v>
      </c>
      <c r="D96" s="1">
        <v>10</v>
      </c>
      <c r="E96" s="1" t="s">
        <v>259</v>
      </c>
      <c r="F96" s="1" t="s">
        <v>37</v>
      </c>
      <c r="G96" s="1" t="s">
        <v>64</v>
      </c>
      <c r="H96" s="1" t="s">
        <v>77</v>
      </c>
      <c r="I96" s="1" t="s">
        <v>78</v>
      </c>
      <c r="J96" s="1">
        <v>4</v>
      </c>
      <c r="K96" s="1">
        <v>705.37</v>
      </c>
      <c r="L96" s="1">
        <v>0.2</v>
      </c>
      <c r="M96" s="1">
        <v>2821.48</v>
      </c>
      <c r="N96" s="1">
        <v>564.29600000000005</v>
      </c>
      <c r="O96" s="1">
        <v>2257.1840000000002</v>
      </c>
      <c r="P96" s="1">
        <v>1625.17248</v>
      </c>
      <c r="Q96" s="1">
        <v>632.01152000000002</v>
      </c>
      <c r="R96" s="1">
        <v>28</v>
      </c>
      <c r="S96" s="1" t="s">
        <v>33</v>
      </c>
    </row>
    <row r="97" spans="1:19" x14ac:dyDescent="0.35">
      <c r="A97" s="1" t="s">
        <v>260</v>
      </c>
      <c r="B97" s="3">
        <v>46022</v>
      </c>
      <c r="C97" s="1" t="s">
        <v>67</v>
      </c>
      <c r="D97" s="1">
        <v>12</v>
      </c>
      <c r="E97" s="1" t="s">
        <v>142</v>
      </c>
      <c r="F97" s="1" t="s">
        <v>58</v>
      </c>
      <c r="G97" s="1" t="s">
        <v>64</v>
      </c>
      <c r="H97" s="1" t="s">
        <v>24</v>
      </c>
      <c r="I97" s="1" t="s">
        <v>44</v>
      </c>
      <c r="J97" s="1">
        <v>7</v>
      </c>
      <c r="K97" s="1">
        <v>4885.12</v>
      </c>
      <c r="L97" s="1">
        <v>0.05</v>
      </c>
      <c r="M97" s="1">
        <v>34195.839999999997</v>
      </c>
      <c r="N97" s="1">
        <v>1709.7919999999999</v>
      </c>
      <c r="O97" s="1">
        <v>32486.047999999999</v>
      </c>
      <c r="P97" s="1">
        <v>17867.326400000002</v>
      </c>
      <c r="Q97" s="1">
        <v>14618.721600000001</v>
      </c>
      <c r="R97" s="1">
        <v>44.999999999999993</v>
      </c>
      <c r="S97" s="1" t="s">
        <v>26</v>
      </c>
    </row>
    <row r="98" spans="1:19" x14ac:dyDescent="0.35">
      <c r="A98" s="1" t="s">
        <v>261</v>
      </c>
      <c r="B98" s="3">
        <v>45752</v>
      </c>
      <c r="C98" s="1" t="s">
        <v>20</v>
      </c>
      <c r="D98" s="1">
        <v>4</v>
      </c>
      <c r="E98" s="1" t="s">
        <v>80</v>
      </c>
      <c r="F98" s="1" t="s">
        <v>111</v>
      </c>
      <c r="G98" s="1" t="s">
        <v>38</v>
      </c>
      <c r="H98" s="1" t="s">
        <v>53</v>
      </c>
      <c r="I98" s="1" t="s">
        <v>54</v>
      </c>
      <c r="J98" s="1">
        <v>3</v>
      </c>
      <c r="K98" s="1">
        <v>1457.22</v>
      </c>
      <c r="L98" s="1">
        <v>0.15</v>
      </c>
      <c r="M98" s="1">
        <v>4371.66</v>
      </c>
      <c r="N98" s="1">
        <v>655.74899999999991</v>
      </c>
      <c r="O98" s="1">
        <v>3715.9110000000001</v>
      </c>
      <c r="P98" s="1">
        <v>2155.22838</v>
      </c>
      <c r="Q98" s="1">
        <v>1560.68262</v>
      </c>
      <c r="R98" s="1">
        <v>42</v>
      </c>
      <c r="S98" s="1" t="s">
        <v>73</v>
      </c>
    </row>
    <row r="99" spans="1:19" x14ac:dyDescent="0.35">
      <c r="A99" s="1" t="s">
        <v>262</v>
      </c>
      <c r="B99" s="3">
        <v>45959</v>
      </c>
      <c r="C99" s="1" t="s">
        <v>35</v>
      </c>
      <c r="D99" s="1">
        <v>10</v>
      </c>
      <c r="E99" s="1" t="s">
        <v>263</v>
      </c>
      <c r="F99" s="1" t="s">
        <v>43</v>
      </c>
      <c r="G99" s="1" t="s">
        <v>64</v>
      </c>
      <c r="H99" s="1" t="s">
        <v>53</v>
      </c>
      <c r="I99" s="1" t="s">
        <v>72</v>
      </c>
      <c r="J99" s="1">
        <v>4</v>
      </c>
      <c r="K99" s="1">
        <v>2288.4499999999998</v>
      </c>
      <c r="L99" s="1">
        <v>0.05</v>
      </c>
      <c r="M99" s="1">
        <v>9153.7999999999993</v>
      </c>
      <c r="N99" s="1">
        <v>457.69</v>
      </c>
      <c r="O99" s="1">
        <v>8696.1099999999988</v>
      </c>
      <c r="P99" s="1">
        <v>5043.7437999999993</v>
      </c>
      <c r="Q99" s="1">
        <v>3652.366199999999</v>
      </c>
      <c r="R99" s="1">
        <v>42</v>
      </c>
      <c r="S99" s="1" t="s">
        <v>26</v>
      </c>
    </row>
    <row r="100" spans="1:19" x14ac:dyDescent="0.35">
      <c r="A100" s="1" t="s">
        <v>264</v>
      </c>
      <c r="B100" s="3">
        <v>46013</v>
      </c>
      <c r="C100" s="1" t="s">
        <v>67</v>
      </c>
      <c r="D100" s="1">
        <v>12</v>
      </c>
      <c r="E100" s="1" t="s">
        <v>265</v>
      </c>
      <c r="F100" s="1" t="s">
        <v>76</v>
      </c>
      <c r="G100" s="1" t="s">
        <v>38</v>
      </c>
      <c r="H100" s="1" t="s">
        <v>24</v>
      </c>
      <c r="I100" s="1" t="s">
        <v>44</v>
      </c>
      <c r="J100" s="1">
        <v>5</v>
      </c>
      <c r="K100" s="1">
        <v>5573.75</v>
      </c>
      <c r="L100" s="1">
        <v>0.15</v>
      </c>
      <c r="M100" s="1">
        <v>27868.75</v>
      </c>
      <c r="N100" s="1">
        <v>4180.3125</v>
      </c>
      <c r="O100" s="1">
        <v>23688.4375</v>
      </c>
      <c r="P100" s="1">
        <v>13028.640625</v>
      </c>
      <c r="Q100" s="1">
        <v>10659.796875</v>
      </c>
      <c r="R100" s="1">
        <v>44.999999999999993</v>
      </c>
      <c r="S100" s="1" t="s">
        <v>60</v>
      </c>
    </row>
    <row r="101" spans="1:19" x14ac:dyDescent="0.35">
      <c r="A101" s="1" t="s">
        <v>266</v>
      </c>
      <c r="B101" s="3">
        <v>45708</v>
      </c>
      <c r="C101" s="1" t="s">
        <v>42</v>
      </c>
      <c r="D101" s="1">
        <v>2</v>
      </c>
      <c r="E101" s="1" t="s">
        <v>267</v>
      </c>
      <c r="F101" s="1" t="s">
        <v>111</v>
      </c>
      <c r="G101" s="1" t="s">
        <v>64</v>
      </c>
      <c r="H101" s="1" t="s">
        <v>31</v>
      </c>
      <c r="I101" s="1" t="s">
        <v>32</v>
      </c>
      <c r="J101" s="1">
        <v>6</v>
      </c>
      <c r="K101" s="1">
        <v>3283.41</v>
      </c>
      <c r="L101" s="1">
        <v>0.25</v>
      </c>
      <c r="M101" s="1">
        <v>19700.46</v>
      </c>
      <c r="N101" s="1">
        <v>4925.1149999999998</v>
      </c>
      <c r="O101" s="1">
        <v>14775.344999999999</v>
      </c>
      <c r="P101" s="1">
        <v>7683.1794</v>
      </c>
      <c r="Q101" s="1">
        <v>7092.1655999999994</v>
      </c>
      <c r="R101" s="1">
        <v>48</v>
      </c>
      <c r="S101" s="1" t="s">
        <v>33</v>
      </c>
    </row>
    <row r="102" spans="1:19" x14ac:dyDescent="0.35">
      <c r="A102" s="1" t="s">
        <v>268</v>
      </c>
      <c r="B102" s="3">
        <v>45839</v>
      </c>
      <c r="C102" s="1" t="s">
        <v>62</v>
      </c>
      <c r="D102" s="1">
        <v>7</v>
      </c>
      <c r="E102" s="1" t="s">
        <v>269</v>
      </c>
      <c r="F102" s="1" t="s">
        <v>43</v>
      </c>
      <c r="G102" s="1" t="s">
        <v>64</v>
      </c>
      <c r="H102" s="1" t="s">
        <v>39</v>
      </c>
      <c r="I102" s="1" t="s">
        <v>87</v>
      </c>
      <c r="J102" s="1">
        <v>1</v>
      </c>
      <c r="K102" s="1">
        <v>57584.09</v>
      </c>
      <c r="L102" s="1">
        <v>0.1</v>
      </c>
      <c r="M102" s="1">
        <v>57584.09</v>
      </c>
      <c r="N102" s="1">
        <v>5758.4089999999997</v>
      </c>
      <c r="O102" s="1">
        <v>51825.680999999997</v>
      </c>
      <c r="P102" s="1">
        <v>40424.031179999998</v>
      </c>
      <c r="Q102" s="1">
        <v>11401.649820000001</v>
      </c>
      <c r="R102" s="1">
        <v>22</v>
      </c>
      <c r="S102" s="1" t="s">
        <v>73</v>
      </c>
    </row>
    <row r="103" spans="1:19" x14ac:dyDescent="0.35">
      <c r="A103" s="1" t="s">
        <v>270</v>
      </c>
      <c r="B103" s="3">
        <v>45970</v>
      </c>
      <c r="C103" s="1" t="s">
        <v>56</v>
      </c>
      <c r="D103" s="1">
        <v>11</v>
      </c>
      <c r="E103" s="1" t="s">
        <v>175</v>
      </c>
      <c r="F103" s="1" t="s">
        <v>37</v>
      </c>
      <c r="G103" s="1" t="s">
        <v>38</v>
      </c>
      <c r="H103" s="1" t="s">
        <v>31</v>
      </c>
      <c r="I103" s="1" t="s">
        <v>32</v>
      </c>
      <c r="J103" s="1">
        <v>2</v>
      </c>
      <c r="K103" s="1">
        <v>1300.55</v>
      </c>
      <c r="L103" s="1">
        <v>0.1</v>
      </c>
      <c r="M103" s="1">
        <v>2601.1</v>
      </c>
      <c r="N103" s="1">
        <v>260.11</v>
      </c>
      <c r="O103" s="1">
        <v>2340.9899999999998</v>
      </c>
      <c r="P103" s="1">
        <v>1217.3148000000001</v>
      </c>
      <c r="Q103" s="1">
        <v>1123.6751999999999</v>
      </c>
      <c r="R103" s="1">
        <v>48</v>
      </c>
      <c r="S103" s="1" t="s">
        <v>73</v>
      </c>
    </row>
    <row r="104" spans="1:19" x14ac:dyDescent="0.35">
      <c r="A104" s="1" t="s">
        <v>271</v>
      </c>
      <c r="B104" s="3">
        <v>46004</v>
      </c>
      <c r="C104" s="1" t="s">
        <v>67</v>
      </c>
      <c r="D104" s="1">
        <v>12</v>
      </c>
      <c r="E104" s="1" t="s">
        <v>272</v>
      </c>
      <c r="F104" s="1" t="s">
        <v>30</v>
      </c>
      <c r="G104" s="1" t="s">
        <v>64</v>
      </c>
      <c r="H104" s="1" t="s">
        <v>39</v>
      </c>
      <c r="I104" s="1" t="s">
        <v>234</v>
      </c>
      <c r="J104" s="1">
        <v>3</v>
      </c>
      <c r="K104" s="1">
        <v>9872.26</v>
      </c>
      <c r="L104" s="1">
        <v>0.25</v>
      </c>
      <c r="M104" s="1">
        <v>29616.78</v>
      </c>
      <c r="N104" s="1">
        <v>7404.1949999999997</v>
      </c>
      <c r="O104" s="1">
        <v>22212.584999999999</v>
      </c>
      <c r="P104" s="1">
        <v>17325.816299999999</v>
      </c>
      <c r="Q104" s="1">
        <v>4886.7687000000014</v>
      </c>
      <c r="R104" s="1">
        <v>22</v>
      </c>
      <c r="S104" s="1" t="s">
        <v>93</v>
      </c>
    </row>
    <row r="105" spans="1:19" x14ac:dyDescent="0.35">
      <c r="A105" s="1" t="s">
        <v>273</v>
      </c>
      <c r="B105" s="3">
        <v>46001</v>
      </c>
      <c r="C105" s="1" t="s">
        <v>67</v>
      </c>
      <c r="D105" s="1">
        <v>12</v>
      </c>
      <c r="E105" s="1" t="s">
        <v>274</v>
      </c>
      <c r="F105" s="1" t="s">
        <v>47</v>
      </c>
      <c r="G105" s="1" t="s">
        <v>64</v>
      </c>
      <c r="H105" s="1" t="s">
        <v>39</v>
      </c>
      <c r="I105" s="1" t="s">
        <v>87</v>
      </c>
      <c r="J105" s="1">
        <v>1</v>
      </c>
      <c r="K105" s="1">
        <v>52488.26</v>
      </c>
      <c r="L105" s="1">
        <v>0.05</v>
      </c>
      <c r="M105" s="1">
        <v>52488.26</v>
      </c>
      <c r="N105" s="1">
        <v>2624.413</v>
      </c>
      <c r="O105" s="1">
        <v>49863.847000000002</v>
      </c>
      <c r="P105" s="1">
        <v>38893.800660000001</v>
      </c>
      <c r="Q105" s="1">
        <v>10970.046340000001</v>
      </c>
      <c r="R105" s="1">
        <v>22</v>
      </c>
      <c r="S105" s="1" t="s">
        <v>60</v>
      </c>
    </row>
    <row r="106" spans="1:19" x14ac:dyDescent="0.35">
      <c r="A106" s="1" t="s">
        <v>275</v>
      </c>
      <c r="B106" s="3">
        <v>45741</v>
      </c>
      <c r="C106" s="1" t="s">
        <v>28</v>
      </c>
      <c r="D106" s="1">
        <v>3</v>
      </c>
      <c r="E106" s="1" t="s">
        <v>276</v>
      </c>
      <c r="F106" s="1" t="s">
        <v>30</v>
      </c>
      <c r="G106" s="1" t="s">
        <v>64</v>
      </c>
      <c r="H106" s="1" t="s">
        <v>39</v>
      </c>
      <c r="I106" s="1" t="s">
        <v>87</v>
      </c>
      <c r="J106" s="1">
        <v>1</v>
      </c>
      <c r="K106" s="1">
        <v>39766.410000000003</v>
      </c>
      <c r="L106" s="1">
        <v>0.2</v>
      </c>
      <c r="M106" s="1">
        <v>39766.410000000003</v>
      </c>
      <c r="N106" s="1">
        <v>7953.2820000000011</v>
      </c>
      <c r="O106" s="1">
        <v>31813.128000000001</v>
      </c>
      <c r="P106" s="1">
        <v>24814.239840000009</v>
      </c>
      <c r="Q106" s="1">
        <v>6998.8881599999986</v>
      </c>
      <c r="R106" s="1">
        <v>21.999999999999989</v>
      </c>
      <c r="S106" s="1" t="s">
        <v>93</v>
      </c>
    </row>
    <row r="107" spans="1:19" x14ac:dyDescent="0.35">
      <c r="A107" s="1" t="s">
        <v>277</v>
      </c>
      <c r="B107" s="3">
        <v>45872</v>
      </c>
      <c r="C107" s="1" t="s">
        <v>113</v>
      </c>
      <c r="D107" s="1">
        <v>8</v>
      </c>
      <c r="E107" s="1" t="s">
        <v>278</v>
      </c>
      <c r="F107" s="1" t="s">
        <v>76</v>
      </c>
      <c r="G107" s="1" t="s">
        <v>64</v>
      </c>
      <c r="H107" s="1" t="s">
        <v>53</v>
      </c>
      <c r="I107" s="1" t="s">
        <v>123</v>
      </c>
      <c r="J107" s="1">
        <v>3</v>
      </c>
      <c r="K107" s="1">
        <v>2019.48</v>
      </c>
      <c r="L107" s="1">
        <v>0.1</v>
      </c>
      <c r="M107" s="1">
        <v>6058.4400000000014</v>
      </c>
      <c r="N107" s="1">
        <v>605.84400000000005</v>
      </c>
      <c r="O107" s="1">
        <v>5452.5959999999995</v>
      </c>
      <c r="P107" s="1">
        <v>3162.5056800000002</v>
      </c>
      <c r="Q107" s="1">
        <v>2290.0903199999998</v>
      </c>
      <c r="R107" s="1">
        <v>42</v>
      </c>
      <c r="S107" s="1" t="s">
        <v>26</v>
      </c>
    </row>
    <row r="108" spans="1:19" x14ac:dyDescent="0.35">
      <c r="A108" s="1" t="s">
        <v>279</v>
      </c>
      <c r="B108" s="3">
        <v>45675</v>
      </c>
      <c r="C108" s="1" t="s">
        <v>193</v>
      </c>
      <c r="D108" s="1">
        <v>1</v>
      </c>
      <c r="E108" s="1" t="s">
        <v>225</v>
      </c>
      <c r="F108" s="1" t="s">
        <v>47</v>
      </c>
      <c r="G108" s="1" t="s">
        <v>23</v>
      </c>
      <c r="H108" s="1" t="s">
        <v>39</v>
      </c>
      <c r="I108" s="1" t="s">
        <v>40</v>
      </c>
      <c r="J108" s="1">
        <v>6</v>
      </c>
      <c r="K108" s="1">
        <v>48701.37</v>
      </c>
      <c r="L108" s="1">
        <v>0.1</v>
      </c>
      <c r="M108" s="1">
        <v>292208.21999999997</v>
      </c>
      <c r="N108" s="1">
        <v>29220.822</v>
      </c>
      <c r="O108" s="1">
        <v>262987.39799999999</v>
      </c>
      <c r="P108" s="1">
        <v>205130.17043999999</v>
      </c>
      <c r="Q108" s="1">
        <v>57857.227559999999</v>
      </c>
      <c r="R108" s="1">
        <v>22</v>
      </c>
      <c r="S108" s="1" t="s">
        <v>33</v>
      </c>
    </row>
    <row r="109" spans="1:19" x14ac:dyDescent="0.35">
      <c r="A109" s="1" t="s">
        <v>280</v>
      </c>
      <c r="B109" s="3">
        <v>45921</v>
      </c>
      <c r="C109" s="1" t="s">
        <v>50</v>
      </c>
      <c r="D109" s="1">
        <v>9</v>
      </c>
      <c r="E109" s="1" t="s">
        <v>281</v>
      </c>
      <c r="F109" s="1" t="s">
        <v>76</v>
      </c>
      <c r="G109" s="1" t="s">
        <v>38</v>
      </c>
      <c r="H109" s="1" t="s">
        <v>31</v>
      </c>
      <c r="I109" s="1" t="s">
        <v>59</v>
      </c>
      <c r="J109" s="1">
        <v>7</v>
      </c>
      <c r="K109" s="1">
        <v>3322.18</v>
      </c>
      <c r="L109" s="1">
        <v>0.1</v>
      </c>
      <c r="M109" s="1">
        <v>23255.26</v>
      </c>
      <c r="N109" s="1">
        <v>2325.5259999999998</v>
      </c>
      <c r="O109" s="1">
        <v>20929.734</v>
      </c>
      <c r="P109" s="1">
        <v>10883.46168</v>
      </c>
      <c r="Q109" s="1">
        <v>10046.27232</v>
      </c>
      <c r="R109" s="1">
        <v>48</v>
      </c>
      <c r="S109" s="1" t="s">
        <v>73</v>
      </c>
    </row>
    <row r="110" spans="1:19" x14ac:dyDescent="0.35">
      <c r="A110" s="1" t="s">
        <v>282</v>
      </c>
      <c r="B110" s="3">
        <v>46006</v>
      </c>
      <c r="C110" s="1" t="s">
        <v>67</v>
      </c>
      <c r="D110" s="1">
        <v>12</v>
      </c>
      <c r="E110" s="1" t="s">
        <v>283</v>
      </c>
      <c r="F110" s="1" t="s">
        <v>30</v>
      </c>
      <c r="G110" s="1" t="s">
        <v>23</v>
      </c>
      <c r="H110" s="1" t="s">
        <v>39</v>
      </c>
      <c r="I110" s="1" t="s">
        <v>87</v>
      </c>
      <c r="J110" s="1">
        <v>1</v>
      </c>
      <c r="K110" s="1">
        <v>20652.41</v>
      </c>
      <c r="L110" s="1">
        <v>0.05</v>
      </c>
      <c r="M110" s="1">
        <v>20652.41</v>
      </c>
      <c r="N110" s="1">
        <v>1032.6205</v>
      </c>
      <c r="O110" s="1">
        <v>19619.789499999999</v>
      </c>
      <c r="P110" s="1">
        <v>15303.435810000001</v>
      </c>
      <c r="Q110" s="1">
        <v>4316.3536899999999</v>
      </c>
      <c r="R110" s="1">
        <v>22</v>
      </c>
      <c r="S110" s="1" t="s">
        <v>93</v>
      </c>
    </row>
    <row r="111" spans="1:19" x14ac:dyDescent="0.35">
      <c r="A111" s="1" t="s">
        <v>284</v>
      </c>
      <c r="B111" s="3">
        <v>45724</v>
      </c>
      <c r="C111" s="1" t="s">
        <v>28</v>
      </c>
      <c r="D111" s="1">
        <v>3</v>
      </c>
      <c r="E111" s="1" t="s">
        <v>285</v>
      </c>
      <c r="F111" s="1" t="s">
        <v>30</v>
      </c>
      <c r="G111" s="1" t="s">
        <v>23</v>
      </c>
      <c r="H111" s="1" t="s">
        <v>53</v>
      </c>
      <c r="I111" s="1" t="s">
        <v>128</v>
      </c>
      <c r="J111" s="1">
        <v>1</v>
      </c>
      <c r="K111" s="1">
        <v>1436.13</v>
      </c>
      <c r="L111" s="1">
        <v>0.15</v>
      </c>
      <c r="M111" s="1">
        <v>1436.13</v>
      </c>
      <c r="N111" s="1">
        <v>215.4195</v>
      </c>
      <c r="O111" s="1">
        <v>1220.7104999999999</v>
      </c>
      <c r="P111" s="1">
        <v>708.01209000000006</v>
      </c>
      <c r="Q111" s="1">
        <v>512.69841000000008</v>
      </c>
      <c r="R111" s="1">
        <v>42.000000000000007</v>
      </c>
      <c r="S111" s="1" t="s">
        <v>33</v>
      </c>
    </row>
    <row r="112" spans="1:19" x14ac:dyDescent="0.35">
      <c r="A112" s="1" t="s">
        <v>286</v>
      </c>
      <c r="B112" s="3">
        <v>45822</v>
      </c>
      <c r="C112" s="1" t="s">
        <v>82</v>
      </c>
      <c r="D112" s="1">
        <v>6</v>
      </c>
      <c r="E112" s="1" t="s">
        <v>227</v>
      </c>
      <c r="F112" s="1" t="s">
        <v>37</v>
      </c>
      <c r="G112" s="1" t="s">
        <v>38</v>
      </c>
      <c r="H112" s="1" t="s">
        <v>77</v>
      </c>
      <c r="I112" s="1" t="s">
        <v>148</v>
      </c>
      <c r="J112" s="1">
        <v>5</v>
      </c>
      <c r="K112" s="1">
        <v>517.35</v>
      </c>
      <c r="L112" s="1">
        <v>0.1</v>
      </c>
      <c r="M112" s="1">
        <v>2586.75</v>
      </c>
      <c r="N112" s="1">
        <v>258.67500000000001</v>
      </c>
      <c r="O112" s="1">
        <v>2328.0749999999998</v>
      </c>
      <c r="P112" s="1">
        <v>1676.2139999999999</v>
      </c>
      <c r="Q112" s="1">
        <v>651.8610000000001</v>
      </c>
      <c r="R112" s="1">
        <v>28.000000000000011</v>
      </c>
      <c r="S112" s="1" t="s">
        <v>93</v>
      </c>
    </row>
    <row r="113" spans="1:19" x14ac:dyDescent="0.35">
      <c r="A113" s="1" t="s">
        <v>287</v>
      </c>
      <c r="B113" s="3">
        <v>45804</v>
      </c>
      <c r="C113" s="1" t="s">
        <v>97</v>
      </c>
      <c r="D113" s="1">
        <v>5</v>
      </c>
      <c r="E113" s="1" t="s">
        <v>51</v>
      </c>
      <c r="F113" s="1" t="s">
        <v>76</v>
      </c>
      <c r="G113" s="1" t="s">
        <v>38</v>
      </c>
      <c r="H113" s="1" t="s">
        <v>31</v>
      </c>
      <c r="I113" s="1" t="s">
        <v>65</v>
      </c>
      <c r="J113" s="1">
        <v>3</v>
      </c>
      <c r="K113" s="1">
        <v>2124.04</v>
      </c>
      <c r="L113" s="1">
        <v>0.1</v>
      </c>
      <c r="M113" s="1">
        <v>6372.12</v>
      </c>
      <c r="N113" s="1">
        <v>637.21199999999999</v>
      </c>
      <c r="O113" s="1">
        <v>5734.9079999999994</v>
      </c>
      <c r="P113" s="1">
        <v>2982.1521600000001</v>
      </c>
      <c r="Q113" s="1">
        <v>2752.7558399999998</v>
      </c>
      <c r="R113" s="1">
        <v>48.000000000000007</v>
      </c>
      <c r="S113" s="1" t="s">
        <v>33</v>
      </c>
    </row>
    <row r="114" spans="1:19" x14ac:dyDescent="0.35">
      <c r="A114" s="1" t="s">
        <v>288</v>
      </c>
      <c r="B114" s="3">
        <v>45668</v>
      </c>
      <c r="C114" s="1" t="s">
        <v>193</v>
      </c>
      <c r="D114" s="1">
        <v>1</v>
      </c>
      <c r="E114" s="1" t="s">
        <v>289</v>
      </c>
      <c r="F114" s="1" t="s">
        <v>111</v>
      </c>
      <c r="G114" s="1" t="s">
        <v>64</v>
      </c>
      <c r="H114" s="1" t="s">
        <v>99</v>
      </c>
      <c r="I114" s="1" t="s">
        <v>223</v>
      </c>
      <c r="J114" s="1">
        <v>7</v>
      </c>
      <c r="K114" s="1">
        <v>11043.08</v>
      </c>
      <c r="L114" s="1">
        <v>0.15</v>
      </c>
      <c r="M114" s="1">
        <v>77301.56</v>
      </c>
      <c r="N114" s="1">
        <v>11595.234</v>
      </c>
      <c r="O114" s="1">
        <v>65706.326000000001</v>
      </c>
      <c r="P114" s="1">
        <v>44680.301679999997</v>
      </c>
      <c r="Q114" s="1">
        <v>21026.02432</v>
      </c>
      <c r="R114" s="1">
        <v>32</v>
      </c>
      <c r="S114" s="1" t="s">
        <v>73</v>
      </c>
    </row>
    <row r="115" spans="1:19" x14ac:dyDescent="0.35">
      <c r="A115" s="1" t="s">
        <v>290</v>
      </c>
      <c r="B115" s="3">
        <v>45710</v>
      </c>
      <c r="C115" s="1" t="s">
        <v>42</v>
      </c>
      <c r="D115" s="1">
        <v>2</v>
      </c>
      <c r="E115" s="1" t="s">
        <v>291</v>
      </c>
      <c r="F115" s="1" t="s">
        <v>76</v>
      </c>
      <c r="G115" s="1" t="s">
        <v>23</v>
      </c>
      <c r="H115" s="1" t="s">
        <v>24</v>
      </c>
      <c r="I115" s="1" t="s">
        <v>25</v>
      </c>
      <c r="J115" s="1">
        <v>3</v>
      </c>
      <c r="K115" s="1">
        <v>5716.49</v>
      </c>
      <c r="L115" s="1">
        <v>0.2</v>
      </c>
      <c r="M115" s="1">
        <v>17149.47</v>
      </c>
      <c r="N115" s="1">
        <v>3429.8939999999998</v>
      </c>
      <c r="O115" s="1">
        <v>13719.575999999999</v>
      </c>
      <c r="P115" s="1">
        <v>7545.7668000000012</v>
      </c>
      <c r="Q115" s="1">
        <v>6173.8091999999997</v>
      </c>
      <c r="R115" s="1">
        <v>44.999999999999993</v>
      </c>
      <c r="S115" s="1" t="s">
        <v>60</v>
      </c>
    </row>
    <row r="116" spans="1:19" x14ac:dyDescent="0.35">
      <c r="A116" s="1" t="s">
        <v>292</v>
      </c>
      <c r="B116" s="3">
        <v>45772</v>
      </c>
      <c r="C116" s="1" t="s">
        <v>20</v>
      </c>
      <c r="D116" s="1">
        <v>4</v>
      </c>
      <c r="E116" s="1" t="s">
        <v>293</v>
      </c>
      <c r="F116" s="1" t="s">
        <v>22</v>
      </c>
      <c r="G116" s="1" t="s">
        <v>64</v>
      </c>
      <c r="H116" s="1" t="s">
        <v>39</v>
      </c>
      <c r="I116" s="1" t="s">
        <v>40</v>
      </c>
      <c r="J116" s="1">
        <v>6</v>
      </c>
      <c r="K116" s="1">
        <v>50276.160000000003</v>
      </c>
      <c r="L116" s="1">
        <v>0.15</v>
      </c>
      <c r="M116" s="1">
        <v>301656.96000000002</v>
      </c>
      <c r="N116" s="1">
        <v>45248.544000000002</v>
      </c>
      <c r="O116" s="1">
        <v>256408.416</v>
      </c>
      <c r="P116" s="1">
        <v>199998.56448</v>
      </c>
      <c r="Q116" s="1">
        <v>56409.851519999997</v>
      </c>
      <c r="R116" s="1">
        <v>22</v>
      </c>
      <c r="S116" s="1" t="s">
        <v>33</v>
      </c>
    </row>
    <row r="117" spans="1:19" x14ac:dyDescent="0.35">
      <c r="A117" s="1" t="s">
        <v>294</v>
      </c>
      <c r="B117" s="3">
        <v>45811</v>
      </c>
      <c r="C117" s="1" t="s">
        <v>82</v>
      </c>
      <c r="D117" s="1">
        <v>6</v>
      </c>
      <c r="E117" s="1" t="s">
        <v>295</v>
      </c>
      <c r="F117" s="1" t="s">
        <v>52</v>
      </c>
      <c r="G117" s="1" t="s">
        <v>23</v>
      </c>
      <c r="H117" s="1" t="s">
        <v>99</v>
      </c>
      <c r="I117" s="1" t="s">
        <v>120</v>
      </c>
      <c r="J117" s="1">
        <v>5</v>
      </c>
      <c r="K117" s="1">
        <v>6362.78</v>
      </c>
      <c r="L117" s="1">
        <v>0.05</v>
      </c>
      <c r="M117" s="1">
        <v>31813.9</v>
      </c>
      <c r="N117" s="1">
        <v>1590.6949999999999</v>
      </c>
      <c r="O117" s="1">
        <v>30223.205000000002</v>
      </c>
      <c r="P117" s="1">
        <v>20551.779399999999</v>
      </c>
      <c r="Q117" s="1">
        <v>9671.4255999999987</v>
      </c>
      <c r="R117" s="1">
        <v>32</v>
      </c>
      <c r="S117" s="1" t="s">
        <v>73</v>
      </c>
    </row>
    <row r="118" spans="1:19" x14ac:dyDescent="0.35">
      <c r="A118" s="1" t="s">
        <v>296</v>
      </c>
      <c r="B118" s="3">
        <v>46013</v>
      </c>
      <c r="C118" s="1" t="s">
        <v>67</v>
      </c>
      <c r="D118" s="1">
        <v>12</v>
      </c>
      <c r="E118" s="1" t="s">
        <v>297</v>
      </c>
      <c r="F118" s="1" t="s">
        <v>22</v>
      </c>
      <c r="G118" s="1" t="s">
        <v>64</v>
      </c>
      <c r="H118" s="1" t="s">
        <v>39</v>
      </c>
      <c r="I118" s="1" t="s">
        <v>214</v>
      </c>
      <c r="J118" s="1">
        <v>6</v>
      </c>
      <c r="K118" s="1">
        <v>11829</v>
      </c>
      <c r="L118" s="1">
        <v>0.1</v>
      </c>
      <c r="M118" s="1">
        <v>70974</v>
      </c>
      <c r="N118" s="1">
        <v>7097.4000000000005</v>
      </c>
      <c r="O118" s="1">
        <v>63876.6</v>
      </c>
      <c r="P118" s="1">
        <v>49823.748</v>
      </c>
      <c r="Q118" s="1">
        <v>14052.852000000001</v>
      </c>
      <c r="R118" s="1">
        <v>22</v>
      </c>
      <c r="S118" s="1" t="s">
        <v>93</v>
      </c>
    </row>
    <row r="119" spans="1:19" x14ac:dyDescent="0.35">
      <c r="A119" s="1" t="s">
        <v>298</v>
      </c>
      <c r="B119" s="3">
        <v>45684</v>
      </c>
      <c r="C119" s="1" t="s">
        <v>193</v>
      </c>
      <c r="D119" s="1">
        <v>1</v>
      </c>
      <c r="E119" s="1" t="s">
        <v>299</v>
      </c>
      <c r="F119" s="1" t="s">
        <v>43</v>
      </c>
      <c r="G119" s="1" t="s">
        <v>64</v>
      </c>
      <c r="H119" s="1" t="s">
        <v>39</v>
      </c>
      <c r="I119" s="1" t="s">
        <v>214</v>
      </c>
      <c r="J119" s="1">
        <v>7</v>
      </c>
      <c r="K119" s="1">
        <v>57811.73</v>
      </c>
      <c r="L119" s="1">
        <v>0.15</v>
      </c>
      <c r="M119" s="1">
        <v>404682.11</v>
      </c>
      <c r="N119" s="1">
        <v>60702.316500000001</v>
      </c>
      <c r="O119" s="1">
        <v>343979.79350000003</v>
      </c>
      <c r="P119" s="1">
        <v>268304.23893000011</v>
      </c>
      <c r="Q119" s="1">
        <v>75675.554569999978</v>
      </c>
      <c r="R119" s="1">
        <v>21.999999999999989</v>
      </c>
      <c r="S119" s="1" t="s">
        <v>93</v>
      </c>
    </row>
    <row r="120" spans="1:19" x14ac:dyDescent="0.35">
      <c r="A120" s="1" t="s">
        <v>300</v>
      </c>
      <c r="B120" s="3">
        <v>45847</v>
      </c>
      <c r="C120" s="1" t="s">
        <v>62</v>
      </c>
      <c r="D120" s="1">
        <v>7</v>
      </c>
      <c r="E120" s="1" t="s">
        <v>301</v>
      </c>
      <c r="F120" s="1" t="s">
        <v>69</v>
      </c>
      <c r="G120" s="1" t="s">
        <v>64</v>
      </c>
      <c r="H120" s="1" t="s">
        <v>99</v>
      </c>
      <c r="I120" s="1" t="s">
        <v>108</v>
      </c>
      <c r="J120" s="1">
        <v>6</v>
      </c>
      <c r="K120" s="1">
        <v>3556.73</v>
      </c>
      <c r="L120" s="1">
        <v>0.05</v>
      </c>
      <c r="M120" s="1">
        <v>21340.38</v>
      </c>
      <c r="N120" s="1">
        <v>1067.019</v>
      </c>
      <c r="O120" s="1">
        <v>20273.361000000001</v>
      </c>
      <c r="P120" s="1">
        <v>13785.885480000001</v>
      </c>
      <c r="Q120" s="1">
        <v>6487.47552</v>
      </c>
      <c r="R120" s="1">
        <v>32</v>
      </c>
      <c r="S120" s="1" t="s">
        <v>26</v>
      </c>
    </row>
    <row r="121" spans="1:19" x14ac:dyDescent="0.35">
      <c r="A121" s="1" t="s">
        <v>302</v>
      </c>
      <c r="B121" s="3">
        <v>45939</v>
      </c>
      <c r="C121" s="1" t="s">
        <v>35</v>
      </c>
      <c r="D121" s="1">
        <v>10</v>
      </c>
      <c r="E121" s="1" t="s">
        <v>303</v>
      </c>
      <c r="F121" s="1" t="s">
        <v>76</v>
      </c>
      <c r="G121" s="1" t="s">
        <v>38</v>
      </c>
      <c r="H121" s="1" t="s">
        <v>31</v>
      </c>
      <c r="I121" s="1" t="s">
        <v>190</v>
      </c>
      <c r="J121" s="1">
        <v>5</v>
      </c>
      <c r="K121" s="1">
        <v>2962.36</v>
      </c>
      <c r="L121" s="1">
        <v>0.1</v>
      </c>
      <c r="M121" s="1">
        <v>14811.8</v>
      </c>
      <c r="N121" s="1">
        <v>1481.18</v>
      </c>
      <c r="O121" s="1">
        <v>13330.62</v>
      </c>
      <c r="P121" s="1">
        <v>6931.9224000000004</v>
      </c>
      <c r="Q121" s="1">
        <v>6398.6976000000004</v>
      </c>
      <c r="R121" s="1">
        <v>48</v>
      </c>
      <c r="S121" s="1" t="s">
        <v>73</v>
      </c>
    </row>
    <row r="122" spans="1:19" x14ac:dyDescent="0.35">
      <c r="A122" s="1" t="s">
        <v>304</v>
      </c>
      <c r="B122" s="3">
        <v>45712</v>
      </c>
      <c r="C122" s="1" t="s">
        <v>42</v>
      </c>
      <c r="D122" s="1">
        <v>2</v>
      </c>
      <c r="E122" s="1" t="s">
        <v>136</v>
      </c>
      <c r="F122" s="1" t="s">
        <v>58</v>
      </c>
      <c r="G122" s="1" t="s">
        <v>38</v>
      </c>
      <c r="H122" s="1" t="s">
        <v>77</v>
      </c>
      <c r="I122" s="1" t="s">
        <v>90</v>
      </c>
      <c r="J122" s="1">
        <v>6</v>
      </c>
      <c r="K122" s="1">
        <v>892.46</v>
      </c>
      <c r="L122" s="1">
        <v>0.05</v>
      </c>
      <c r="M122" s="1">
        <v>5354.76</v>
      </c>
      <c r="N122" s="1">
        <v>267.738</v>
      </c>
      <c r="O122" s="1">
        <v>5087.0219999999999</v>
      </c>
      <c r="P122" s="1">
        <v>3662.6558399999999</v>
      </c>
      <c r="Q122" s="1">
        <v>1424.36616</v>
      </c>
      <c r="R122" s="1">
        <v>28</v>
      </c>
      <c r="S122" s="1" t="s">
        <v>33</v>
      </c>
    </row>
    <row r="123" spans="1:19" x14ac:dyDescent="0.35">
      <c r="A123" s="1" t="s">
        <v>305</v>
      </c>
      <c r="B123" s="3">
        <v>45994</v>
      </c>
      <c r="C123" s="1" t="s">
        <v>67</v>
      </c>
      <c r="D123" s="1">
        <v>12</v>
      </c>
      <c r="E123" s="1" t="s">
        <v>274</v>
      </c>
      <c r="F123" s="1" t="s">
        <v>47</v>
      </c>
      <c r="G123" s="1" t="s">
        <v>64</v>
      </c>
      <c r="H123" s="1" t="s">
        <v>77</v>
      </c>
      <c r="I123" s="1" t="s">
        <v>148</v>
      </c>
      <c r="J123" s="1">
        <v>3</v>
      </c>
      <c r="K123" s="1">
        <v>736.37</v>
      </c>
      <c r="L123" s="1">
        <v>0.1</v>
      </c>
      <c r="M123" s="1">
        <v>2209.11</v>
      </c>
      <c r="N123" s="1">
        <v>220.911</v>
      </c>
      <c r="O123" s="1">
        <v>1988.1990000000001</v>
      </c>
      <c r="P123" s="1">
        <v>1431.5032799999999</v>
      </c>
      <c r="Q123" s="1">
        <v>556.69572000000016</v>
      </c>
      <c r="R123" s="1">
        <v>28.000000000000011</v>
      </c>
      <c r="S123" s="1" t="s">
        <v>60</v>
      </c>
    </row>
    <row r="124" spans="1:19" x14ac:dyDescent="0.35">
      <c r="A124" s="1" t="s">
        <v>306</v>
      </c>
      <c r="B124" s="3">
        <v>45953</v>
      </c>
      <c r="C124" s="1" t="s">
        <v>35</v>
      </c>
      <c r="D124" s="1">
        <v>10</v>
      </c>
      <c r="E124" s="1" t="s">
        <v>307</v>
      </c>
      <c r="F124" s="1" t="s">
        <v>43</v>
      </c>
      <c r="G124" s="1" t="s">
        <v>38</v>
      </c>
      <c r="H124" s="1" t="s">
        <v>39</v>
      </c>
      <c r="I124" s="1" t="s">
        <v>40</v>
      </c>
      <c r="J124" s="1">
        <v>1</v>
      </c>
      <c r="K124" s="1">
        <v>36243.01</v>
      </c>
      <c r="L124" s="1">
        <v>0.15</v>
      </c>
      <c r="M124" s="1">
        <v>36243.01</v>
      </c>
      <c r="N124" s="1">
        <v>5436.4515000000001</v>
      </c>
      <c r="O124" s="1">
        <v>30806.558499999999</v>
      </c>
      <c r="P124" s="1">
        <v>24029.11563</v>
      </c>
      <c r="Q124" s="1">
        <v>6777.4428699999989</v>
      </c>
      <c r="R124" s="1">
        <v>21.999999999999989</v>
      </c>
      <c r="S124" s="1" t="s">
        <v>26</v>
      </c>
    </row>
    <row r="125" spans="1:19" x14ac:dyDescent="0.35">
      <c r="A125" s="1" t="s">
        <v>308</v>
      </c>
      <c r="B125" s="3">
        <v>45886</v>
      </c>
      <c r="C125" s="1" t="s">
        <v>113</v>
      </c>
      <c r="D125" s="1">
        <v>8</v>
      </c>
      <c r="E125" s="1" t="s">
        <v>309</v>
      </c>
      <c r="F125" s="1" t="s">
        <v>69</v>
      </c>
      <c r="G125" s="1" t="s">
        <v>64</v>
      </c>
      <c r="H125" s="1" t="s">
        <v>24</v>
      </c>
      <c r="I125" s="1" t="s">
        <v>48</v>
      </c>
      <c r="J125" s="1">
        <v>4</v>
      </c>
      <c r="K125" s="1">
        <v>5822.35</v>
      </c>
      <c r="L125" s="1">
        <v>0</v>
      </c>
      <c r="M125" s="1">
        <v>23289.4</v>
      </c>
      <c r="N125" s="1">
        <v>0</v>
      </c>
      <c r="O125" s="1">
        <v>23289.4</v>
      </c>
      <c r="P125" s="1">
        <v>12809.17</v>
      </c>
      <c r="Q125" s="1">
        <v>10480.23</v>
      </c>
      <c r="R125" s="1">
        <v>44.999999999999993</v>
      </c>
      <c r="S125" s="1" t="s">
        <v>26</v>
      </c>
    </row>
    <row r="126" spans="1:19" x14ac:dyDescent="0.35">
      <c r="A126" s="1" t="s">
        <v>310</v>
      </c>
      <c r="B126" s="3">
        <v>45962</v>
      </c>
      <c r="C126" s="1" t="s">
        <v>56</v>
      </c>
      <c r="D126" s="1">
        <v>11</v>
      </c>
      <c r="E126" s="1" t="s">
        <v>309</v>
      </c>
      <c r="F126" s="1" t="s">
        <v>30</v>
      </c>
      <c r="G126" s="1" t="s">
        <v>38</v>
      </c>
      <c r="H126" s="1" t="s">
        <v>31</v>
      </c>
      <c r="I126" s="1" t="s">
        <v>65</v>
      </c>
      <c r="J126" s="1">
        <v>1</v>
      </c>
      <c r="K126" s="1">
        <v>3335.78</v>
      </c>
      <c r="L126" s="1">
        <v>0.1</v>
      </c>
      <c r="M126" s="1">
        <v>3335.78</v>
      </c>
      <c r="N126" s="1">
        <v>333.57799999999997</v>
      </c>
      <c r="O126" s="1">
        <v>3002.2020000000002</v>
      </c>
      <c r="P126" s="1">
        <v>1561.1450400000001</v>
      </c>
      <c r="Q126" s="1">
        <v>1441.0569599999999</v>
      </c>
      <c r="R126" s="1">
        <v>48</v>
      </c>
      <c r="S126" s="1" t="s">
        <v>60</v>
      </c>
    </row>
    <row r="127" spans="1:19" x14ac:dyDescent="0.35">
      <c r="A127" s="1" t="s">
        <v>311</v>
      </c>
      <c r="B127" s="3">
        <v>45872</v>
      </c>
      <c r="C127" s="1" t="s">
        <v>113</v>
      </c>
      <c r="D127" s="1">
        <v>8</v>
      </c>
      <c r="E127" s="1" t="s">
        <v>312</v>
      </c>
      <c r="F127" s="1" t="s">
        <v>37</v>
      </c>
      <c r="G127" s="1" t="s">
        <v>64</v>
      </c>
      <c r="H127" s="1" t="s">
        <v>31</v>
      </c>
      <c r="I127" s="1" t="s">
        <v>65</v>
      </c>
      <c r="J127" s="1">
        <v>6</v>
      </c>
      <c r="K127" s="1">
        <v>2302.86</v>
      </c>
      <c r="L127" s="1">
        <v>0.3</v>
      </c>
      <c r="M127" s="1">
        <v>13817.16</v>
      </c>
      <c r="N127" s="1">
        <v>4145.1480000000001</v>
      </c>
      <c r="O127" s="1">
        <v>9672.0119999999988</v>
      </c>
      <c r="P127" s="1">
        <v>5029.4462399999993</v>
      </c>
      <c r="Q127" s="1">
        <v>4642.5657599999986</v>
      </c>
      <c r="R127" s="1">
        <v>48</v>
      </c>
      <c r="S127" s="1" t="s">
        <v>73</v>
      </c>
    </row>
    <row r="128" spans="1:19" x14ac:dyDescent="0.35">
      <c r="A128" s="1" t="s">
        <v>313</v>
      </c>
      <c r="B128" s="3">
        <v>45704</v>
      </c>
      <c r="C128" s="1" t="s">
        <v>42</v>
      </c>
      <c r="D128" s="1">
        <v>2</v>
      </c>
      <c r="E128" s="1" t="s">
        <v>152</v>
      </c>
      <c r="F128" s="1" t="s">
        <v>37</v>
      </c>
      <c r="G128" s="1" t="s">
        <v>38</v>
      </c>
      <c r="H128" s="1" t="s">
        <v>99</v>
      </c>
      <c r="I128" s="1" t="s">
        <v>120</v>
      </c>
      <c r="J128" s="1">
        <v>7</v>
      </c>
      <c r="K128" s="1">
        <v>24985.45</v>
      </c>
      <c r="L128" s="1">
        <v>0.15</v>
      </c>
      <c r="M128" s="1">
        <v>174898.15</v>
      </c>
      <c r="N128" s="1">
        <v>26234.7225</v>
      </c>
      <c r="O128" s="1">
        <v>148663.42749999999</v>
      </c>
      <c r="P128" s="1">
        <v>101091.13069999999</v>
      </c>
      <c r="Q128" s="1">
        <v>47572.296799999996</v>
      </c>
      <c r="R128" s="1">
        <v>32</v>
      </c>
      <c r="S128" s="1" t="s">
        <v>60</v>
      </c>
    </row>
    <row r="129" spans="1:19" x14ac:dyDescent="0.35">
      <c r="A129" s="1" t="s">
        <v>314</v>
      </c>
      <c r="B129" s="3">
        <v>45833</v>
      </c>
      <c r="C129" s="1" t="s">
        <v>82</v>
      </c>
      <c r="D129" s="1">
        <v>6</v>
      </c>
      <c r="E129" s="1" t="s">
        <v>210</v>
      </c>
      <c r="F129" s="1" t="s">
        <v>76</v>
      </c>
      <c r="G129" s="1" t="s">
        <v>23</v>
      </c>
      <c r="H129" s="1" t="s">
        <v>99</v>
      </c>
      <c r="I129" s="1" t="s">
        <v>100</v>
      </c>
      <c r="J129" s="1">
        <v>3</v>
      </c>
      <c r="K129" s="1">
        <v>23746</v>
      </c>
      <c r="L129" s="1">
        <v>0.1</v>
      </c>
      <c r="M129" s="1">
        <v>71238</v>
      </c>
      <c r="N129" s="1">
        <v>7123.8</v>
      </c>
      <c r="O129" s="1">
        <v>64114.2</v>
      </c>
      <c r="P129" s="1">
        <v>43597.656000000003</v>
      </c>
      <c r="Q129" s="1">
        <v>20516.543999999991</v>
      </c>
      <c r="R129" s="1">
        <v>32</v>
      </c>
      <c r="S129" s="1" t="s">
        <v>33</v>
      </c>
    </row>
    <row r="130" spans="1:19" x14ac:dyDescent="0.35">
      <c r="A130" s="1" t="s">
        <v>315</v>
      </c>
      <c r="B130" s="3">
        <v>45845</v>
      </c>
      <c r="C130" s="1" t="s">
        <v>62</v>
      </c>
      <c r="D130" s="1">
        <v>7</v>
      </c>
      <c r="E130" s="1" t="s">
        <v>316</v>
      </c>
      <c r="F130" s="1" t="s">
        <v>22</v>
      </c>
      <c r="G130" s="1" t="s">
        <v>38</v>
      </c>
      <c r="H130" s="1" t="s">
        <v>31</v>
      </c>
      <c r="I130" s="1" t="s">
        <v>167</v>
      </c>
      <c r="J130" s="1">
        <v>2</v>
      </c>
      <c r="K130" s="1">
        <v>3120.49</v>
      </c>
      <c r="L130" s="1">
        <v>0.1</v>
      </c>
      <c r="M130" s="1">
        <v>6240.98</v>
      </c>
      <c r="N130" s="1">
        <v>624.09799999999996</v>
      </c>
      <c r="O130" s="1">
        <v>5616.8819999999996</v>
      </c>
      <c r="P130" s="1">
        <v>2920.77864</v>
      </c>
      <c r="Q130" s="1">
        <v>2696.1033600000001</v>
      </c>
      <c r="R130" s="1">
        <v>48</v>
      </c>
      <c r="S130" s="1" t="s">
        <v>33</v>
      </c>
    </row>
    <row r="131" spans="1:19" x14ac:dyDescent="0.35">
      <c r="A131" s="1" t="s">
        <v>317</v>
      </c>
      <c r="B131" s="3">
        <v>46006</v>
      </c>
      <c r="C131" s="1" t="s">
        <v>67</v>
      </c>
      <c r="D131" s="1">
        <v>12</v>
      </c>
      <c r="E131" s="1" t="s">
        <v>318</v>
      </c>
      <c r="F131" s="1" t="s">
        <v>47</v>
      </c>
      <c r="G131" s="1" t="s">
        <v>38</v>
      </c>
      <c r="H131" s="1" t="s">
        <v>77</v>
      </c>
      <c r="I131" s="1" t="s">
        <v>90</v>
      </c>
      <c r="J131" s="1">
        <v>1</v>
      </c>
      <c r="K131" s="1">
        <v>898.53</v>
      </c>
      <c r="L131" s="1">
        <v>0.1</v>
      </c>
      <c r="M131" s="1">
        <v>898.53</v>
      </c>
      <c r="N131" s="1">
        <v>89.853000000000009</v>
      </c>
      <c r="O131" s="1">
        <v>808.67699999999991</v>
      </c>
      <c r="P131" s="1">
        <v>582.24743999999987</v>
      </c>
      <c r="Q131" s="1">
        <v>226.42956000000001</v>
      </c>
      <c r="R131" s="1">
        <v>28.000000000000011</v>
      </c>
      <c r="S131" s="1" t="s">
        <v>73</v>
      </c>
    </row>
    <row r="132" spans="1:19" x14ac:dyDescent="0.35">
      <c r="A132" s="1" t="s">
        <v>319</v>
      </c>
      <c r="B132" s="3">
        <v>45691</v>
      </c>
      <c r="C132" s="1" t="s">
        <v>42</v>
      </c>
      <c r="D132" s="1">
        <v>2</v>
      </c>
      <c r="E132" s="1" t="s">
        <v>169</v>
      </c>
      <c r="F132" s="1" t="s">
        <v>69</v>
      </c>
      <c r="G132" s="1" t="s">
        <v>38</v>
      </c>
      <c r="H132" s="1" t="s">
        <v>77</v>
      </c>
      <c r="I132" s="1" t="s">
        <v>103</v>
      </c>
      <c r="J132" s="1">
        <v>3</v>
      </c>
      <c r="K132" s="1">
        <v>1055.9100000000001</v>
      </c>
      <c r="L132" s="1">
        <v>0.1</v>
      </c>
      <c r="M132" s="1">
        <v>3167.73</v>
      </c>
      <c r="N132" s="1">
        <v>316.77300000000008</v>
      </c>
      <c r="O132" s="1">
        <v>2850.9569999999999</v>
      </c>
      <c r="P132" s="1">
        <v>2052.6890400000002</v>
      </c>
      <c r="Q132" s="1">
        <v>798.26796000000013</v>
      </c>
      <c r="R132" s="1">
        <v>28</v>
      </c>
      <c r="S132" s="1" t="s">
        <v>93</v>
      </c>
    </row>
    <row r="133" spans="1:19" x14ac:dyDescent="0.35">
      <c r="A133" s="1" t="s">
        <v>320</v>
      </c>
      <c r="B133" s="3">
        <v>45975</v>
      </c>
      <c r="C133" s="1" t="s">
        <v>56</v>
      </c>
      <c r="D133" s="1">
        <v>11</v>
      </c>
      <c r="E133" s="1" t="s">
        <v>321</v>
      </c>
      <c r="F133" s="1" t="s">
        <v>43</v>
      </c>
      <c r="G133" s="1" t="s">
        <v>23</v>
      </c>
      <c r="H133" s="1" t="s">
        <v>31</v>
      </c>
      <c r="I133" s="1" t="s">
        <v>167</v>
      </c>
      <c r="J133" s="1">
        <v>4</v>
      </c>
      <c r="K133" s="1">
        <v>2270.77</v>
      </c>
      <c r="L133" s="1">
        <v>0.25</v>
      </c>
      <c r="M133" s="1">
        <v>9083.08</v>
      </c>
      <c r="N133" s="1">
        <v>2270.77</v>
      </c>
      <c r="O133" s="1">
        <v>6812.3099999999986</v>
      </c>
      <c r="P133" s="1">
        <v>3542.4011999999998</v>
      </c>
      <c r="Q133" s="1">
        <v>3269.9088000000002</v>
      </c>
      <c r="R133" s="1">
        <v>48</v>
      </c>
      <c r="S133" s="1" t="s">
        <v>33</v>
      </c>
    </row>
    <row r="134" spans="1:19" x14ac:dyDescent="0.35">
      <c r="A134" s="1" t="s">
        <v>322</v>
      </c>
      <c r="B134" s="3">
        <v>45722</v>
      </c>
      <c r="C134" s="1" t="s">
        <v>28</v>
      </c>
      <c r="D134" s="1">
        <v>3</v>
      </c>
      <c r="E134" s="1" t="s">
        <v>278</v>
      </c>
      <c r="F134" s="1" t="s">
        <v>47</v>
      </c>
      <c r="G134" s="1" t="s">
        <v>23</v>
      </c>
      <c r="H134" s="1" t="s">
        <v>77</v>
      </c>
      <c r="I134" s="1" t="s">
        <v>78</v>
      </c>
      <c r="J134" s="1">
        <v>1</v>
      </c>
      <c r="K134" s="1">
        <v>177.05</v>
      </c>
      <c r="L134" s="1">
        <v>0.1</v>
      </c>
      <c r="M134" s="1">
        <v>177.05</v>
      </c>
      <c r="N134" s="1">
        <v>17.704999999999998</v>
      </c>
      <c r="O134" s="1">
        <v>159.345</v>
      </c>
      <c r="P134" s="1">
        <v>114.72839999999999</v>
      </c>
      <c r="Q134" s="1">
        <v>44.616600000000012</v>
      </c>
      <c r="R134" s="1">
        <v>28</v>
      </c>
      <c r="S134" s="1" t="s">
        <v>60</v>
      </c>
    </row>
    <row r="135" spans="1:19" x14ac:dyDescent="0.35">
      <c r="A135" s="1" t="s">
        <v>323</v>
      </c>
      <c r="B135" s="3">
        <v>45850</v>
      </c>
      <c r="C135" s="1" t="s">
        <v>62</v>
      </c>
      <c r="D135" s="1">
        <v>7</v>
      </c>
      <c r="E135" s="1" t="s">
        <v>324</v>
      </c>
      <c r="F135" s="1" t="s">
        <v>37</v>
      </c>
      <c r="G135" s="1" t="s">
        <v>64</v>
      </c>
      <c r="H135" s="1" t="s">
        <v>31</v>
      </c>
      <c r="I135" s="1" t="s">
        <v>65</v>
      </c>
      <c r="J135" s="1">
        <v>6</v>
      </c>
      <c r="K135" s="1">
        <v>348.83</v>
      </c>
      <c r="L135" s="1">
        <v>0</v>
      </c>
      <c r="M135" s="1">
        <v>2092.98</v>
      </c>
      <c r="N135" s="1">
        <v>0</v>
      </c>
      <c r="O135" s="1">
        <v>2092.98</v>
      </c>
      <c r="P135" s="1">
        <v>1088.3496</v>
      </c>
      <c r="Q135" s="1">
        <v>1004.6304</v>
      </c>
      <c r="R135" s="1">
        <v>48</v>
      </c>
      <c r="S135" s="1" t="s">
        <v>93</v>
      </c>
    </row>
    <row r="136" spans="1:19" x14ac:dyDescent="0.35">
      <c r="A136" s="1" t="s">
        <v>325</v>
      </c>
      <c r="B136" s="3">
        <v>45855</v>
      </c>
      <c r="C136" s="1" t="s">
        <v>62</v>
      </c>
      <c r="D136" s="1">
        <v>7</v>
      </c>
      <c r="E136" s="1" t="s">
        <v>326</v>
      </c>
      <c r="F136" s="1" t="s">
        <v>58</v>
      </c>
      <c r="G136" s="1" t="s">
        <v>38</v>
      </c>
      <c r="H136" s="1" t="s">
        <v>77</v>
      </c>
      <c r="I136" s="1" t="s">
        <v>103</v>
      </c>
      <c r="J136" s="1">
        <v>3</v>
      </c>
      <c r="K136" s="1">
        <v>1089.28</v>
      </c>
      <c r="L136" s="1">
        <v>0.3</v>
      </c>
      <c r="M136" s="1">
        <v>3267.84</v>
      </c>
      <c r="N136" s="1">
        <v>980.35199999999998</v>
      </c>
      <c r="O136" s="1">
        <v>2287.4879999999998</v>
      </c>
      <c r="P136" s="1">
        <v>1646.99136</v>
      </c>
      <c r="Q136" s="1">
        <v>640.49664000000007</v>
      </c>
      <c r="R136" s="1">
        <v>28</v>
      </c>
      <c r="S136" s="1" t="s">
        <v>93</v>
      </c>
    </row>
    <row r="137" spans="1:19" x14ac:dyDescent="0.35">
      <c r="A137" s="1" t="s">
        <v>327</v>
      </c>
      <c r="B137" s="3">
        <v>45720</v>
      </c>
      <c r="C137" s="1" t="s">
        <v>28</v>
      </c>
      <c r="D137" s="1">
        <v>3</v>
      </c>
      <c r="E137" s="1" t="s">
        <v>328</v>
      </c>
      <c r="F137" s="1" t="s">
        <v>47</v>
      </c>
      <c r="G137" s="1" t="s">
        <v>64</v>
      </c>
      <c r="H137" s="1" t="s">
        <v>77</v>
      </c>
      <c r="I137" s="1" t="s">
        <v>201</v>
      </c>
      <c r="J137" s="1">
        <v>5</v>
      </c>
      <c r="K137" s="1">
        <v>1005.24</v>
      </c>
      <c r="L137" s="1">
        <v>0.05</v>
      </c>
      <c r="M137" s="1">
        <v>5026.2</v>
      </c>
      <c r="N137" s="1">
        <v>251.31</v>
      </c>
      <c r="O137" s="1">
        <v>4774.8899999999994</v>
      </c>
      <c r="P137" s="1">
        <v>3437.920799999999</v>
      </c>
      <c r="Q137" s="1">
        <v>1336.9692</v>
      </c>
      <c r="R137" s="1">
        <v>28</v>
      </c>
      <c r="S137" s="1" t="s">
        <v>60</v>
      </c>
    </row>
    <row r="138" spans="1:19" x14ac:dyDescent="0.35">
      <c r="A138" s="1" t="s">
        <v>329</v>
      </c>
      <c r="B138" s="3">
        <v>45898</v>
      </c>
      <c r="C138" s="1" t="s">
        <v>113</v>
      </c>
      <c r="D138" s="1">
        <v>8</v>
      </c>
      <c r="E138" s="1" t="s">
        <v>95</v>
      </c>
      <c r="F138" s="1" t="s">
        <v>22</v>
      </c>
      <c r="G138" s="1" t="s">
        <v>64</v>
      </c>
      <c r="H138" s="1" t="s">
        <v>99</v>
      </c>
      <c r="I138" s="1" t="s">
        <v>223</v>
      </c>
      <c r="J138" s="1">
        <v>3</v>
      </c>
      <c r="K138" s="1">
        <v>21089.63</v>
      </c>
      <c r="L138" s="1">
        <v>0.2</v>
      </c>
      <c r="M138" s="1">
        <v>63268.89</v>
      </c>
      <c r="N138" s="1">
        <v>12653.778</v>
      </c>
      <c r="O138" s="1">
        <v>50615.112000000001</v>
      </c>
      <c r="P138" s="1">
        <v>34418.276160000001</v>
      </c>
      <c r="Q138" s="1">
        <v>16196.83584</v>
      </c>
      <c r="R138" s="1">
        <v>32</v>
      </c>
      <c r="S138" s="1" t="s">
        <v>26</v>
      </c>
    </row>
    <row r="139" spans="1:19" x14ac:dyDescent="0.35">
      <c r="A139" s="1" t="s">
        <v>330</v>
      </c>
      <c r="B139" s="3">
        <v>45677</v>
      </c>
      <c r="C139" s="1" t="s">
        <v>193</v>
      </c>
      <c r="D139" s="1">
        <v>1</v>
      </c>
      <c r="E139" s="1" t="s">
        <v>331</v>
      </c>
      <c r="F139" s="1" t="s">
        <v>47</v>
      </c>
      <c r="G139" s="1" t="s">
        <v>23</v>
      </c>
      <c r="H139" s="1" t="s">
        <v>99</v>
      </c>
      <c r="I139" s="1" t="s">
        <v>223</v>
      </c>
      <c r="J139" s="1">
        <v>1</v>
      </c>
      <c r="K139" s="1">
        <v>6412.64</v>
      </c>
      <c r="L139" s="1">
        <v>0.1</v>
      </c>
      <c r="M139" s="1">
        <v>6412.64</v>
      </c>
      <c r="N139" s="1">
        <v>641.26400000000012</v>
      </c>
      <c r="O139" s="1">
        <v>5771.3760000000002</v>
      </c>
      <c r="P139" s="1">
        <v>3924.53568</v>
      </c>
      <c r="Q139" s="1">
        <v>1846.84032</v>
      </c>
      <c r="R139" s="1">
        <v>32</v>
      </c>
      <c r="S139" s="1" t="s">
        <v>26</v>
      </c>
    </row>
    <row r="140" spans="1:19" x14ac:dyDescent="0.35">
      <c r="A140" s="1" t="s">
        <v>332</v>
      </c>
      <c r="B140" s="3">
        <v>45817</v>
      </c>
      <c r="C140" s="1" t="s">
        <v>82</v>
      </c>
      <c r="D140" s="1">
        <v>6</v>
      </c>
      <c r="E140" s="1" t="s">
        <v>312</v>
      </c>
      <c r="F140" s="1" t="s">
        <v>43</v>
      </c>
      <c r="G140" s="1" t="s">
        <v>23</v>
      </c>
      <c r="H140" s="1" t="s">
        <v>53</v>
      </c>
      <c r="I140" s="1" t="s">
        <v>123</v>
      </c>
      <c r="J140" s="1">
        <v>6</v>
      </c>
      <c r="K140" s="1">
        <v>1595.05</v>
      </c>
      <c r="L140" s="1">
        <v>0.15</v>
      </c>
      <c r="M140" s="1">
        <v>9570.2999999999993</v>
      </c>
      <c r="N140" s="1">
        <v>1435.5450000000001</v>
      </c>
      <c r="O140" s="1">
        <v>8134.7549999999992</v>
      </c>
      <c r="P140" s="1">
        <v>4718.1578999999992</v>
      </c>
      <c r="Q140" s="1">
        <v>3416.5971</v>
      </c>
      <c r="R140" s="1">
        <v>42.000000000000007</v>
      </c>
      <c r="S140" s="1" t="s">
        <v>73</v>
      </c>
    </row>
    <row r="141" spans="1:19" x14ac:dyDescent="0.35">
      <c r="A141" s="1" t="s">
        <v>333</v>
      </c>
      <c r="B141" s="3">
        <v>45924</v>
      </c>
      <c r="C141" s="1" t="s">
        <v>50</v>
      </c>
      <c r="D141" s="1">
        <v>9</v>
      </c>
      <c r="E141" s="1" t="s">
        <v>334</v>
      </c>
      <c r="F141" s="1" t="s">
        <v>43</v>
      </c>
      <c r="G141" s="1" t="s">
        <v>23</v>
      </c>
      <c r="H141" s="1" t="s">
        <v>39</v>
      </c>
      <c r="I141" s="1" t="s">
        <v>234</v>
      </c>
      <c r="J141" s="1">
        <v>3</v>
      </c>
      <c r="K141" s="1">
        <v>23558.68</v>
      </c>
      <c r="L141" s="1">
        <v>0.1</v>
      </c>
      <c r="M141" s="1">
        <v>70676.040000000008</v>
      </c>
      <c r="N141" s="1">
        <v>7067.6040000000012</v>
      </c>
      <c r="O141" s="1">
        <v>63608.436000000009</v>
      </c>
      <c r="P141" s="1">
        <v>49614.580080000007</v>
      </c>
      <c r="Q141" s="1">
        <v>13993.85592</v>
      </c>
      <c r="R141" s="1">
        <v>22</v>
      </c>
      <c r="S141" s="1" t="s">
        <v>73</v>
      </c>
    </row>
    <row r="142" spans="1:19" x14ac:dyDescent="0.35">
      <c r="A142" s="1" t="s">
        <v>335</v>
      </c>
      <c r="B142" s="3">
        <v>45666</v>
      </c>
      <c r="C142" s="1" t="s">
        <v>193</v>
      </c>
      <c r="D142" s="1">
        <v>1</v>
      </c>
      <c r="E142" s="1" t="s">
        <v>336</v>
      </c>
      <c r="F142" s="1" t="s">
        <v>52</v>
      </c>
      <c r="G142" s="1" t="s">
        <v>38</v>
      </c>
      <c r="H142" s="1" t="s">
        <v>39</v>
      </c>
      <c r="I142" s="1" t="s">
        <v>155</v>
      </c>
      <c r="J142" s="1">
        <v>5</v>
      </c>
      <c r="K142" s="1">
        <v>49907.12</v>
      </c>
      <c r="L142" s="1">
        <v>0.05</v>
      </c>
      <c r="M142" s="1">
        <v>249535.6</v>
      </c>
      <c r="N142" s="1">
        <v>12476.78</v>
      </c>
      <c r="O142" s="1">
        <v>237058.82</v>
      </c>
      <c r="P142" s="1">
        <v>184905.87959999999</v>
      </c>
      <c r="Q142" s="1">
        <v>52152.940399999992</v>
      </c>
      <c r="R142" s="1">
        <v>22</v>
      </c>
      <c r="S142" s="1" t="s">
        <v>73</v>
      </c>
    </row>
    <row r="143" spans="1:19" x14ac:dyDescent="0.35">
      <c r="A143" s="1" t="s">
        <v>337</v>
      </c>
      <c r="B143" s="3">
        <v>45694</v>
      </c>
      <c r="C143" s="1" t="s">
        <v>42</v>
      </c>
      <c r="D143" s="1">
        <v>2</v>
      </c>
      <c r="E143" s="1" t="s">
        <v>338</v>
      </c>
      <c r="F143" s="1" t="s">
        <v>30</v>
      </c>
      <c r="G143" s="1" t="s">
        <v>64</v>
      </c>
      <c r="H143" s="1" t="s">
        <v>24</v>
      </c>
      <c r="I143" s="1" t="s">
        <v>139</v>
      </c>
      <c r="J143" s="1">
        <v>5</v>
      </c>
      <c r="K143" s="1">
        <v>5419.64</v>
      </c>
      <c r="L143" s="1">
        <v>0.3</v>
      </c>
      <c r="M143" s="1">
        <v>27098.2</v>
      </c>
      <c r="N143" s="1">
        <v>8129.46</v>
      </c>
      <c r="O143" s="1">
        <v>18968.740000000002</v>
      </c>
      <c r="P143" s="1">
        <v>10432.807000000001</v>
      </c>
      <c r="Q143" s="1">
        <v>8535.9329999999991</v>
      </c>
      <c r="R143" s="1">
        <v>44.999999999999993</v>
      </c>
      <c r="S143" s="1" t="s">
        <v>26</v>
      </c>
    </row>
    <row r="144" spans="1:19" x14ac:dyDescent="0.35">
      <c r="A144" s="1" t="s">
        <v>339</v>
      </c>
      <c r="B144" s="3">
        <v>45843</v>
      </c>
      <c r="C144" s="1" t="s">
        <v>62</v>
      </c>
      <c r="D144" s="1">
        <v>7</v>
      </c>
      <c r="E144" s="1" t="s">
        <v>200</v>
      </c>
      <c r="F144" s="1" t="s">
        <v>52</v>
      </c>
      <c r="G144" s="1" t="s">
        <v>38</v>
      </c>
      <c r="H144" s="1" t="s">
        <v>53</v>
      </c>
      <c r="I144" s="1" t="s">
        <v>72</v>
      </c>
      <c r="J144" s="1">
        <v>2</v>
      </c>
      <c r="K144" s="1">
        <v>1405.07</v>
      </c>
      <c r="L144" s="1">
        <v>0.2</v>
      </c>
      <c r="M144" s="1">
        <v>2810.14</v>
      </c>
      <c r="N144" s="1">
        <v>562.02800000000002</v>
      </c>
      <c r="O144" s="1">
        <v>2248.1120000000001</v>
      </c>
      <c r="P144" s="1">
        <v>1303.9049600000001</v>
      </c>
      <c r="Q144" s="1">
        <v>944.20704000000023</v>
      </c>
      <c r="R144" s="1">
        <v>42.000000000000007</v>
      </c>
      <c r="S144" s="1" t="s">
        <v>60</v>
      </c>
    </row>
    <row r="145" spans="1:19" x14ac:dyDescent="0.35">
      <c r="A145" s="1" t="s">
        <v>340</v>
      </c>
      <c r="B145" s="3">
        <v>45716</v>
      </c>
      <c r="C145" s="1" t="s">
        <v>42</v>
      </c>
      <c r="D145" s="1">
        <v>2</v>
      </c>
      <c r="E145" s="1" t="s">
        <v>341</v>
      </c>
      <c r="F145" s="1" t="s">
        <v>37</v>
      </c>
      <c r="G145" s="1" t="s">
        <v>38</v>
      </c>
      <c r="H145" s="1" t="s">
        <v>53</v>
      </c>
      <c r="I145" s="1" t="s">
        <v>128</v>
      </c>
      <c r="J145" s="1">
        <v>1</v>
      </c>
      <c r="K145" s="1">
        <v>901.62</v>
      </c>
      <c r="L145" s="1">
        <v>0.05</v>
      </c>
      <c r="M145" s="1">
        <v>901.62</v>
      </c>
      <c r="N145" s="1">
        <v>45.081000000000003</v>
      </c>
      <c r="O145" s="1">
        <v>856.53899999999999</v>
      </c>
      <c r="P145" s="1">
        <v>496.79261999999989</v>
      </c>
      <c r="Q145" s="1">
        <v>359.74637999999999</v>
      </c>
      <c r="R145" s="1">
        <v>42.000000000000007</v>
      </c>
      <c r="S145" s="1" t="s">
        <v>33</v>
      </c>
    </row>
    <row r="146" spans="1:19" x14ac:dyDescent="0.35">
      <c r="A146" s="1" t="s">
        <v>342</v>
      </c>
      <c r="B146" s="3">
        <v>45664</v>
      </c>
      <c r="C146" s="1" t="s">
        <v>193</v>
      </c>
      <c r="D146" s="1">
        <v>1</v>
      </c>
      <c r="E146" s="1" t="s">
        <v>343</v>
      </c>
      <c r="F146" s="1" t="s">
        <v>22</v>
      </c>
      <c r="G146" s="1" t="s">
        <v>23</v>
      </c>
      <c r="H146" s="1" t="s">
        <v>31</v>
      </c>
      <c r="I146" s="1" t="s">
        <v>32</v>
      </c>
      <c r="J146" s="1">
        <v>3</v>
      </c>
      <c r="K146" s="1">
        <v>3372.34</v>
      </c>
      <c r="L146" s="1">
        <v>0.1</v>
      </c>
      <c r="M146" s="1">
        <v>10117.02</v>
      </c>
      <c r="N146" s="1">
        <v>1011.702</v>
      </c>
      <c r="O146" s="1">
        <v>9105.3180000000011</v>
      </c>
      <c r="P146" s="1">
        <v>4734.7653600000003</v>
      </c>
      <c r="Q146" s="1">
        <v>4370.5526400000008</v>
      </c>
      <c r="R146" s="1">
        <v>48.000000000000007</v>
      </c>
      <c r="S146" s="1" t="s">
        <v>26</v>
      </c>
    </row>
    <row r="147" spans="1:19" x14ac:dyDescent="0.35">
      <c r="A147" s="1" t="s">
        <v>344</v>
      </c>
      <c r="B147" s="3">
        <v>45815</v>
      </c>
      <c r="C147" s="1" t="s">
        <v>82</v>
      </c>
      <c r="D147" s="1">
        <v>6</v>
      </c>
      <c r="E147" s="1" t="s">
        <v>309</v>
      </c>
      <c r="F147" s="1" t="s">
        <v>22</v>
      </c>
      <c r="G147" s="1" t="s">
        <v>23</v>
      </c>
      <c r="H147" s="1" t="s">
        <v>99</v>
      </c>
      <c r="I147" s="1" t="s">
        <v>120</v>
      </c>
      <c r="J147" s="1">
        <v>4</v>
      </c>
      <c r="K147" s="1">
        <v>15014.09</v>
      </c>
      <c r="L147" s="1">
        <v>0.2</v>
      </c>
      <c r="M147" s="1">
        <v>60056.36</v>
      </c>
      <c r="N147" s="1">
        <v>12011.272000000001</v>
      </c>
      <c r="O147" s="1">
        <v>48045.088000000003</v>
      </c>
      <c r="P147" s="1">
        <v>32670.65984</v>
      </c>
      <c r="Q147" s="1">
        <v>15374.428159999999</v>
      </c>
      <c r="R147" s="1">
        <v>32</v>
      </c>
      <c r="S147" s="1" t="s">
        <v>26</v>
      </c>
    </row>
    <row r="148" spans="1:19" x14ac:dyDescent="0.35">
      <c r="A148" s="1" t="s">
        <v>345</v>
      </c>
      <c r="B148" s="3">
        <v>45770</v>
      </c>
      <c r="C148" s="1" t="s">
        <v>20</v>
      </c>
      <c r="D148" s="1">
        <v>4</v>
      </c>
      <c r="E148" s="1" t="s">
        <v>346</v>
      </c>
      <c r="F148" s="1" t="s">
        <v>52</v>
      </c>
      <c r="G148" s="1" t="s">
        <v>38</v>
      </c>
      <c r="H148" s="1" t="s">
        <v>39</v>
      </c>
      <c r="I148" s="1" t="s">
        <v>214</v>
      </c>
      <c r="J148" s="1">
        <v>1</v>
      </c>
      <c r="K148" s="1">
        <v>14603.1</v>
      </c>
      <c r="L148" s="1">
        <v>0.1</v>
      </c>
      <c r="M148" s="1">
        <v>14603.1</v>
      </c>
      <c r="N148" s="1">
        <v>1460.31</v>
      </c>
      <c r="O148" s="1">
        <v>13142.79</v>
      </c>
      <c r="P148" s="1">
        <v>10251.376200000001</v>
      </c>
      <c r="Q148" s="1">
        <v>2891.4137999999998</v>
      </c>
      <c r="R148" s="1">
        <v>22</v>
      </c>
      <c r="S148" s="1" t="s">
        <v>60</v>
      </c>
    </row>
    <row r="149" spans="1:19" x14ac:dyDescent="0.35">
      <c r="A149" s="1" t="s">
        <v>347</v>
      </c>
      <c r="B149" s="3">
        <v>45881</v>
      </c>
      <c r="C149" s="1" t="s">
        <v>113</v>
      </c>
      <c r="D149" s="1">
        <v>8</v>
      </c>
      <c r="E149" s="1" t="s">
        <v>348</v>
      </c>
      <c r="F149" s="1" t="s">
        <v>52</v>
      </c>
      <c r="G149" s="1" t="s">
        <v>23</v>
      </c>
      <c r="H149" s="1" t="s">
        <v>99</v>
      </c>
      <c r="I149" s="1" t="s">
        <v>108</v>
      </c>
      <c r="J149" s="1">
        <v>7</v>
      </c>
      <c r="K149" s="1">
        <v>11323.4</v>
      </c>
      <c r="L149" s="1">
        <v>0.05</v>
      </c>
      <c r="M149" s="1">
        <v>79263.8</v>
      </c>
      <c r="N149" s="1">
        <v>3963.190000000001</v>
      </c>
      <c r="O149" s="1">
        <v>75300.61</v>
      </c>
      <c r="P149" s="1">
        <v>51204.414800000013</v>
      </c>
      <c r="Q149" s="1">
        <v>24096.195199999991</v>
      </c>
      <c r="R149" s="1">
        <v>32</v>
      </c>
      <c r="S149" s="1" t="s">
        <v>26</v>
      </c>
    </row>
    <row r="150" spans="1:19" x14ac:dyDescent="0.35">
      <c r="A150" s="1" t="s">
        <v>349</v>
      </c>
      <c r="B150" s="3">
        <v>45849</v>
      </c>
      <c r="C150" s="1" t="s">
        <v>62</v>
      </c>
      <c r="D150" s="1">
        <v>7</v>
      </c>
      <c r="E150" s="1" t="s">
        <v>301</v>
      </c>
      <c r="F150" s="1" t="s">
        <v>52</v>
      </c>
      <c r="G150" s="1" t="s">
        <v>23</v>
      </c>
      <c r="H150" s="1" t="s">
        <v>39</v>
      </c>
      <c r="I150" s="1" t="s">
        <v>40</v>
      </c>
      <c r="J150" s="1">
        <v>4</v>
      </c>
      <c r="K150" s="1">
        <v>11838.98</v>
      </c>
      <c r="L150" s="1">
        <v>0.15</v>
      </c>
      <c r="M150" s="1">
        <v>47355.92</v>
      </c>
      <c r="N150" s="1">
        <v>7103.3879999999999</v>
      </c>
      <c r="O150" s="1">
        <v>40252.531999999999</v>
      </c>
      <c r="P150" s="1">
        <v>31396.97496</v>
      </c>
      <c r="Q150" s="1">
        <v>8855.5570399999997</v>
      </c>
      <c r="R150" s="1">
        <v>22</v>
      </c>
      <c r="S150" s="1" t="s">
        <v>73</v>
      </c>
    </row>
    <row r="151" spans="1:19" x14ac:dyDescent="0.35">
      <c r="A151" s="1" t="s">
        <v>350</v>
      </c>
      <c r="B151" s="3">
        <v>45963</v>
      </c>
      <c r="C151" s="1" t="s">
        <v>56</v>
      </c>
      <c r="D151" s="1">
        <v>11</v>
      </c>
      <c r="E151" s="1" t="s">
        <v>351</v>
      </c>
      <c r="F151" s="1" t="s">
        <v>58</v>
      </c>
      <c r="G151" s="1" t="s">
        <v>64</v>
      </c>
      <c r="H151" s="1" t="s">
        <v>77</v>
      </c>
      <c r="I151" s="1" t="s">
        <v>103</v>
      </c>
      <c r="J151" s="1">
        <v>7</v>
      </c>
      <c r="K151" s="1">
        <v>1164.21</v>
      </c>
      <c r="L151" s="1">
        <v>0.15</v>
      </c>
      <c r="M151" s="1">
        <v>8149.47</v>
      </c>
      <c r="N151" s="1">
        <v>1222.4204999999999</v>
      </c>
      <c r="O151" s="1">
        <v>6927.0495000000001</v>
      </c>
      <c r="P151" s="1">
        <v>4987.4756399999997</v>
      </c>
      <c r="Q151" s="1">
        <v>1939.57386</v>
      </c>
      <c r="R151" s="1">
        <v>28.000000000000011</v>
      </c>
      <c r="S151" s="1" t="s">
        <v>93</v>
      </c>
    </row>
    <row r="152" spans="1:19" x14ac:dyDescent="0.35">
      <c r="A152" s="1" t="s">
        <v>352</v>
      </c>
      <c r="B152" s="3">
        <v>45690</v>
      </c>
      <c r="C152" s="1" t="s">
        <v>42</v>
      </c>
      <c r="D152" s="1">
        <v>2</v>
      </c>
      <c r="E152" s="1" t="s">
        <v>132</v>
      </c>
      <c r="F152" s="1" t="s">
        <v>22</v>
      </c>
      <c r="G152" s="1" t="s">
        <v>23</v>
      </c>
      <c r="H152" s="1" t="s">
        <v>77</v>
      </c>
      <c r="I152" s="1" t="s">
        <v>201</v>
      </c>
      <c r="J152" s="1">
        <v>7</v>
      </c>
      <c r="K152" s="1">
        <v>611.94000000000005</v>
      </c>
      <c r="L152" s="1">
        <v>0.2</v>
      </c>
      <c r="M152" s="1">
        <v>4283.58</v>
      </c>
      <c r="N152" s="1">
        <v>856.71600000000001</v>
      </c>
      <c r="O152" s="1">
        <v>3426.864</v>
      </c>
      <c r="P152" s="1">
        <v>2467.3420799999999</v>
      </c>
      <c r="Q152" s="1">
        <v>959.52192000000014</v>
      </c>
      <c r="R152" s="1">
        <v>28</v>
      </c>
      <c r="S152" s="1" t="s">
        <v>73</v>
      </c>
    </row>
    <row r="153" spans="1:19" x14ac:dyDescent="0.35">
      <c r="A153" s="1" t="s">
        <v>353</v>
      </c>
      <c r="B153" s="3">
        <v>45942</v>
      </c>
      <c r="C153" s="1" t="s">
        <v>35</v>
      </c>
      <c r="D153" s="1">
        <v>10</v>
      </c>
      <c r="E153" s="1" t="s">
        <v>354</v>
      </c>
      <c r="F153" s="1" t="s">
        <v>22</v>
      </c>
      <c r="G153" s="1" t="s">
        <v>64</v>
      </c>
      <c r="H153" s="1" t="s">
        <v>24</v>
      </c>
      <c r="I153" s="1" t="s">
        <v>139</v>
      </c>
      <c r="J153" s="1">
        <v>1</v>
      </c>
      <c r="K153" s="1">
        <v>1062.06</v>
      </c>
      <c r="L153" s="1">
        <v>0.2</v>
      </c>
      <c r="M153" s="1">
        <v>1062.06</v>
      </c>
      <c r="N153" s="1">
        <v>212.41200000000001</v>
      </c>
      <c r="O153" s="1">
        <v>849.64799999999991</v>
      </c>
      <c r="P153" s="1">
        <v>467.3064</v>
      </c>
      <c r="Q153" s="1">
        <v>382.34159999999991</v>
      </c>
      <c r="R153" s="1">
        <v>44.999999999999993</v>
      </c>
      <c r="S153" s="1" t="s">
        <v>26</v>
      </c>
    </row>
    <row r="154" spans="1:19" x14ac:dyDescent="0.35">
      <c r="A154" s="1" t="s">
        <v>355</v>
      </c>
      <c r="B154" s="3">
        <v>45945</v>
      </c>
      <c r="C154" s="1" t="s">
        <v>35</v>
      </c>
      <c r="D154" s="1">
        <v>10</v>
      </c>
      <c r="E154" s="1" t="s">
        <v>356</v>
      </c>
      <c r="F154" s="1" t="s">
        <v>69</v>
      </c>
      <c r="G154" s="1" t="s">
        <v>64</v>
      </c>
      <c r="H154" s="1" t="s">
        <v>99</v>
      </c>
      <c r="I154" s="1" t="s">
        <v>108</v>
      </c>
      <c r="J154" s="1">
        <v>7</v>
      </c>
      <c r="K154" s="1">
        <v>17811.23</v>
      </c>
      <c r="L154" s="1">
        <v>0.15</v>
      </c>
      <c r="M154" s="1">
        <v>124678.61</v>
      </c>
      <c r="N154" s="1">
        <v>18701.791499999999</v>
      </c>
      <c r="O154" s="1">
        <v>105976.81849999999</v>
      </c>
      <c r="P154" s="1">
        <v>72064.236579999997</v>
      </c>
      <c r="Q154" s="1">
        <v>33912.581919999997</v>
      </c>
      <c r="R154" s="1">
        <v>32</v>
      </c>
      <c r="S154" s="1" t="s">
        <v>33</v>
      </c>
    </row>
    <row r="155" spans="1:19" x14ac:dyDescent="0.35">
      <c r="A155" s="1" t="s">
        <v>357</v>
      </c>
      <c r="B155" s="3">
        <v>45678</v>
      </c>
      <c r="C155" s="1" t="s">
        <v>193</v>
      </c>
      <c r="D155" s="1">
        <v>1</v>
      </c>
      <c r="E155" s="1" t="s">
        <v>267</v>
      </c>
      <c r="F155" s="1" t="s">
        <v>37</v>
      </c>
      <c r="G155" s="1" t="s">
        <v>23</v>
      </c>
      <c r="H155" s="1" t="s">
        <v>31</v>
      </c>
      <c r="I155" s="1" t="s">
        <v>32</v>
      </c>
      <c r="J155" s="1">
        <v>3</v>
      </c>
      <c r="K155" s="1">
        <v>3382.92</v>
      </c>
      <c r="L155" s="1">
        <v>0.2</v>
      </c>
      <c r="M155" s="1">
        <v>10148.76</v>
      </c>
      <c r="N155" s="1">
        <v>2029.752</v>
      </c>
      <c r="O155" s="1">
        <v>8119.0079999999998</v>
      </c>
      <c r="P155" s="1">
        <v>4221.8841599999996</v>
      </c>
      <c r="Q155" s="1">
        <v>3897.1238400000002</v>
      </c>
      <c r="R155" s="1">
        <v>48.000000000000007</v>
      </c>
      <c r="S155" s="1" t="s">
        <v>93</v>
      </c>
    </row>
    <row r="156" spans="1:19" x14ac:dyDescent="0.35">
      <c r="A156" s="1" t="s">
        <v>358</v>
      </c>
      <c r="B156" s="3">
        <v>45820</v>
      </c>
      <c r="C156" s="1" t="s">
        <v>82</v>
      </c>
      <c r="D156" s="1">
        <v>6</v>
      </c>
      <c r="E156" s="1" t="s">
        <v>359</v>
      </c>
      <c r="F156" s="1" t="s">
        <v>30</v>
      </c>
      <c r="G156" s="1" t="s">
        <v>23</v>
      </c>
      <c r="H156" s="1" t="s">
        <v>39</v>
      </c>
      <c r="I156" s="1" t="s">
        <v>87</v>
      </c>
      <c r="J156" s="1">
        <v>1</v>
      </c>
      <c r="K156" s="1">
        <v>48750.67</v>
      </c>
      <c r="L156" s="1">
        <v>0.15</v>
      </c>
      <c r="M156" s="1">
        <v>48750.67</v>
      </c>
      <c r="N156" s="1">
        <v>7312.6004999999996</v>
      </c>
      <c r="O156" s="1">
        <v>41438.069499999998</v>
      </c>
      <c r="P156" s="1">
        <v>32321.694210000001</v>
      </c>
      <c r="Q156" s="1">
        <v>9116.3752899999999</v>
      </c>
      <c r="R156" s="1">
        <v>22</v>
      </c>
      <c r="S156" s="1" t="s">
        <v>60</v>
      </c>
    </row>
    <row r="157" spans="1:19" x14ac:dyDescent="0.35">
      <c r="A157" s="1" t="s">
        <v>360</v>
      </c>
      <c r="B157" s="3">
        <v>45750</v>
      </c>
      <c r="C157" s="1" t="s">
        <v>20</v>
      </c>
      <c r="D157" s="1">
        <v>4</v>
      </c>
      <c r="E157" s="1" t="s">
        <v>326</v>
      </c>
      <c r="F157" s="1" t="s">
        <v>69</v>
      </c>
      <c r="G157" s="1" t="s">
        <v>64</v>
      </c>
      <c r="H157" s="1" t="s">
        <v>31</v>
      </c>
      <c r="I157" s="1" t="s">
        <v>59</v>
      </c>
      <c r="J157" s="1">
        <v>7</v>
      </c>
      <c r="K157" s="1">
        <v>1697.19</v>
      </c>
      <c r="L157" s="1">
        <v>0.1</v>
      </c>
      <c r="M157" s="1">
        <v>11880.33</v>
      </c>
      <c r="N157" s="1">
        <v>1188.0329999999999</v>
      </c>
      <c r="O157" s="1">
        <v>10692.297</v>
      </c>
      <c r="P157" s="1">
        <v>5559.9944400000004</v>
      </c>
      <c r="Q157" s="1">
        <v>5132.3025600000001</v>
      </c>
      <c r="R157" s="1">
        <v>48</v>
      </c>
      <c r="S157" s="1" t="s">
        <v>93</v>
      </c>
    </row>
    <row r="158" spans="1:19" x14ac:dyDescent="0.35">
      <c r="A158" s="1" t="s">
        <v>361</v>
      </c>
      <c r="B158" s="3">
        <v>45681</v>
      </c>
      <c r="C158" s="1" t="s">
        <v>193</v>
      </c>
      <c r="D158" s="1">
        <v>1</v>
      </c>
      <c r="E158" s="1" t="s">
        <v>254</v>
      </c>
      <c r="F158" s="1" t="s">
        <v>22</v>
      </c>
      <c r="G158" s="1" t="s">
        <v>64</v>
      </c>
      <c r="H158" s="1" t="s">
        <v>24</v>
      </c>
      <c r="I158" s="1" t="s">
        <v>48</v>
      </c>
      <c r="J158" s="1">
        <v>2</v>
      </c>
      <c r="K158" s="1">
        <v>3891.58</v>
      </c>
      <c r="L158" s="1">
        <v>0.2</v>
      </c>
      <c r="M158" s="1">
        <v>7783.16</v>
      </c>
      <c r="N158" s="1">
        <v>1556.6320000000001</v>
      </c>
      <c r="O158" s="1">
        <v>6226.5280000000002</v>
      </c>
      <c r="P158" s="1">
        <v>3424.5904</v>
      </c>
      <c r="Q158" s="1">
        <v>2801.9376000000002</v>
      </c>
      <c r="R158" s="1">
        <v>44.999999999999993</v>
      </c>
      <c r="S158" s="1" t="s">
        <v>33</v>
      </c>
    </row>
    <row r="159" spans="1:19" x14ac:dyDescent="0.35">
      <c r="A159" s="1" t="s">
        <v>362</v>
      </c>
      <c r="B159" s="3">
        <v>45885</v>
      </c>
      <c r="C159" s="1" t="s">
        <v>113</v>
      </c>
      <c r="D159" s="1">
        <v>8</v>
      </c>
      <c r="E159" s="1" t="s">
        <v>363</v>
      </c>
      <c r="F159" s="1" t="s">
        <v>52</v>
      </c>
      <c r="G159" s="1" t="s">
        <v>64</v>
      </c>
      <c r="H159" s="1" t="s">
        <v>39</v>
      </c>
      <c r="I159" s="1" t="s">
        <v>155</v>
      </c>
      <c r="J159" s="1">
        <v>6</v>
      </c>
      <c r="K159" s="1">
        <v>20855.79</v>
      </c>
      <c r="L159" s="1">
        <v>0.05</v>
      </c>
      <c r="M159" s="1">
        <v>125134.74</v>
      </c>
      <c r="N159" s="1">
        <v>6256.737000000001</v>
      </c>
      <c r="O159" s="1">
        <v>118878.003</v>
      </c>
      <c r="P159" s="1">
        <v>92724.842340000003</v>
      </c>
      <c r="Q159" s="1">
        <v>26153.16065999999</v>
      </c>
      <c r="R159" s="1">
        <v>21.999999999999989</v>
      </c>
      <c r="S159" s="1" t="s">
        <v>73</v>
      </c>
    </row>
    <row r="160" spans="1:19" x14ac:dyDescent="0.35">
      <c r="A160" s="1" t="s">
        <v>364</v>
      </c>
      <c r="B160" s="3">
        <v>46001</v>
      </c>
      <c r="C160" s="1" t="s">
        <v>67</v>
      </c>
      <c r="D160" s="1">
        <v>12</v>
      </c>
      <c r="E160" s="1" t="s">
        <v>365</v>
      </c>
      <c r="F160" s="1" t="s">
        <v>52</v>
      </c>
      <c r="G160" s="1" t="s">
        <v>38</v>
      </c>
      <c r="H160" s="1" t="s">
        <v>53</v>
      </c>
      <c r="I160" s="1" t="s">
        <v>123</v>
      </c>
      <c r="J160" s="1">
        <v>5</v>
      </c>
      <c r="K160" s="1">
        <v>458.99</v>
      </c>
      <c r="L160" s="1">
        <v>0.1</v>
      </c>
      <c r="M160" s="1">
        <v>2294.9499999999998</v>
      </c>
      <c r="N160" s="1">
        <v>229.495</v>
      </c>
      <c r="O160" s="1">
        <v>2065.4549999999999</v>
      </c>
      <c r="P160" s="1">
        <v>1197.9639</v>
      </c>
      <c r="Q160" s="1">
        <v>867.49109999999996</v>
      </c>
      <c r="R160" s="1">
        <v>42</v>
      </c>
      <c r="S160" s="1" t="s">
        <v>60</v>
      </c>
    </row>
    <row r="161" spans="1:19" x14ac:dyDescent="0.35">
      <c r="A161" s="1" t="s">
        <v>366</v>
      </c>
      <c r="B161" s="3">
        <v>45946</v>
      </c>
      <c r="C161" s="1" t="s">
        <v>35</v>
      </c>
      <c r="D161" s="1">
        <v>10</v>
      </c>
      <c r="E161" s="1" t="s">
        <v>256</v>
      </c>
      <c r="F161" s="1" t="s">
        <v>30</v>
      </c>
      <c r="G161" s="1" t="s">
        <v>64</v>
      </c>
      <c r="H161" s="1" t="s">
        <v>24</v>
      </c>
      <c r="I161" s="1" t="s">
        <v>117</v>
      </c>
      <c r="J161" s="1">
        <v>6</v>
      </c>
      <c r="K161" s="1">
        <v>5493</v>
      </c>
      <c r="L161" s="1">
        <v>0.15</v>
      </c>
      <c r="M161" s="1">
        <v>32958</v>
      </c>
      <c r="N161" s="1">
        <v>4943.7</v>
      </c>
      <c r="O161" s="1">
        <v>28014.3</v>
      </c>
      <c r="P161" s="1">
        <v>15407.865</v>
      </c>
      <c r="Q161" s="1">
        <v>12606.434999999999</v>
      </c>
      <c r="R161" s="1">
        <v>44.999999999999993</v>
      </c>
      <c r="S161" s="1" t="s">
        <v>33</v>
      </c>
    </row>
    <row r="162" spans="1:19" x14ac:dyDescent="0.35">
      <c r="A162" s="1" t="s">
        <v>367</v>
      </c>
      <c r="B162" s="3">
        <v>45703</v>
      </c>
      <c r="C162" s="1" t="s">
        <v>42</v>
      </c>
      <c r="D162" s="1">
        <v>2</v>
      </c>
      <c r="E162" s="1" t="s">
        <v>184</v>
      </c>
      <c r="F162" s="1" t="s">
        <v>76</v>
      </c>
      <c r="G162" s="1" t="s">
        <v>23</v>
      </c>
      <c r="H162" s="1" t="s">
        <v>77</v>
      </c>
      <c r="I162" s="1" t="s">
        <v>148</v>
      </c>
      <c r="J162" s="1">
        <v>6</v>
      </c>
      <c r="K162" s="1">
        <v>291.89999999999998</v>
      </c>
      <c r="L162" s="1">
        <v>0.1</v>
      </c>
      <c r="M162" s="1">
        <v>1751.4</v>
      </c>
      <c r="N162" s="1">
        <v>175.14</v>
      </c>
      <c r="O162" s="1">
        <v>1576.26</v>
      </c>
      <c r="P162" s="1">
        <v>1134.9072000000001</v>
      </c>
      <c r="Q162" s="1">
        <v>441.35279999999989</v>
      </c>
      <c r="R162" s="1">
        <v>28</v>
      </c>
      <c r="S162" s="1" t="s">
        <v>60</v>
      </c>
    </row>
    <row r="163" spans="1:19" x14ac:dyDescent="0.35">
      <c r="A163" s="1" t="s">
        <v>368</v>
      </c>
      <c r="B163" s="3">
        <v>45890</v>
      </c>
      <c r="C163" s="1" t="s">
        <v>113</v>
      </c>
      <c r="D163" s="1">
        <v>8</v>
      </c>
      <c r="E163" s="1" t="s">
        <v>210</v>
      </c>
      <c r="F163" s="1" t="s">
        <v>47</v>
      </c>
      <c r="G163" s="1" t="s">
        <v>23</v>
      </c>
      <c r="H163" s="1" t="s">
        <v>31</v>
      </c>
      <c r="I163" s="1" t="s">
        <v>32</v>
      </c>
      <c r="J163" s="1">
        <v>6</v>
      </c>
      <c r="K163" s="1">
        <v>309.57</v>
      </c>
      <c r="L163" s="1">
        <v>0</v>
      </c>
      <c r="M163" s="1">
        <v>1857.42</v>
      </c>
      <c r="N163" s="1">
        <v>0</v>
      </c>
      <c r="O163" s="1">
        <v>1857.42</v>
      </c>
      <c r="P163" s="1">
        <v>965.85840000000007</v>
      </c>
      <c r="Q163" s="1">
        <v>891.5616</v>
      </c>
      <c r="R163" s="1">
        <v>48</v>
      </c>
      <c r="S163" s="1" t="s">
        <v>73</v>
      </c>
    </row>
    <row r="164" spans="1:19" x14ac:dyDescent="0.35">
      <c r="A164" s="1" t="s">
        <v>369</v>
      </c>
      <c r="B164" s="3">
        <v>45800</v>
      </c>
      <c r="C164" s="1" t="s">
        <v>97</v>
      </c>
      <c r="D164" s="1">
        <v>5</v>
      </c>
      <c r="E164" s="1" t="s">
        <v>259</v>
      </c>
      <c r="F164" s="1" t="s">
        <v>52</v>
      </c>
      <c r="G164" s="1" t="s">
        <v>64</v>
      </c>
      <c r="H164" s="1" t="s">
        <v>99</v>
      </c>
      <c r="I164" s="1" t="s">
        <v>223</v>
      </c>
      <c r="J164" s="1">
        <v>2</v>
      </c>
      <c r="K164" s="1">
        <v>6268.36</v>
      </c>
      <c r="L164" s="1">
        <v>0</v>
      </c>
      <c r="M164" s="1">
        <v>12536.72</v>
      </c>
      <c r="N164" s="1">
        <v>0</v>
      </c>
      <c r="O164" s="1">
        <v>12536.72</v>
      </c>
      <c r="P164" s="1">
        <v>8524.9696000000004</v>
      </c>
      <c r="Q164" s="1">
        <v>4011.750399999999</v>
      </c>
      <c r="R164" s="1">
        <v>32</v>
      </c>
      <c r="S164" s="1" t="s">
        <v>60</v>
      </c>
    </row>
    <row r="165" spans="1:19" x14ac:dyDescent="0.35">
      <c r="A165" s="1" t="s">
        <v>370</v>
      </c>
      <c r="B165" s="3">
        <v>45861</v>
      </c>
      <c r="C165" s="1" t="s">
        <v>62</v>
      </c>
      <c r="D165" s="1">
        <v>7</v>
      </c>
      <c r="E165" s="1" t="s">
        <v>371</v>
      </c>
      <c r="F165" s="1" t="s">
        <v>22</v>
      </c>
      <c r="G165" s="1" t="s">
        <v>38</v>
      </c>
      <c r="H165" s="1" t="s">
        <v>99</v>
      </c>
      <c r="I165" s="1" t="s">
        <v>108</v>
      </c>
      <c r="J165" s="1">
        <v>4</v>
      </c>
      <c r="K165" s="1">
        <v>20538.88</v>
      </c>
      <c r="L165" s="1">
        <v>0.1</v>
      </c>
      <c r="M165" s="1">
        <v>82155.520000000004</v>
      </c>
      <c r="N165" s="1">
        <v>8215.5520000000015</v>
      </c>
      <c r="O165" s="1">
        <v>73939.968000000008</v>
      </c>
      <c r="P165" s="1">
        <v>50279.178240000008</v>
      </c>
      <c r="Q165" s="1">
        <v>23660.78976</v>
      </c>
      <c r="R165" s="1">
        <v>32</v>
      </c>
      <c r="S165" s="1" t="s">
        <v>33</v>
      </c>
    </row>
    <row r="166" spans="1:19" x14ac:dyDescent="0.35">
      <c r="A166" s="1" t="s">
        <v>372</v>
      </c>
      <c r="B166" s="3">
        <v>45971</v>
      </c>
      <c r="C166" s="1" t="s">
        <v>56</v>
      </c>
      <c r="D166" s="1">
        <v>11</v>
      </c>
      <c r="E166" s="1" t="s">
        <v>373</v>
      </c>
      <c r="F166" s="1" t="s">
        <v>37</v>
      </c>
      <c r="G166" s="1" t="s">
        <v>23</v>
      </c>
      <c r="H166" s="1" t="s">
        <v>77</v>
      </c>
      <c r="I166" s="1" t="s">
        <v>90</v>
      </c>
      <c r="J166" s="1">
        <v>2</v>
      </c>
      <c r="K166" s="1">
        <v>603.04</v>
      </c>
      <c r="L166" s="1">
        <v>0</v>
      </c>
      <c r="M166" s="1">
        <v>1206.08</v>
      </c>
      <c r="N166" s="1">
        <v>0</v>
      </c>
      <c r="O166" s="1">
        <v>1206.08</v>
      </c>
      <c r="P166" s="1">
        <v>868.37759999999992</v>
      </c>
      <c r="Q166" s="1">
        <v>337.70240000000001</v>
      </c>
      <c r="R166" s="1">
        <v>28</v>
      </c>
      <c r="S166" s="1" t="s">
        <v>73</v>
      </c>
    </row>
    <row r="167" spans="1:19" x14ac:dyDescent="0.35">
      <c r="A167" s="1" t="s">
        <v>374</v>
      </c>
      <c r="B167" s="3">
        <v>45669</v>
      </c>
      <c r="C167" s="1" t="s">
        <v>193</v>
      </c>
      <c r="D167" s="1">
        <v>1</v>
      </c>
      <c r="E167" s="1" t="s">
        <v>105</v>
      </c>
      <c r="F167" s="1" t="s">
        <v>22</v>
      </c>
      <c r="G167" s="1" t="s">
        <v>23</v>
      </c>
      <c r="H167" s="1" t="s">
        <v>24</v>
      </c>
      <c r="I167" s="1" t="s">
        <v>48</v>
      </c>
      <c r="J167" s="1">
        <v>5</v>
      </c>
      <c r="K167" s="1">
        <v>3136.03</v>
      </c>
      <c r="L167" s="1">
        <v>0.15</v>
      </c>
      <c r="M167" s="1">
        <v>15680.15</v>
      </c>
      <c r="N167" s="1">
        <v>2352.0225</v>
      </c>
      <c r="O167" s="1">
        <v>13328.127500000001</v>
      </c>
      <c r="P167" s="1">
        <v>7330.4701250000016</v>
      </c>
      <c r="Q167" s="1">
        <v>5997.6573750000007</v>
      </c>
      <c r="R167" s="1">
        <v>44.999999999999993</v>
      </c>
      <c r="S167" s="1" t="s">
        <v>93</v>
      </c>
    </row>
    <row r="168" spans="1:19" x14ac:dyDescent="0.35">
      <c r="A168" s="1" t="s">
        <v>375</v>
      </c>
      <c r="B168" s="3">
        <v>45878</v>
      </c>
      <c r="C168" s="1" t="s">
        <v>113</v>
      </c>
      <c r="D168" s="1">
        <v>8</v>
      </c>
      <c r="E168" s="1" t="s">
        <v>376</v>
      </c>
      <c r="F168" s="1" t="s">
        <v>52</v>
      </c>
      <c r="G168" s="1" t="s">
        <v>64</v>
      </c>
      <c r="H168" s="1" t="s">
        <v>31</v>
      </c>
      <c r="I168" s="1" t="s">
        <v>167</v>
      </c>
      <c r="J168" s="1">
        <v>7</v>
      </c>
      <c r="K168" s="1">
        <v>344.08</v>
      </c>
      <c r="L168" s="1">
        <v>0.05</v>
      </c>
      <c r="M168" s="1">
        <v>2408.56</v>
      </c>
      <c r="N168" s="1">
        <v>120.428</v>
      </c>
      <c r="O168" s="1">
        <v>2288.1320000000001</v>
      </c>
      <c r="P168" s="1">
        <v>1189.82864</v>
      </c>
      <c r="Q168" s="1">
        <v>1098.3033600000001</v>
      </c>
      <c r="R168" s="1">
        <v>47.999999999999993</v>
      </c>
      <c r="S168" s="1" t="s">
        <v>26</v>
      </c>
    </row>
    <row r="169" spans="1:19" x14ac:dyDescent="0.35">
      <c r="A169" s="1" t="s">
        <v>377</v>
      </c>
      <c r="B169" s="3">
        <v>45788</v>
      </c>
      <c r="C169" s="1" t="s">
        <v>97</v>
      </c>
      <c r="D169" s="1">
        <v>5</v>
      </c>
      <c r="E169" s="1" t="s">
        <v>378</v>
      </c>
      <c r="F169" s="1" t="s">
        <v>76</v>
      </c>
      <c r="G169" s="1" t="s">
        <v>38</v>
      </c>
      <c r="H169" s="1" t="s">
        <v>24</v>
      </c>
      <c r="I169" s="1" t="s">
        <v>48</v>
      </c>
      <c r="J169" s="1">
        <v>2</v>
      </c>
      <c r="K169" s="1">
        <v>2717.94</v>
      </c>
      <c r="L169" s="1">
        <v>0.05</v>
      </c>
      <c r="M169" s="1">
        <v>5435.88</v>
      </c>
      <c r="N169" s="1">
        <v>271.79399999999998</v>
      </c>
      <c r="O169" s="1">
        <v>5164.0860000000002</v>
      </c>
      <c r="P169" s="1">
        <v>2840.2473</v>
      </c>
      <c r="Q169" s="1">
        <v>2323.8386999999998</v>
      </c>
      <c r="R169" s="1">
        <v>44.999999999999993</v>
      </c>
      <c r="S169" s="1" t="s">
        <v>60</v>
      </c>
    </row>
    <row r="170" spans="1:19" x14ac:dyDescent="0.35">
      <c r="A170" s="1" t="s">
        <v>379</v>
      </c>
      <c r="B170" s="3">
        <v>46007</v>
      </c>
      <c r="C170" s="1" t="s">
        <v>67</v>
      </c>
      <c r="D170" s="1">
        <v>12</v>
      </c>
      <c r="E170" s="1" t="s">
        <v>380</v>
      </c>
      <c r="F170" s="1" t="s">
        <v>58</v>
      </c>
      <c r="G170" s="1" t="s">
        <v>23</v>
      </c>
      <c r="H170" s="1" t="s">
        <v>31</v>
      </c>
      <c r="I170" s="1" t="s">
        <v>59</v>
      </c>
      <c r="J170" s="1">
        <v>7</v>
      </c>
      <c r="K170" s="1">
        <v>1572.49</v>
      </c>
      <c r="L170" s="1">
        <v>0.2</v>
      </c>
      <c r="M170" s="1">
        <v>11007.43</v>
      </c>
      <c r="N170" s="1">
        <v>2201.4859999999999</v>
      </c>
      <c r="O170" s="1">
        <v>8805.9439999999995</v>
      </c>
      <c r="P170" s="1">
        <v>4579.0908799999997</v>
      </c>
      <c r="Q170" s="1">
        <v>4226.8531199999998</v>
      </c>
      <c r="R170" s="1">
        <v>48</v>
      </c>
      <c r="S170" s="1" t="s">
        <v>33</v>
      </c>
    </row>
    <row r="171" spans="1:19" x14ac:dyDescent="0.35">
      <c r="A171" s="1" t="s">
        <v>381</v>
      </c>
      <c r="B171" s="3">
        <v>45809</v>
      </c>
      <c r="C171" s="1" t="s">
        <v>82</v>
      </c>
      <c r="D171" s="1">
        <v>6</v>
      </c>
      <c r="E171" s="1" t="s">
        <v>382</v>
      </c>
      <c r="F171" s="1" t="s">
        <v>111</v>
      </c>
      <c r="G171" s="1" t="s">
        <v>23</v>
      </c>
      <c r="H171" s="1" t="s">
        <v>99</v>
      </c>
      <c r="I171" s="1" t="s">
        <v>108</v>
      </c>
      <c r="J171" s="1">
        <v>1</v>
      </c>
      <c r="K171" s="1">
        <v>14064.91</v>
      </c>
      <c r="L171" s="1">
        <v>0.15</v>
      </c>
      <c r="M171" s="1">
        <v>14064.91</v>
      </c>
      <c r="N171" s="1">
        <v>2109.7365</v>
      </c>
      <c r="O171" s="1">
        <v>11955.173500000001</v>
      </c>
      <c r="P171" s="1">
        <v>8129.5179800000014</v>
      </c>
      <c r="Q171" s="1">
        <v>3825.6555199999989</v>
      </c>
      <c r="R171" s="1">
        <v>32</v>
      </c>
      <c r="S171" s="1" t="s">
        <v>73</v>
      </c>
    </row>
    <row r="172" spans="1:19" x14ac:dyDescent="0.35">
      <c r="A172" s="1" t="s">
        <v>383</v>
      </c>
      <c r="B172" s="3">
        <v>45992</v>
      </c>
      <c r="C172" s="1" t="s">
        <v>67</v>
      </c>
      <c r="D172" s="1">
        <v>12</v>
      </c>
      <c r="E172" s="1" t="s">
        <v>384</v>
      </c>
      <c r="F172" s="1" t="s">
        <v>52</v>
      </c>
      <c r="G172" s="1" t="s">
        <v>64</v>
      </c>
      <c r="H172" s="1" t="s">
        <v>99</v>
      </c>
      <c r="I172" s="1" t="s">
        <v>108</v>
      </c>
      <c r="J172" s="1">
        <v>4</v>
      </c>
      <c r="K172" s="1">
        <v>11988.72</v>
      </c>
      <c r="L172" s="1">
        <v>0.05</v>
      </c>
      <c r="M172" s="1">
        <v>47954.879999999997</v>
      </c>
      <c r="N172" s="1">
        <v>2397.7440000000001</v>
      </c>
      <c r="O172" s="1">
        <v>45557.135999999999</v>
      </c>
      <c r="P172" s="1">
        <v>30978.852480000001</v>
      </c>
      <c r="Q172" s="1">
        <v>14578.283520000001</v>
      </c>
      <c r="R172" s="1">
        <v>32</v>
      </c>
      <c r="S172" s="1" t="s">
        <v>26</v>
      </c>
    </row>
    <row r="173" spans="1:19" x14ac:dyDescent="0.35">
      <c r="A173" s="1" t="s">
        <v>385</v>
      </c>
      <c r="B173" s="3">
        <v>45894</v>
      </c>
      <c r="C173" s="1" t="s">
        <v>113</v>
      </c>
      <c r="D173" s="1">
        <v>8</v>
      </c>
      <c r="E173" s="1" t="s">
        <v>194</v>
      </c>
      <c r="F173" s="1" t="s">
        <v>58</v>
      </c>
      <c r="G173" s="1" t="s">
        <v>23</v>
      </c>
      <c r="H173" s="1" t="s">
        <v>99</v>
      </c>
      <c r="I173" s="1" t="s">
        <v>145</v>
      </c>
      <c r="J173" s="1">
        <v>5</v>
      </c>
      <c r="K173" s="1">
        <v>18995.04</v>
      </c>
      <c r="L173" s="1">
        <v>0.05</v>
      </c>
      <c r="M173" s="1">
        <v>94975.200000000012</v>
      </c>
      <c r="N173" s="1">
        <v>4748.7600000000011</v>
      </c>
      <c r="O173" s="1">
        <v>90226.440000000017</v>
      </c>
      <c r="P173" s="1">
        <v>61353.979200000023</v>
      </c>
      <c r="Q173" s="1">
        <v>28872.460800000001</v>
      </c>
      <c r="R173" s="1">
        <v>32</v>
      </c>
      <c r="S173" s="1" t="s">
        <v>33</v>
      </c>
    </row>
    <row r="174" spans="1:19" x14ac:dyDescent="0.35">
      <c r="A174" s="1" t="s">
        <v>386</v>
      </c>
      <c r="B174" s="3">
        <v>45671</v>
      </c>
      <c r="C174" s="1" t="s">
        <v>193</v>
      </c>
      <c r="D174" s="1">
        <v>1</v>
      </c>
      <c r="E174" s="1" t="s">
        <v>387</v>
      </c>
      <c r="F174" s="1" t="s">
        <v>52</v>
      </c>
      <c r="G174" s="1" t="s">
        <v>64</v>
      </c>
      <c r="H174" s="1" t="s">
        <v>77</v>
      </c>
      <c r="I174" s="1" t="s">
        <v>148</v>
      </c>
      <c r="J174" s="1">
        <v>2</v>
      </c>
      <c r="K174" s="1">
        <v>258.12</v>
      </c>
      <c r="L174" s="1">
        <v>0.2</v>
      </c>
      <c r="M174" s="1">
        <v>516.24</v>
      </c>
      <c r="N174" s="1">
        <v>103.248</v>
      </c>
      <c r="O174" s="1">
        <v>412.99200000000002</v>
      </c>
      <c r="P174" s="1">
        <v>297.35424</v>
      </c>
      <c r="Q174" s="1">
        <v>115.63776</v>
      </c>
      <c r="R174" s="1">
        <v>28</v>
      </c>
      <c r="S174" s="1" t="s">
        <v>33</v>
      </c>
    </row>
    <row r="175" spans="1:19" x14ac:dyDescent="0.35">
      <c r="A175" s="1" t="s">
        <v>388</v>
      </c>
      <c r="B175" s="3">
        <v>45787</v>
      </c>
      <c r="C175" s="1" t="s">
        <v>97</v>
      </c>
      <c r="D175" s="1">
        <v>5</v>
      </c>
      <c r="E175" s="1" t="s">
        <v>389</v>
      </c>
      <c r="F175" s="1" t="s">
        <v>69</v>
      </c>
      <c r="G175" s="1" t="s">
        <v>64</v>
      </c>
      <c r="H175" s="1" t="s">
        <v>77</v>
      </c>
      <c r="I175" s="1" t="s">
        <v>78</v>
      </c>
      <c r="J175" s="1">
        <v>1</v>
      </c>
      <c r="K175" s="1">
        <v>499.74</v>
      </c>
      <c r="L175" s="1">
        <v>0.3</v>
      </c>
      <c r="M175" s="1">
        <v>499.74</v>
      </c>
      <c r="N175" s="1">
        <v>149.922</v>
      </c>
      <c r="O175" s="1">
        <v>349.81799999999998</v>
      </c>
      <c r="P175" s="1">
        <v>251.86895999999999</v>
      </c>
      <c r="Q175" s="1">
        <v>97.949039999999997</v>
      </c>
      <c r="R175" s="1">
        <v>28</v>
      </c>
      <c r="S175" s="1" t="s">
        <v>60</v>
      </c>
    </row>
    <row r="176" spans="1:19" x14ac:dyDescent="0.35">
      <c r="A176" s="1" t="s">
        <v>390</v>
      </c>
      <c r="B176" s="3">
        <v>45821</v>
      </c>
      <c r="C176" s="1" t="s">
        <v>82</v>
      </c>
      <c r="D176" s="1">
        <v>6</v>
      </c>
      <c r="E176" s="1" t="s">
        <v>334</v>
      </c>
      <c r="F176" s="1" t="s">
        <v>52</v>
      </c>
      <c r="G176" s="1" t="s">
        <v>23</v>
      </c>
      <c r="H176" s="1" t="s">
        <v>31</v>
      </c>
      <c r="I176" s="1" t="s">
        <v>32</v>
      </c>
      <c r="J176" s="1">
        <v>7</v>
      </c>
      <c r="K176" s="1">
        <v>1697.51</v>
      </c>
      <c r="L176" s="1">
        <v>0.05</v>
      </c>
      <c r="M176" s="1">
        <v>11882.57</v>
      </c>
      <c r="N176" s="1">
        <v>594.12850000000003</v>
      </c>
      <c r="O176" s="1">
        <v>11288.441500000001</v>
      </c>
      <c r="P176" s="1">
        <v>5869.9895799999986</v>
      </c>
      <c r="Q176" s="1">
        <v>5418.4519200000004</v>
      </c>
      <c r="R176" s="1">
        <v>48</v>
      </c>
      <c r="S176" s="1" t="s">
        <v>93</v>
      </c>
    </row>
    <row r="177" spans="1:19" x14ac:dyDescent="0.35">
      <c r="A177" s="1" t="s">
        <v>391</v>
      </c>
      <c r="B177" s="3">
        <v>45923</v>
      </c>
      <c r="C177" s="1" t="s">
        <v>50</v>
      </c>
      <c r="D177" s="1">
        <v>9</v>
      </c>
      <c r="E177" s="1" t="s">
        <v>392</v>
      </c>
      <c r="F177" s="1" t="s">
        <v>76</v>
      </c>
      <c r="G177" s="1" t="s">
        <v>64</v>
      </c>
      <c r="H177" s="1" t="s">
        <v>24</v>
      </c>
      <c r="I177" s="1" t="s">
        <v>48</v>
      </c>
      <c r="J177" s="1">
        <v>6</v>
      </c>
      <c r="K177" s="1">
        <v>1301.6600000000001</v>
      </c>
      <c r="L177" s="1">
        <v>0.1</v>
      </c>
      <c r="M177" s="1">
        <v>7809.9600000000009</v>
      </c>
      <c r="N177" s="1">
        <v>780.99600000000009</v>
      </c>
      <c r="O177" s="1">
        <v>7028.9640000000009</v>
      </c>
      <c r="P177" s="1">
        <v>3865.9302000000012</v>
      </c>
      <c r="Q177" s="1">
        <v>3163.0338000000002</v>
      </c>
      <c r="R177" s="1">
        <v>44.999999999999993</v>
      </c>
      <c r="S177" s="1" t="s">
        <v>33</v>
      </c>
    </row>
    <row r="178" spans="1:19" x14ac:dyDescent="0.35">
      <c r="A178" s="1" t="s">
        <v>393</v>
      </c>
      <c r="B178" s="3">
        <v>45778</v>
      </c>
      <c r="C178" s="1" t="s">
        <v>97</v>
      </c>
      <c r="D178" s="1">
        <v>5</v>
      </c>
      <c r="E178" s="1" t="s">
        <v>394</v>
      </c>
      <c r="F178" s="1" t="s">
        <v>30</v>
      </c>
      <c r="G178" s="1" t="s">
        <v>38</v>
      </c>
      <c r="H178" s="1" t="s">
        <v>53</v>
      </c>
      <c r="I178" s="1" t="s">
        <v>72</v>
      </c>
      <c r="J178" s="1">
        <v>5</v>
      </c>
      <c r="K178" s="1">
        <v>956.16</v>
      </c>
      <c r="L178" s="1">
        <v>0.1</v>
      </c>
      <c r="M178" s="1">
        <v>4780.8</v>
      </c>
      <c r="N178" s="1">
        <v>478.08</v>
      </c>
      <c r="O178" s="1">
        <v>4302.72</v>
      </c>
      <c r="P178" s="1">
        <v>2495.5776000000001</v>
      </c>
      <c r="Q178" s="1">
        <v>1807.1424</v>
      </c>
      <c r="R178" s="1">
        <v>42.000000000000007</v>
      </c>
      <c r="S178" s="1" t="s">
        <v>26</v>
      </c>
    </row>
    <row r="179" spans="1:19" x14ac:dyDescent="0.35">
      <c r="A179" s="1" t="s">
        <v>395</v>
      </c>
      <c r="B179" s="3">
        <v>45991</v>
      </c>
      <c r="C179" s="1" t="s">
        <v>56</v>
      </c>
      <c r="D179" s="1">
        <v>11</v>
      </c>
      <c r="E179" s="1" t="s">
        <v>396</v>
      </c>
      <c r="F179" s="1" t="s">
        <v>76</v>
      </c>
      <c r="G179" s="1" t="s">
        <v>38</v>
      </c>
      <c r="H179" s="1" t="s">
        <v>99</v>
      </c>
      <c r="I179" s="1" t="s">
        <v>100</v>
      </c>
      <c r="J179" s="1">
        <v>1</v>
      </c>
      <c r="K179" s="1">
        <v>14451.31</v>
      </c>
      <c r="L179" s="1">
        <v>0.25</v>
      </c>
      <c r="M179" s="1">
        <v>14451.31</v>
      </c>
      <c r="N179" s="1">
        <v>3612.8274999999999</v>
      </c>
      <c r="O179" s="1">
        <v>10838.4825</v>
      </c>
      <c r="P179" s="1">
        <v>7370.1681000000008</v>
      </c>
      <c r="Q179" s="1">
        <v>3468.3143999999988</v>
      </c>
      <c r="R179" s="1">
        <v>32</v>
      </c>
      <c r="S179" s="1" t="s">
        <v>93</v>
      </c>
    </row>
    <row r="180" spans="1:19" x14ac:dyDescent="0.35">
      <c r="A180" s="1" t="s">
        <v>397</v>
      </c>
      <c r="B180" s="3">
        <v>45902</v>
      </c>
      <c r="C180" s="1" t="s">
        <v>50</v>
      </c>
      <c r="D180" s="1">
        <v>9</v>
      </c>
      <c r="E180" s="1" t="s">
        <v>309</v>
      </c>
      <c r="F180" s="1" t="s">
        <v>37</v>
      </c>
      <c r="G180" s="1" t="s">
        <v>64</v>
      </c>
      <c r="H180" s="1" t="s">
        <v>53</v>
      </c>
      <c r="I180" s="1" t="s">
        <v>54</v>
      </c>
      <c r="J180" s="1">
        <v>5</v>
      </c>
      <c r="K180" s="1">
        <v>347.94</v>
      </c>
      <c r="L180" s="1">
        <v>0.15</v>
      </c>
      <c r="M180" s="1">
        <v>1739.7</v>
      </c>
      <c r="N180" s="1">
        <v>260.95499999999998</v>
      </c>
      <c r="O180" s="1">
        <v>1478.7449999999999</v>
      </c>
      <c r="P180" s="1">
        <v>857.6721</v>
      </c>
      <c r="Q180" s="1">
        <v>621.07290000000012</v>
      </c>
      <c r="R180" s="1">
        <v>42.000000000000007</v>
      </c>
      <c r="S180" s="1" t="s">
        <v>26</v>
      </c>
    </row>
    <row r="181" spans="1:19" x14ac:dyDescent="0.35">
      <c r="A181" s="1" t="s">
        <v>398</v>
      </c>
      <c r="B181" s="3">
        <v>45956</v>
      </c>
      <c r="C181" s="1" t="s">
        <v>35</v>
      </c>
      <c r="D181" s="1">
        <v>10</v>
      </c>
      <c r="E181" s="1" t="s">
        <v>399</v>
      </c>
      <c r="F181" s="1" t="s">
        <v>30</v>
      </c>
      <c r="G181" s="1" t="s">
        <v>38</v>
      </c>
      <c r="H181" s="1" t="s">
        <v>77</v>
      </c>
      <c r="I181" s="1" t="s">
        <v>90</v>
      </c>
      <c r="J181" s="1">
        <v>2</v>
      </c>
      <c r="K181" s="1">
        <v>421.6</v>
      </c>
      <c r="L181" s="1">
        <v>0.3</v>
      </c>
      <c r="M181" s="1">
        <v>843.2</v>
      </c>
      <c r="N181" s="1">
        <v>252.96</v>
      </c>
      <c r="O181" s="1">
        <v>590.24</v>
      </c>
      <c r="P181" s="1">
        <v>424.97280000000001</v>
      </c>
      <c r="Q181" s="1">
        <v>165.2672</v>
      </c>
      <c r="R181" s="1">
        <v>28</v>
      </c>
      <c r="S181" s="1" t="s">
        <v>73</v>
      </c>
    </row>
    <row r="182" spans="1:19" x14ac:dyDescent="0.35">
      <c r="A182" s="1" t="s">
        <v>400</v>
      </c>
      <c r="B182" s="3">
        <v>45951</v>
      </c>
      <c r="C182" s="1" t="s">
        <v>35</v>
      </c>
      <c r="D182" s="1">
        <v>10</v>
      </c>
      <c r="E182" s="1" t="s">
        <v>89</v>
      </c>
      <c r="F182" s="1" t="s">
        <v>22</v>
      </c>
      <c r="G182" s="1" t="s">
        <v>23</v>
      </c>
      <c r="H182" s="1" t="s">
        <v>24</v>
      </c>
      <c r="I182" s="1" t="s">
        <v>139</v>
      </c>
      <c r="J182" s="1">
        <v>7</v>
      </c>
      <c r="K182" s="1">
        <v>664.85</v>
      </c>
      <c r="L182" s="1">
        <v>0.1</v>
      </c>
      <c r="M182" s="1">
        <v>4653.95</v>
      </c>
      <c r="N182" s="1">
        <v>465.39499999999998</v>
      </c>
      <c r="O182" s="1">
        <v>4188.5550000000003</v>
      </c>
      <c r="P182" s="1">
        <v>2303.70525</v>
      </c>
      <c r="Q182" s="1">
        <v>1884.8497500000001</v>
      </c>
      <c r="R182" s="1">
        <v>44.999999999999993</v>
      </c>
      <c r="S182" s="1" t="s">
        <v>60</v>
      </c>
    </row>
    <row r="183" spans="1:19" x14ac:dyDescent="0.35">
      <c r="A183" s="1" t="s">
        <v>401</v>
      </c>
      <c r="B183" s="3">
        <v>45921</v>
      </c>
      <c r="C183" s="1" t="s">
        <v>50</v>
      </c>
      <c r="D183" s="1">
        <v>9</v>
      </c>
      <c r="E183" s="1" t="s">
        <v>402</v>
      </c>
      <c r="F183" s="1" t="s">
        <v>76</v>
      </c>
      <c r="G183" s="1" t="s">
        <v>38</v>
      </c>
      <c r="H183" s="1" t="s">
        <v>31</v>
      </c>
      <c r="I183" s="1" t="s">
        <v>32</v>
      </c>
      <c r="J183" s="1">
        <v>6</v>
      </c>
      <c r="K183" s="1">
        <v>3064.87</v>
      </c>
      <c r="L183" s="1">
        <v>0.05</v>
      </c>
      <c r="M183" s="1">
        <v>18389.22</v>
      </c>
      <c r="N183" s="1">
        <v>919.46100000000013</v>
      </c>
      <c r="O183" s="1">
        <v>17469.758999999998</v>
      </c>
      <c r="P183" s="1">
        <v>9084.2746800000004</v>
      </c>
      <c r="Q183" s="1">
        <v>8385.4843200000014</v>
      </c>
      <c r="R183" s="1">
        <v>48.000000000000007</v>
      </c>
      <c r="S183" s="1" t="s">
        <v>26</v>
      </c>
    </row>
    <row r="184" spans="1:19" x14ac:dyDescent="0.35">
      <c r="A184" s="1" t="s">
        <v>403</v>
      </c>
      <c r="B184" s="3">
        <v>45771</v>
      </c>
      <c r="C184" s="1" t="s">
        <v>20</v>
      </c>
      <c r="D184" s="1">
        <v>4</v>
      </c>
      <c r="E184" s="1" t="s">
        <v>297</v>
      </c>
      <c r="F184" s="1" t="s">
        <v>30</v>
      </c>
      <c r="G184" s="1" t="s">
        <v>64</v>
      </c>
      <c r="H184" s="1" t="s">
        <v>99</v>
      </c>
      <c r="I184" s="1" t="s">
        <v>108</v>
      </c>
      <c r="J184" s="1">
        <v>1</v>
      </c>
      <c r="K184" s="1">
        <v>21194.74</v>
      </c>
      <c r="L184" s="1">
        <v>0.2</v>
      </c>
      <c r="M184" s="1">
        <v>21194.74</v>
      </c>
      <c r="N184" s="1">
        <v>4238.9480000000003</v>
      </c>
      <c r="O184" s="1">
        <v>16955.792000000001</v>
      </c>
      <c r="P184" s="1">
        <v>11529.938560000001</v>
      </c>
      <c r="Q184" s="1">
        <v>5425.853439999999</v>
      </c>
      <c r="R184" s="1">
        <v>31.999999999999989</v>
      </c>
      <c r="S184" s="1" t="s">
        <v>60</v>
      </c>
    </row>
    <row r="185" spans="1:19" x14ac:dyDescent="0.35">
      <c r="A185" s="1" t="s">
        <v>404</v>
      </c>
      <c r="B185" s="3">
        <v>45658</v>
      </c>
      <c r="C185" s="1" t="s">
        <v>193</v>
      </c>
      <c r="D185" s="1">
        <v>1</v>
      </c>
      <c r="E185" s="1" t="s">
        <v>405</v>
      </c>
      <c r="F185" s="1" t="s">
        <v>43</v>
      </c>
      <c r="G185" s="1" t="s">
        <v>23</v>
      </c>
      <c r="H185" s="1" t="s">
        <v>53</v>
      </c>
      <c r="I185" s="1" t="s">
        <v>72</v>
      </c>
      <c r="J185" s="1">
        <v>7</v>
      </c>
      <c r="K185" s="1">
        <v>1681.33</v>
      </c>
      <c r="L185" s="1">
        <v>0.1</v>
      </c>
      <c r="M185" s="1">
        <v>11769.31</v>
      </c>
      <c r="N185" s="1">
        <v>1176.931</v>
      </c>
      <c r="O185" s="1">
        <v>10592.379000000001</v>
      </c>
      <c r="P185" s="1">
        <v>6143.579819999999</v>
      </c>
      <c r="Q185" s="1">
        <v>4448.79918</v>
      </c>
      <c r="R185" s="1">
        <v>42.000000000000007</v>
      </c>
      <c r="S185" s="1" t="s">
        <v>73</v>
      </c>
    </row>
    <row r="186" spans="1:19" x14ac:dyDescent="0.35">
      <c r="A186" s="1" t="s">
        <v>406</v>
      </c>
      <c r="B186" s="3">
        <v>45849</v>
      </c>
      <c r="C186" s="1" t="s">
        <v>62</v>
      </c>
      <c r="D186" s="1">
        <v>7</v>
      </c>
      <c r="E186" s="1" t="s">
        <v>407</v>
      </c>
      <c r="F186" s="1" t="s">
        <v>43</v>
      </c>
      <c r="G186" s="1" t="s">
        <v>64</v>
      </c>
      <c r="H186" s="1" t="s">
        <v>77</v>
      </c>
      <c r="I186" s="1" t="s">
        <v>78</v>
      </c>
      <c r="J186" s="1">
        <v>7</v>
      </c>
      <c r="K186" s="1">
        <v>1173.75</v>
      </c>
      <c r="L186" s="1">
        <v>0.1</v>
      </c>
      <c r="M186" s="1">
        <v>8216.25</v>
      </c>
      <c r="N186" s="1">
        <v>821.625</v>
      </c>
      <c r="O186" s="1">
        <v>7394.625</v>
      </c>
      <c r="P186" s="1">
        <v>5324.13</v>
      </c>
      <c r="Q186" s="1">
        <v>2070.4949999999999</v>
      </c>
      <c r="R186" s="1">
        <v>28</v>
      </c>
      <c r="S186" s="1" t="s">
        <v>60</v>
      </c>
    </row>
    <row r="187" spans="1:19" x14ac:dyDescent="0.35">
      <c r="A187" s="1" t="s">
        <v>408</v>
      </c>
      <c r="B187" s="3">
        <v>45981</v>
      </c>
      <c r="C187" s="1" t="s">
        <v>56</v>
      </c>
      <c r="D187" s="1">
        <v>11</v>
      </c>
      <c r="E187" s="1" t="s">
        <v>409</v>
      </c>
      <c r="F187" s="1" t="s">
        <v>52</v>
      </c>
      <c r="G187" s="1" t="s">
        <v>23</v>
      </c>
      <c r="H187" s="1" t="s">
        <v>99</v>
      </c>
      <c r="I187" s="1" t="s">
        <v>145</v>
      </c>
      <c r="J187" s="1">
        <v>5</v>
      </c>
      <c r="K187" s="1">
        <v>19716.79</v>
      </c>
      <c r="L187" s="1">
        <v>0.25</v>
      </c>
      <c r="M187" s="1">
        <v>98583.950000000012</v>
      </c>
      <c r="N187" s="1">
        <v>24645.987499999999</v>
      </c>
      <c r="O187" s="1">
        <v>73937.962500000009</v>
      </c>
      <c r="P187" s="1">
        <v>50277.814500000008</v>
      </c>
      <c r="Q187" s="1">
        <v>23660.148000000001</v>
      </c>
      <c r="R187" s="1">
        <v>32</v>
      </c>
      <c r="S187" s="1" t="s">
        <v>93</v>
      </c>
    </row>
    <row r="188" spans="1:19" x14ac:dyDescent="0.35">
      <c r="A188" s="1" t="s">
        <v>410</v>
      </c>
      <c r="B188" s="3">
        <v>45936</v>
      </c>
      <c r="C188" s="1" t="s">
        <v>35</v>
      </c>
      <c r="D188" s="1">
        <v>10</v>
      </c>
      <c r="E188" s="1" t="s">
        <v>312</v>
      </c>
      <c r="F188" s="1" t="s">
        <v>111</v>
      </c>
      <c r="G188" s="1" t="s">
        <v>38</v>
      </c>
      <c r="H188" s="1" t="s">
        <v>53</v>
      </c>
      <c r="I188" s="1" t="s">
        <v>185</v>
      </c>
      <c r="J188" s="1">
        <v>5</v>
      </c>
      <c r="K188" s="1">
        <v>2062.8000000000002</v>
      </c>
      <c r="L188" s="1">
        <v>0.05</v>
      </c>
      <c r="M188" s="1">
        <v>10314</v>
      </c>
      <c r="N188" s="1">
        <v>515.70000000000005</v>
      </c>
      <c r="O188" s="1">
        <v>9798.2999999999993</v>
      </c>
      <c r="P188" s="1">
        <v>5683.0139999999992</v>
      </c>
      <c r="Q188" s="1">
        <v>4115.2860000000001</v>
      </c>
      <c r="R188" s="1">
        <v>42.000000000000007</v>
      </c>
      <c r="S188" s="1" t="s">
        <v>33</v>
      </c>
    </row>
    <row r="189" spans="1:19" x14ac:dyDescent="0.35">
      <c r="A189" s="1" t="s">
        <v>411</v>
      </c>
      <c r="B189" s="3">
        <v>45856</v>
      </c>
      <c r="C189" s="1" t="s">
        <v>62</v>
      </c>
      <c r="D189" s="1">
        <v>7</v>
      </c>
      <c r="E189" s="1" t="s">
        <v>412</v>
      </c>
      <c r="F189" s="1" t="s">
        <v>76</v>
      </c>
      <c r="G189" s="1" t="s">
        <v>38</v>
      </c>
      <c r="H189" s="1" t="s">
        <v>31</v>
      </c>
      <c r="I189" s="1" t="s">
        <v>59</v>
      </c>
      <c r="J189" s="1">
        <v>3</v>
      </c>
      <c r="K189" s="1">
        <v>1482.24</v>
      </c>
      <c r="L189" s="1">
        <v>0.1</v>
      </c>
      <c r="M189" s="1">
        <v>4446.72</v>
      </c>
      <c r="N189" s="1">
        <v>444.67200000000003</v>
      </c>
      <c r="O189" s="1">
        <v>4002.0479999999998</v>
      </c>
      <c r="P189" s="1">
        <v>2081.0649600000002</v>
      </c>
      <c r="Q189" s="1">
        <v>1920.9830400000001</v>
      </c>
      <c r="R189" s="1">
        <v>48</v>
      </c>
      <c r="S189" s="1" t="s">
        <v>73</v>
      </c>
    </row>
    <row r="190" spans="1:19" x14ac:dyDescent="0.35">
      <c r="A190" s="1" t="s">
        <v>413</v>
      </c>
      <c r="B190" s="3">
        <v>45924</v>
      </c>
      <c r="C190" s="1" t="s">
        <v>50</v>
      </c>
      <c r="D190" s="1">
        <v>9</v>
      </c>
      <c r="E190" s="1" t="s">
        <v>414</v>
      </c>
      <c r="F190" s="1" t="s">
        <v>69</v>
      </c>
      <c r="G190" s="1" t="s">
        <v>64</v>
      </c>
      <c r="H190" s="1" t="s">
        <v>53</v>
      </c>
      <c r="I190" s="1" t="s">
        <v>54</v>
      </c>
      <c r="J190" s="1">
        <v>6</v>
      </c>
      <c r="K190" s="1">
        <v>1642.18</v>
      </c>
      <c r="L190" s="1">
        <v>0.2</v>
      </c>
      <c r="M190" s="1">
        <v>9853.08</v>
      </c>
      <c r="N190" s="1">
        <v>1970.616</v>
      </c>
      <c r="O190" s="1">
        <v>7882.4639999999999</v>
      </c>
      <c r="P190" s="1">
        <v>4571.8291199999994</v>
      </c>
      <c r="Q190" s="1">
        <v>3310.634880000001</v>
      </c>
      <c r="R190" s="1">
        <v>42.000000000000007</v>
      </c>
      <c r="S190" s="1" t="s">
        <v>73</v>
      </c>
    </row>
    <row r="191" spans="1:19" x14ac:dyDescent="0.35">
      <c r="A191" s="1" t="s">
        <v>415</v>
      </c>
      <c r="B191" s="3">
        <v>45774</v>
      </c>
      <c r="C191" s="1" t="s">
        <v>20</v>
      </c>
      <c r="D191" s="1">
        <v>4</v>
      </c>
      <c r="E191" s="1" t="s">
        <v>380</v>
      </c>
      <c r="F191" s="1" t="s">
        <v>58</v>
      </c>
      <c r="G191" s="1" t="s">
        <v>38</v>
      </c>
      <c r="H191" s="1" t="s">
        <v>31</v>
      </c>
      <c r="I191" s="1" t="s">
        <v>190</v>
      </c>
      <c r="J191" s="1">
        <v>2</v>
      </c>
      <c r="K191" s="1">
        <v>559.42999999999995</v>
      </c>
      <c r="L191" s="1">
        <v>0.05</v>
      </c>
      <c r="M191" s="1">
        <v>1118.8599999999999</v>
      </c>
      <c r="N191" s="1">
        <v>55.942999999999998</v>
      </c>
      <c r="O191" s="1">
        <v>1062.9169999999999</v>
      </c>
      <c r="P191" s="1">
        <v>552.71683999999993</v>
      </c>
      <c r="Q191" s="1">
        <v>510.20015999999998</v>
      </c>
      <c r="R191" s="1">
        <v>48.000000000000007</v>
      </c>
      <c r="S191" s="1" t="s">
        <v>73</v>
      </c>
    </row>
    <row r="192" spans="1:19" x14ac:dyDescent="0.35">
      <c r="A192" s="1" t="s">
        <v>416</v>
      </c>
      <c r="B192" s="3">
        <v>46021</v>
      </c>
      <c r="C192" s="1" t="s">
        <v>67</v>
      </c>
      <c r="D192" s="1">
        <v>12</v>
      </c>
      <c r="E192" s="1" t="s">
        <v>187</v>
      </c>
      <c r="F192" s="1" t="s">
        <v>43</v>
      </c>
      <c r="G192" s="1" t="s">
        <v>38</v>
      </c>
      <c r="H192" s="1" t="s">
        <v>53</v>
      </c>
      <c r="I192" s="1" t="s">
        <v>128</v>
      </c>
      <c r="J192" s="1">
        <v>3</v>
      </c>
      <c r="K192" s="1">
        <v>143.76</v>
      </c>
      <c r="L192" s="1">
        <v>0.05</v>
      </c>
      <c r="M192" s="1">
        <v>431.28</v>
      </c>
      <c r="N192" s="1">
        <v>21.564</v>
      </c>
      <c r="O192" s="1">
        <v>409.71600000000001</v>
      </c>
      <c r="P192" s="1">
        <v>237.63527999999999</v>
      </c>
      <c r="Q192" s="1">
        <v>172.08072000000001</v>
      </c>
      <c r="R192" s="1">
        <v>42.000000000000007</v>
      </c>
      <c r="S192" s="1" t="s">
        <v>33</v>
      </c>
    </row>
    <row r="193" spans="1:19" x14ac:dyDescent="0.35">
      <c r="A193" s="1" t="s">
        <v>417</v>
      </c>
      <c r="B193" s="3">
        <v>45934</v>
      </c>
      <c r="C193" s="1" t="s">
        <v>35</v>
      </c>
      <c r="D193" s="1">
        <v>10</v>
      </c>
      <c r="E193" s="1" t="s">
        <v>418</v>
      </c>
      <c r="F193" s="1" t="s">
        <v>69</v>
      </c>
      <c r="G193" s="1" t="s">
        <v>23</v>
      </c>
      <c r="H193" s="1" t="s">
        <v>31</v>
      </c>
      <c r="I193" s="1" t="s">
        <v>59</v>
      </c>
      <c r="J193" s="1">
        <v>6</v>
      </c>
      <c r="K193" s="1">
        <v>842.04</v>
      </c>
      <c r="L193" s="1">
        <v>0.05</v>
      </c>
      <c r="M193" s="1">
        <v>5052.24</v>
      </c>
      <c r="N193" s="1">
        <v>252.61199999999999</v>
      </c>
      <c r="O193" s="1">
        <v>4799.6279999999997</v>
      </c>
      <c r="P193" s="1">
        <v>2495.80656</v>
      </c>
      <c r="Q193" s="1">
        <v>2303.8214400000002</v>
      </c>
      <c r="R193" s="1">
        <v>48</v>
      </c>
      <c r="S193" s="1" t="s">
        <v>73</v>
      </c>
    </row>
    <row r="194" spans="1:19" x14ac:dyDescent="0.35">
      <c r="A194" s="1" t="s">
        <v>419</v>
      </c>
      <c r="B194" s="3">
        <v>45659</v>
      </c>
      <c r="C194" s="1" t="s">
        <v>193</v>
      </c>
      <c r="D194" s="1">
        <v>1</v>
      </c>
      <c r="E194" s="1" t="s">
        <v>420</v>
      </c>
      <c r="F194" s="1" t="s">
        <v>37</v>
      </c>
      <c r="G194" s="1" t="s">
        <v>38</v>
      </c>
      <c r="H194" s="1" t="s">
        <v>39</v>
      </c>
      <c r="I194" s="1" t="s">
        <v>155</v>
      </c>
      <c r="J194" s="1">
        <v>5</v>
      </c>
      <c r="K194" s="1">
        <v>31572.3</v>
      </c>
      <c r="L194" s="1">
        <v>0.05</v>
      </c>
      <c r="M194" s="1">
        <v>157861.5</v>
      </c>
      <c r="N194" s="1">
        <v>7893.0750000000007</v>
      </c>
      <c r="O194" s="1">
        <v>149968.42499999999</v>
      </c>
      <c r="P194" s="1">
        <v>116975.37149999999</v>
      </c>
      <c r="Q194" s="1">
        <v>32993.053499999987</v>
      </c>
      <c r="R194" s="1">
        <v>22</v>
      </c>
      <c r="S194" s="1" t="s">
        <v>60</v>
      </c>
    </row>
    <row r="195" spans="1:19" x14ac:dyDescent="0.35">
      <c r="A195" s="1" t="s">
        <v>421</v>
      </c>
      <c r="B195" s="3">
        <v>45955</v>
      </c>
      <c r="C195" s="1" t="s">
        <v>35</v>
      </c>
      <c r="D195" s="1">
        <v>10</v>
      </c>
      <c r="E195" s="1" t="s">
        <v>422</v>
      </c>
      <c r="F195" s="1" t="s">
        <v>30</v>
      </c>
      <c r="G195" s="1" t="s">
        <v>64</v>
      </c>
      <c r="H195" s="1" t="s">
        <v>24</v>
      </c>
      <c r="I195" s="1" t="s">
        <v>44</v>
      </c>
      <c r="J195" s="1">
        <v>4</v>
      </c>
      <c r="K195" s="1">
        <v>3159.5</v>
      </c>
      <c r="L195" s="1">
        <v>0.2</v>
      </c>
      <c r="M195" s="1">
        <v>12638</v>
      </c>
      <c r="N195" s="1">
        <v>2527.6</v>
      </c>
      <c r="O195" s="1">
        <v>10110.4</v>
      </c>
      <c r="P195" s="1">
        <v>5560.72</v>
      </c>
      <c r="Q195" s="1">
        <v>4549.6799999999994</v>
      </c>
      <c r="R195" s="1">
        <v>44.999999999999993</v>
      </c>
      <c r="S195" s="1" t="s">
        <v>26</v>
      </c>
    </row>
    <row r="196" spans="1:19" x14ac:dyDescent="0.35">
      <c r="A196" s="1" t="s">
        <v>423</v>
      </c>
      <c r="B196" s="3">
        <v>45798</v>
      </c>
      <c r="C196" s="1" t="s">
        <v>97</v>
      </c>
      <c r="D196" s="1">
        <v>5</v>
      </c>
      <c r="E196" s="1" t="s">
        <v>424</v>
      </c>
      <c r="F196" s="1" t="s">
        <v>43</v>
      </c>
      <c r="G196" s="1" t="s">
        <v>38</v>
      </c>
      <c r="H196" s="1" t="s">
        <v>77</v>
      </c>
      <c r="I196" s="1" t="s">
        <v>201</v>
      </c>
      <c r="J196" s="1">
        <v>6</v>
      </c>
      <c r="K196" s="1">
        <v>642.45000000000005</v>
      </c>
      <c r="L196" s="1">
        <v>0.15</v>
      </c>
      <c r="M196" s="1">
        <v>3854.7</v>
      </c>
      <c r="N196" s="1">
        <v>578.20500000000004</v>
      </c>
      <c r="O196" s="1">
        <v>3276.4949999999999</v>
      </c>
      <c r="P196" s="1">
        <v>2359.0763999999999</v>
      </c>
      <c r="Q196" s="1">
        <v>917.41859999999997</v>
      </c>
      <c r="R196" s="1">
        <v>28</v>
      </c>
      <c r="S196" s="1" t="s">
        <v>73</v>
      </c>
    </row>
    <row r="197" spans="1:19" x14ac:dyDescent="0.35">
      <c r="A197" s="1" t="s">
        <v>425</v>
      </c>
      <c r="B197" s="3">
        <v>45778</v>
      </c>
      <c r="C197" s="1" t="s">
        <v>97</v>
      </c>
      <c r="D197" s="1">
        <v>5</v>
      </c>
      <c r="E197" s="1" t="s">
        <v>274</v>
      </c>
      <c r="F197" s="1" t="s">
        <v>111</v>
      </c>
      <c r="G197" s="1" t="s">
        <v>23</v>
      </c>
      <c r="H197" s="1" t="s">
        <v>31</v>
      </c>
      <c r="I197" s="1" t="s">
        <v>190</v>
      </c>
      <c r="J197" s="1">
        <v>2</v>
      </c>
      <c r="K197" s="1">
        <v>3170.08</v>
      </c>
      <c r="L197" s="1">
        <v>0.1</v>
      </c>
      <c r="M197" s="1">
        <v>6340.16</v>
      </c>
      <c r="N197" s="1">
        <v>634.01600000000008</v>
      </c>
      <c r="O197" s="1">
        <v>5706.1440000000002</v>
      </c>
      <c r="P197" s="1">
        <v>2967.19488</v>
      </c>
      <c r="Q197" s="1">
        <v>2738.9491200000002</v>
      </c>
      <c r="R197" s="1">
        <v>48.000000000000007</v>
      </c>
      <c r="S197" s="1" t="s">
        <v>33</v>
      </c>
    </row>
    <row r="198" spans="1:19" x14ac:dyDescent="0.35">
      <c r="A198" s="1" t="s">
        <v>426</v>
      </c>
      <c r="B198" s="3">
        <v>45717</v>
      </c>
      <c r="C198" s="1" t="s">
        <v>28</v>
      </c>
      <c r="D198" s="1">
        <v>3</v>
      </c>
      <c r="E198" s="1" t="s">
        <v>184</v>
      </c>
      <c r="F198" s="1" t="s">
        <v>111</v>
      </c>
      <c r="G198" s="1" t="s">
        <v>38</v>
      </c>
      <c r="H198" s="1" t="s">
        <v>99</v>
      </c>
      <c r="I198" s="1" t="s">
        <v>223</v>
      </c>
      <c r="J198" s="1">
        <v>1</v>
      </c>
      <c r="K198" s="1">
        <v>4649.54</v>
      </c>
      <c r="L198" s="1">
        <v>0.15</v>
      </c>
      <c r="M198" s="1">
        <v>4649.54</v>
      </c>
      <c r="N198" s="1">
        <v>697.43099999999993</v>
      </c>
      <c r="O198" s="1">
        <v>3952.1089999999999</v>
      </c>
      <c r="P198" s="1">
        <v>2687.4341199999999</v>
      </c>
      <c r="Q198" s="1">
        <v>1264.67488</v>
      </c>
      <c r="R198" s="1">
        <v>31.999999999999989</v>
      </c>
      <c r="S198" s="1" t="s">
        <v>26</v>
      </c>
    </row>
    <row r="199" spans="1:19" x14ac:dyDescent="0.35">
      <c r="A199" s="1" t="s">
        <v>427</v>
      </c>
      <c r="B199" s="3">
        <v>45765</v>
      </c>
      <c r="C199" s="1" t="s">
        <v>20</v>
      </c>
      <c r="D199" s="1">
        <v>4</v>
      </c>
      <c r="E199" s="1" t="s">
        <v>380</v>
      </c>
      <c r="F199" s="1" t="s">
        <v>69</v>
      </c>
      <c r="G199" s="1" t="s">
        <v>38</v>
      </c>
      <c r="H199" s="1" t="s">
        <v>99</v>
      </c>
      <c r="I199" s="1" t="s">
        <v>100</v>
      </c>
      <c r="J199" s="1">
        <v>1</v>
      </c>
      <c r="K199" s="1">
        <v>7376.65</v>
      </c>
      <c r="L199" s="1">
        <v>0</v>
      </c>
      <c r="M199" s="1">
        <v>7376.65</v>
      </c>
      <c r="N199" s="1">
        <v>0</v>
      </c>
      <c r="O199" s="1">
        <v>7376.65</v>
      </c>
      <c r="P199" s="1">
        <v>5016.1220000000003</v>
      </c>
      <c r="Q199" s="1">
        <v>2360.5279999999989</v>
      </c>
      <c r="R199" s="1">
        <v>32</v>
      </c>
      <c r="S199" s="1" t="s">
        <v>73</v>
      </c>
    </row>
    <row r="200" spans="1:19" x14ac:dyDescent="0.35">
      <c r="A200" s="1" t="s">
        <v>428</v>
      </c>
      <c r="B200" s="3">
        <v>45735</v>
      </c>
      <c r="C200" s="1" t="s">
        <v>28</v>
      </c>
      <c r="D200" s="1">
        <v>3</v>
      </c>
      <c r="E200" s="1" t="s">
        <v>285</v>
      </c>
      <c r="F200" s="1" t="s">
        <v>22</v>
      </c>
      <c r="G200" s="1" t="s">
        <v>64</v>
      </c>
      <c r="H200" s="1" t="s">
        <v>31</v>
      </c>
      <c r="I200" s="1" t="s">
        <v>32</v>
      </c>
      <c r="J200" s="1">
        <v>5</v>
      </c>
      <c r="K200" s="1">
        <v>392.9</v>
      </c>
      <c r="L200" s="1">
        <v>0.05</v>
      </c>
      <c r="M200" s="1">
        <v>1964.5</v>
      </c>
      <c r="N200" s="1">
        <v>98.225000000000009</v>
      </c>
      <c r="O200" s="1">
        <v>1866.2750000000001</v>
      </c>
      <c r="P200" s="1">
        <v>970.46300000000008</v>
      </c>
      <c r="Q200" s="1">
        <v>895.81200000000001</v>
      </c>
      <c r="R200" s="1">
        <v>48</v>
      </c>
      <c r="S200" s="1" t="s">
        <v>26</v>
      </c>
    </row>
    <row r="201" spans="1:19" x14ac:dyDescent="0.35">
      <c r="A201" s="1" t="s">
        <v>429</v>
      </c>
      <c r="B201" s="3">
        <v>45699</v>
      </c>
      <c r="C201" s="1" t="s">
        <v>42</v>
      </c>
      <c r="D201" s="1">
        <v>2</v>
      </c>
      <c r="E201" s="1" t="s">
        <v>291</v>
      </c>
      <c r="F201" s="1" t="s">
        <v>69</v>
      </c>
      <c r="G201" s="1" t="s">
        <v>23</v>
      </c>
      <c r="H201" s="1" t="s">
        <v>77</v>
      </c>
      <c r="I201" s="1" t="s">
        <v>201</v>
      </c>
      <c r="J201" s="1">
        <v>5</v>
      </c>
      <c r="K201" s="1">
        <v>875.24</v>
      </c>
      <c r="L201" s="1">
        <v>0.15</v>
      </c>
      <c r="M201" s="1">
        <v>4376.2</v>
      </c>
      <c r="N201" s="1">
        <v>656.43</v>
      </c>
      <c r="O201" s="1">
        <v>3719.77</v>
      </c>
      <c r="P201" s="1">
        <v>2678.2343999999998</v>
      </c>
      <c r="Q201" s="1">
        <v>1041.5355999999999</v>
      </c>
      <c r="R201" s="1">
        <v>28</v>
      </c>
      <c r="S201" s="1" t="s">
        <v>93</v>
      </c>
    </row>
    <row r="202" spans="1:19" x14ac:dyDescent="0.35">
      <c r="A202" s="1" t="s">
        <v>430</v>
      </c>
      <c r="B202" s="3">
        <v>45693</v>
      </c>
      <c r="C202" s="1" t="s">
        <v>42</v>
      </c>
      <c r="D202" s="1">
        <v>2</v>
      </c>
      <c r="E202" s="1" t="s">
        <v>431</v>
      </c>
      <c r="F202" s="1" t="s">
        <v>43</v>
      </c>
      <c r="G202" s="1" t="s">
        <v>38</v>
      </c>
      <c r="H202" s="1" t="s">
        <v>31</v>
      </c>
      <c r="I202" s="1" t="s">
        <v>59</v>
      </c>
      <c r="J202" s="1">
        <v>1</v>
      </c>
      <c r="K202" s="1">
        <v>2165.98</v>
      </c>
      <c r="L202" s="1">
        <v>0.1</v>
      </c>
      <c r="M202" s="1">
        <v>2165.98</v>
      </c>
      <c r="N202" s="1">
        <v>216.59800000000001</v>
      </c>
      <c r="O202" s="1">
        <v>1949.3820000000001</v>
      </c>
      <c r="P202" s="1">
        <v>1013.67864</v>
      </c>
      <c r="Q202" s="1">
        <v>935.70335999999998</v>
      </c>
      <c r="R202" s="1">
        <v>48</v>
      </c>
      <c r="S202" s="1" t="s">
        <v>93</v>
      </c>
    </row>
    <row r="203" spans="1:19" x14ac:dyDescent="0.35">
      <c r="A203" s="1" t="s">
        <v>432</v>
      </c>
      <c r="B203" s="3">
        <v>45706</v>
      </c>
      <c r="C203" s="1" t="s">
        <v>42</v>
      </c>
      <c r="D203" s="1">
        <v>2</v>
      </c>
      <c r="E203" s="1" t="s">
        <v>433</v>
      </c>
      <c r="F203" s="1" t="s">
        <v>111</v>
      </c>
      <c r="G203" s="1" t="s">
        <v>23</v>
      </c>
      <c r="H203" s="1" t="s">
        <v>24</v>
      </c>
      <c r="I203" s="1" t="s">
        <v>44</v>
      </c>
      <c r="J203" s="1">
        <v>2</v>
      </c>
      <c r="K203" s="1">
        <v>4182.8100000000004</v>
      </c>
      <c r="L203" s="1">
        <v>0</v>
      </c>
      <c r="M203" s="1">
        <v>8365.6200000000008</v>
      </c>
      <c r="N203" s="1">
        <v>0</v>
      </c>
      <c r="O203" s="1">
        <v>8365.6200000000008</v>
      </c>
      <c r="P203" s="1">
        <v>4601.0910000000013</v>
      </c>
      <c r="Q203" s="1">
        <v>3764.529</v>
      </c>
      <c r="R203" s="1">
        <v>44.999999999999993</v>
      </c>
      <c r="S203" s="1" t="s">
        <v>26</v>
      </c>
    </row>
    <row r="204" spans="1:19" x14ac:dyDescent="0.35">
      <c r="A204" s="1" t="s">
        <v>434</v>
      </c>
      <c r="B204" s="3">
        <v>45957</v>
      </c>
      <c r="C204" s="1" t="s">
        <v>35</v>
      </c>
      <c r="D204" s="1">
        <v>10</v>
      </c>
      <c r="E204" s="1" t="s">
        <v>435</v>
      </c>
      <c r="F204" s="1" t="s">
        <v>47</v>
      </c>
      <c r="G204" s="1" t="s">
        <v>23</v>
      </c>
      <c r="H204" s="1" t="s">
        <v>31</v>
      </c>
      <c r="I204" s="1" t="s">
        <v>167</v>
      </c>
      <c r="J204" s="1">
        <v>2</v>
      </c>
      <c r="K204" s="1">
        <v>1298.9100000000001</v>
      </c>
      <c r="L204" s="1">
        <v>0.15</v>
      </c>
      <c r="M204" s="1">
        <v>2597.8200000000002</v>
      </c>
      <c r="N204" s="1">
        <v>389.673</v>
      </c>
      <c r="O204" s="1">
        <v>2208.1469999999999</v>
      </c>
      <c r="P204" s="1">
        <v>1148.2364399999999</v>
      </c>
      <c r="Q204" s="1">
        <v>1059.91056</v>
      </c>
      <c r="R204" s="1">
        <v>48.000000000000007</v>
      </c>
      <c r="S204" s="1" t="s">
        <v>26</v>
      </c>
    </row>
    <row r="205" spans="1:19" x14ac:dyDescent="0.35">
      <c r="A205" s="1" t="s">
        <v>436</v>
      </c>
      <c r="B205" s="3">
        <v>46011</v>
      </c>
      <c r="C205" s="1" t="s">
        <v>67</v>
      </c>
      <c r="D205" s="1">
        <v>12</v>
      </c>
      <c r="E205" s="1" t="s">
        <v>136</v>
      </c>
      <c r="F205" s="1" t="s">
        <v>111</v>
      </c>
      <c r="G205" s="1" t="s">
        <v>64</v>
      </c>
      <c r="H205" s="1" t="s">
        <v>77</v>
      </c>
      <c r="I205" s="1" t="s">
        <v>78</v>
      </c>
      <c r="J205" s="1">
        <v>4</v>
      </c>
      <c r="K205" s="1">
        <v>119.16</v>
      </c>
      <c r="L205" s="1">
        <v>0.15</v>
      </c>
      <c r="M205" s="1">
        <v>476.64</v>
      </c>
      <c r="N205" s="1">
        <v>71.495999999999995</v>
      </c>
      <c r="O205" s="1">
        <v>405.14400000000001</v>
      </c>
      <c r="P205" s="1">
        <v>291.70368000000002</v>
      </c>
      <c r="Q205" s="1">
        <v>113.44032</v>
      </c>
      <c r="R205" s="1">
        <v>28</v>
      </c>
      <c r="S205" s="1" t="s">
        <v>60</v>
      </c>
    </row>
    <row r="206" spans="1:19" x14ac:dyDescent="0.35">
      <c r="A206" s="1" t="s">
        <v>437</v>
      </c>
      <c r="B206" s="3">
        <v>45968</v>
      </c>
      <c r="C206" s="1" t="s">
        <v>56</v>
      </c>
      <c r="D206" s="1">
        <v>11</v>
      </c>
      <c r="E206" s="1" t="s">
        <v>309</v>
      </c>
      <c r="F206" s="1" t="s">
        <v>76</v>
      </c>
      <c r="G206" s="1" t="s">
        <v>38</v>
      </c>
      <c r="H206" s="1" t="s">
        <v>99</v>
      </c>
      <c r="I206" s="1" t="s">
        <v>120</v>
      </c>
      <c r="J206" s="1">
        <v>6</v>
      </c>
      <c r="K206" s="1">
        <v>12010.51</v>
      </c>
      <c r="L206" s="1">
        <v>0.2</v>
      </c>
      <c r="M206" s="1">
        <v>72063.06</v>
      </c>
      <c r="N206" s="1">
        <v>14412.611999999999</v>
      </c>
      <c r="O206" s="1">
        <v>57650.447999999997</v>
      </c>
      <c r="P206" s="1">
        <v>39202.304640000002</v>
      </c>
      <c r="Q206" s="1">
        <v>18448.143359999991</v>
      </c>
      <c r="R206" s="1">
        <v>32</v>
      </c>
      <c r="S206" s="1" t="s">
        <v>33</v>
      </c>
    </row>
    <row r="207" spans="1:19" x14ac:dyDescent="0.35">
      <c r="A207" s="1" t="s">
        <v>438</v>
      </c>
      <c r="B207" s="3">
        <v>45772</v>
      </c>
      <c r="C207" s="1" t="s">
        <v>20</v>
      </c>
      <c r="D207" s="1">
        <v>4</v>
      </c>
      <c r="E207" s="1" t="s">
        <v>439</v>
      </c>
      <c r="F207" s="1" t="s">
        <v>111</v>
      </c>
      <c r="G207" s="1" t="s">
        <v>23</v>
      </c>
      <c r="H207" s="1" t="s">
        <v>77</v>
      </c>
      <c r="I207" s="1" t="s">
        <v>201</v>
      </c>
      <c r="J207" s="1">
        <v>5</v>
      </c>
      <c r="K207" s="1">
        <v>897.76</v>
      </c>
      <c r="L207" s="1">
        <v>0.2</v>
      </c>
      <c r="M207" s="1">
        <v>4488.8</v>
      </c>
      <c r="N207" s="1">
        <v>897.7600000000001</v>
      </c>
      <c r="O207" s="1">
        <v>3591.04</v>
      </c>
      <c r="P207" s="1">
        <v>2585.5488</v>
      </c>
      <c r="Q207" s="1">
        <v>1005.4912</v>
      </c>
      <c r="R207" s="1">
        <v>28</v>
      </c>
      <c r="S207" s="1" t="s">
        <v>60</v>
      </c>
    </row>
    <row r="208" spans="1:19" x14ac:dyDescent="0.35">
      <c r="A208" s="1" t="s">
        <v>440</v>
      </c>
      <c r="B208" s="3">
        <v>45929</v>
      </c>
      <c r="C208" s="1" t="s">
        <v>50</v>
      </c>
      <c r="D208" s="1">
        <v>9</v>
      </c>
      <c r="E208" s="1" t="s">
        <v>441</v>
      </c>
      <c r="F208" s="1" t="s">
        <v>76</v>
      </c>
      <c r="G208" s="1" t="s">
        <v>38</v>
      </c>
      <c r="H208" s="1" t="s">
        <v>24</v>
      </c>
      <c r="I208" s="1" t="s">
        <v>44</v>
      </c>
      <c r="J208" s="1">
        <v>6</v>
      </c>
      <c r="K208" s="1">
        <v>1376.17</v>
      </c>
      <c r="L208" s="1">
        <v>0</v>
      </c>
      <c r="M208" s="1">
        <v>8257.02</v>
      </c>
      <c r="N208" s="1">
        <v>0</v>
      </c>
      <c r="O208" s="1">
        <v>8257.02</v>
      </c>
      <c r="P208" s="1">
        <v>4541.3610000000008</v>
      </c>
      <c r="Q208" s="1">
        <v>3715.6590000000001</v>
      </c>
      <c r="R208" s="1">
        <v>44.999999999999993</v>
      </c>
      <c r="S208" s="1" t="s">
        <v>93</v>
      </c>
    </row>
    <row r="209" spans="1:19" x14ac:dyDescent="0.35">
      <c r="A209" s="1" t="s">
        <v>442</v>
      </c>
      <c r="B209" s="3">
        <v>45723</v>
      </c>
      <c r="C209" s="1" t="s">
        <v>28</v>
      </c>
      <c r="D209" s="1">
        <v>3</v>
      </c>
      <c r="E209" s="1" t="s">
        <v>443</v>
      </c>
      <c r="F209" s="1" t="s">
        <v>22</v>
      </c>
      <c r="G209" s="1" t="s">
        <v>23</v>
      </c>
      <c r="H209" s="1" t="s">
        <v>39</v>
      </c>
      <c r="I209" s="1" t="s">
        <v>234</v>
      </c>
      <c r="J209" s="1">
        <v>5</v>
      </c>
      <c r="K209" s="1">
        <v>27740.34</v>
      </c>
      <c r="L209" s="1">
        <v>0.05</v>
      </c>
      <c r="M209" s="1">
        <v>138701.70000000001</v>
      </c>
      <c r="N209" s="1">
        <v>6935.0850000000009</v>
      </c>
      <c r="O209" s="1">
        <v>131766.61499999999</v>
      </c>
      <c r="P209" s="1">
        <v>102777.95970000001</v>
      </c>
      <c r="Q209" s="1">
        <v>28988.655299999999</v>
      </c>
      <c r="R209" s="1">
        <v>21.999999999999989</v>
      </c>
      <c r="S209" s="1" t="s">
        <v>73</v>
      </c>
    </row>
    <row r="210" spans="1:19" x14ac:dyDescent="0.35">
      <c r="A210" s="1" t="s">
        <v>444</v>
      </c>
      <c r="B210" s="3">
        <v>45968</v>
      </c>
      <c r="C210" s="1" t="s">
        <v>56</v>
      </c>
      <c r="D210" s="1">
        <v>11</v>
      </c>
      <c r="E210" s="1" t="s">
        <v>445</v>
      </c>
      <c r="F210" s="1" t="s">
        <v>58</v>
      </c>
      <c r="G210" s="1" t="s">
        <v>23</v>
      </c>
      <c r="H210" s="1" t="s">
        <v>77</v>
      </c>
      <c r="I210" s="1" t="s">
        <v>103</v>
      </c>
      <c r="J210" s="1">
        <v>3</v>
      </c>
      <c r="K210" s="1">
        <v>954.22</v>
      </c>
      <c r="L210" s="1">
        <v>0.15</v>
      </c>
      <c r="M210" s="1">
        <v>2862.66</v>
      </c>
      <c r="N210" s="1">
        <v>429.39899999999989</v>
      </c>
      <c r="O210" s="1">
        <v>2433.261</v>
      </c>
      <c r="P210" s="1">
        <v>1751.9479200000001</v>
      </c>
      <c r="Q210" s="1">
        <v>681.31308000000013</v>
      </c>
      <c r="R210" s="1">
        <v>28.000000000000011</v>
      </c>
      <c r="S210" s="1" t="s">
        <v>60</v>
      </c>
    </row>
    <row r="211" spans="1:19" x14ac:dyDescent="0.35">
      <c r="A211" s="1" t="s">
        <v>446</v>
      </c>
      <c r="B211" s="3">
        <v>45699</v>
      </c>
      <c r="C211" s="1" t="s">
        <v>42</v>
      </c>
      <c r="D211" s="1">
        <v>2</v>
      </c>
      <c r="E211" s="1" t="s">
        <v>278</v>
      </c>
      <c r="F211" s="1" t="s">
        <v>52</v>
      </c>
      <c r="G211" s="1" t="s">
        <v>38</v>
      </c>
      <c r="H211" s="1" t="s">
        <v>77</v>
      </c>
      <c r="I211" s="1" t="s">
        <v>103</v>
      </c>
      <c r="J211" s="1">
        <v>2</v>
      </c>
      <c r="K211" s="1">
        <v>772.14</v>
      </c>
      <c r="L211" s="1">
        <v>0.15</v>
      </c>
      <c r="M211" s="1">
        <v>1544.28</v>
      </c>
      <c r="N211" s="1">
        <v>231.642</v>
      </c>
      <c r="O211" s="1">
        <v>1312.6379999999999</v>
      </c>
      <c r="P211" s="1">
        <v>945.09935999999993</v>
      </c>
      <c r="Q211" s="1">
        <v>367.53863999999999</v>
      </c>
      <c r="R211" s="1">
        <v>28</v>
      </c>
      <c r="S211" s="1" t="s">
        <v>60</v>
      </c>
    </row>
    <row r="212" spans="1:19" x14ac:dyDescent="0.35">
      <c r="A212" s="1" t="s">
        <v>447</v>
      </c>
      <c r="B212" s="3">
        <v>45820</v>
      </c>
      <c r="C212" s="1" t="s">
        <v>82</v>
      </c>
      <c r="D212" s="1">
        <v>6</v>
      </c>
      <c r="E212" s="1" t="s">
        <v>448</v>
      </c>
      <c r="F212" s="1" t="s">
        <v>47</v>
      </c>
      <c r="G212" s="1" t="s">
        <v>23</v>
      </c>
      <c r="H212" s="1" t="s">
        <v>99</v>
      </c>
      <c r="I212" s="1" t="s">
        <v>223</v>
      </c>
      <c r="J212" s="1">
        <v>3</v>
      </c>
      <c r="K212" s="1">
        <v>18136.400000000001</v>
      </c>
      <c r="L212" s="1">
        <v>0.1</v>
      </c>
      <c r="M212" s="1">
        <v>54409.2</v>
      </c>
      <c r="N212" s="1">
        <v>5440.920000000001</v>
      </c>
      <c r="O212" s="1">
        <v>48968.280000000013</v>
      </c>
      <c r="P212" s="1">
        <v>33298.430399999997</v>
      </c>
      <c r="Q212" s="1">
        <v>15669.8496</v>
      </c>
      <c r="R212" s="1">
        <v>32</v>
      </c>
      <c r="S212" s="1" t="s">
        <v>73</v>
      </c>
    </row>
    <row r="213" spans="1:19" x14ac:dyDescent="0.35">
      <c r="A213" s="1" t="s">
        <v>449</v>
      </c>
      <c r="B213" s="3">
        <v>45938</v>
      </c>
      <c r="C213" s="1" t="s">
        <v>35</v>
      </c>
      <c r="D213" s="1">
        <v>10</v>
      </c>
      <c r="E213" s="1" t="s">
        <v>450</v>
      </c>
      <c r="F213" s="1" t="s">
        <v>52</v>
      </c>
      <c r="G213" s="1" t="s">
        <v>23</v>
      </c>
      <c r="H213" s="1" t="s">
        <v>31</v>
      </c>
      <c r="I213" s="1" t="s">
        <v>65</v>
      </c>
      <c r="J213" s="1">
        <v>6</v>
      </c>
      <c r="K213" s="1">
        <v>1235.3</v>
      </c>
      <c r="L213" s="1">
        <v>0.15</v>
      </c>
      <c r="M213" s="1">
        <v>7411.7999999999993</v>
      </c>
      <c r="N213" s="1">
        <v>1111.77</v>
      </c>
      <c r="O213" s="1">
        <v>6300.03</v>
      </c>
      <c r="P213" s="1">
        <v>3276.0156000000002</v>
      </c>
      <c r="Q213" s="1">
        <v>3024.0144</v>
      </c>
      <c r="R213" s="1">
        <v>47.999999999999993</v>
      </c>
      <c r="S213" s="1" t="s">
        <v>33</v>
      </c>
    </row>
    <row r="214" spans="1:19" x14ac:dyDescent="0.35">
      <c r="A214" s="1" t="s">
        <v>451</v>
      </c>
      <c r="B214" s="3">
        <v>45682</v>
      </c>
      <c r="C214" s="1" t="s">
        <v>193</v>
      </c>
      <c r="D214" s="1">
        <v>1</v>
      </c>
      <c r="E214" s="1" t="s">
        <v>175</v>
      </c>
      <c r="F214" s="1" t="s">
        <v>58</v>
      </c>
      <c r="G214" s="1" t="s">
        <v>64</v>
      </c>
      <c r="H214" s="1" t="s">
        <v>31</v>
      </c>
      <c r="I214" s="1" t="s">
        <v>59</v>
      </c>
      <c r="J214" s="1">
        <v>5</v>
      </c>
      <c r="K214" s="1">
        <v>601.80999999999995</v>
      </c>
      <c r="L214" s="1">
        <v>0.1</v>
      </c>
      <c r="M214" s="1">
        <v>3009.05</v>
      </c>
      <c r="N214" s="1">
        <v>300.90499999999997</v>
      </c>
      <c r="O214" s="1">
        <v>2708.145</v>
      </c>
      <c r="P214" s="1">
        <v>1408.2354</v>
      </c>
      <c r="Q214" s="1">
        <v>1299.9096</v>
      </c>
      <c r="R214" s="1">
        <v>48</v>
      </c>
      <c r="S214" s="1" t="s">
        <v>33</v>
      </c>
    </row>
    <row r="215" spans="1:19" x14ac:dyDescent="0.35">
      <c r="A215" s="1" t="s">
        <v>452</v>
      </c>
      <c r="B215" s="3">
        <v>45945</v>
      </c>
      <c r="C215" s="1" t="s">
        <v>35</v>
      </c>
      <c r="D215" s="1">
        <v>10</v>
      </c>
      <c r="E215" s="1" t="s">
        <v>433</v>
      </c>
      <c r="F215" s="1" t="s">
        <v>47</v>
      </c>
      <c r="G215" s="1" t="s">
        <v>38</v>
      </c>
      <c r="H215" s="1" t="s">
        <v>24</v>
      </c>
      <c r="I215" s="1" t="s">
        <v>25</v>
      </c>
      <c r="J215" s="1">
        <v>5</v>
      </c>
      <c r="K215" s="1">
        <v>5650.47</v>
      </c>
      <c r="L215" s="1">
        <v>0.25</v>
      </c>
      <c r="M215" s="1">
        <v>28252.35</v>
      </c>
      <c r="N215" s="1">
        <v>7063.0875000000005</v>
      </c>
      <c r="O215" s="1">
        <v>21189.262500000001</v>
      </c>
      <c r="P215" s="1">
        <v>11654.094375000001</v>
      </c>
      <c r="Q215" s="1">
        <v>9535.1681250000001</v>
      </c>
      <c r="R215" s="1">
        <v>45</v>
      </c>
      <c r="S215" s="1" t="s">
        <v>26</v>
      </c>
    </row>
    <row r="216" spans="1:19" x14ac:dyDescent="0.35">
      <c r="A216" s="1" t="s">
        <v>453</v>
      </c>
      <c r="B216" s="3">
        <v>45662</v>
      </c>
      <c r="C216" s="1" t="s">
        <v>193</v>
      </c>
      <c r="D216" s="1">
        <v>1</v>
      </c>
      <c r="E216" s="1" t="s">
        <v>454</v>
      </c>
      <c r="F216" s="1" t="s">
        <v>47</v>
      </c>
      <c r="G216" s="1" t="s">
        <v>64</v>
      </c>
      <c r="H216" s="1" t="s">
        <v>53</v>
      </c>
      <c r="I216" s="1" t="s">
        <v>185</v>
      </c>
      <c r="J216" s="1">
        <v>2</v>
      </c>
      <c r="K216" s="1">
        <v>1203.52</v>
      </c>
      <c r="L216" s="1">
        <v>0</v>
      </c>
      <c r="M216" s="1">
        <v>2407.04</v>
      </c>
      <c r="N216" s="1">
        <v>0</v>
      </c>
      <c r="O216" s="1">
        <v>2407.04</v>
      </c>
      <c r="P216" s="1">
        <v>1396.0832</v>
      </c>
      <c r="Q216" s="1">
        <v>1010.9568</v>
      </c>
      <c r="R216" s="1">
        <v>42.000000000000007</v>
      </c>
      <c r="S216" s="1" t="s">
        <v>26</v>
      </c>
    </row>
    <row r="217" spans="1:19" x14ac:dyDescent="0.35">
      <c r="A217" s="1" t="s">
        <v>455</v>
      </c>
      <c r="B217" s="3">
        <v>45756</v>
      </c>
      <c r="C217" s="1" t="s">
        <v>20</v>
      </c>
      <c r="D217" s="1">
        <v>4</v>
      </c>
      <c r="E217" s="1" t="s">
        <v>420</v>
      </c>
      <c r="F217" s="1" t="s">
        <v>76</v>
      </c>
      <c r="G217" s="1" t="s">
        <v>38</v>
      </c>
      <c r="H217" s="1" t="s">
        <v>31</v>
      </c>
      <c r="I217" s="1" t="s">
        <v>167</v>
      </c>
      <c r="J217" s="1">
        <v>1</v>
      </c>
      <c r="K217" s="1">
        <v>2782.9</v>
      </c>
      <c r="L217" s="1">
        <v>0.05</v>
      </c>
      <c r="M217" s="1">
        <v>2782.9</v>
      </c>
      <c r="N217" s="1">
        <v>139.14500000000001</v>
      </c>
      <c r="O217" s="1">
        <v>2643.7550000000001</v>
      </c>
      <c r="P217" s="1">
        <v>1374.7526</v>
      </c>
      <c r="Q217" s="1">
        <v>1269.0024000000001</v>
      </c>
      <c r="R217" s="1">
        <v>48.000000000000007</v>
      </c>
      <c r="S217" s="1" t="s">
        <v>93</v>
      </c>
    </row>
    <row r="218" spans="1:19" x14ac:dyDescent="0.35">
      <c r="A218" s="1" t="s">
        <v>456</v>
      </c>
      <c r="B218" s="3">
        <v>46016</v>
      </c>
      <c r="C218" s="1" t="s">
        <v>67</v>
      </c>
      <c r="D218" s="1">
        <v>12</v>
      </c>
      <c r="E218" s="1" t="s">
        <v>83</v>
      </c>
      <c r="F218" s="1" t="s">
        <v>47</v>
      </c>
      <c r="G218" s="1" t="s">
        <v>38</v>
      </c>
      <c r="H218" s="1" t="s">
        <v>24</v>
      </c>
      <c r="I218" s="1" t="s">
        <v>139</v>
      </c>
      <c r="J218" s="1">
        <v>4</v>
      </c>
      <c r="K218" s="1">
        <v>1455.64</v>
      </c>
      <c r="L218" s="1">
        <v>0.15</v>
      </c>
      <c r="M218" s="1">
        <v>5822.56</v>
      </c>
      <c r="N218" s="1">
        <v>873.38400000000001</v>
      </c>
      <c r="O218" s="1">
        <v>4949.1760000000004</v>
      </c>
      <c r="P218" s="1">
        <v>2722.046800000001</v>
      </c>
      <c r="Q218" s="1">
        <v>2227.1291999999999</v>
      </c>
      <c r="R218" s="1">
        <v>44.999999999999993</v>
      </c>
      <c r="S218" s="1" t="s">
        <v>33</v>
      </c>
    </row>
    <row r="219" spans="1:19" x14ac:dyDescent="0.35">
      <c r="A219" s="1" t="s">
        <v>457</v>
      </c>
      <c r="B219" s="3">
        <v>45848</v>
      </c>
      <c r="C219" s="1" t="s">
        <v>62</v>
      </c>
      <c r="D219" s="1">
        <v>7</v>
      </c>
      <c r="E219" s="1" t="s">
        <v>458</v>
      </c>
      <c r="F219" s="1" t="s">
        <v>22</v>
      </c>
      <c r="G219" s="1" t="s">
        <v>64</v>
      </c>
      <c r="H219" s="1" t="s">
        <v>77</v>
      </c>
      <c r="I219" s="1" t="s">
        <v>78</v>
      </c>
      <c r="J219" s="1">
        <v>5</v>
      </c>
      <c r="K219" s="1">
        <v>457.37</v>
      </c>
      <c r="L219" s="1">
        <v>0.1</v>
      </c>
      <c r="M219" s="1">
        <v>2286.85</v>
      </c>
      <c r="N219" s="1">
        <v>228.685</v>
      </c>
      <c r="O219" s="1">
        <v>2058.165</v>
      </c>
      <c r="P219" s="1">
        <v>1481.8788</v>
      </c>
      <c r="Q219" s="1">
        <v>576.28620000000001</v>
      </c>
      <c r="R219" s="1">
        <v>28</v>
      </c>
      <c r="S219" s="1" t="s">
        <v>93</v>
      </c>
    </row>
    <row r="220" spans="1:19" x14ac:dyDescent="0.35">
      <c r="A220" s="1" t="s">
        <v>459</v>
      </c>
      <c r="B220" s="3">
        <v>45840</v>
      </c>
      <c r="C220" s="1" t="s">
        <v>62</v>
      </c>
      <c r="D220" s="1">
        <v>7</v>
      </c>
      <c r="E220" s="1" t="s">
        <v>460</v>
      </c>
      <c r="F220" s="1" t="s">
        <v>111</v>
      </c>
      <c r="G220" s="1" t="s">
        <v>23</v>
      </c>
      <c r="H220" s="1" t="s">
        <v>99</v>
      </c>
      <c r="I220" s="1" t="s">
        <v>145</v>
      </c>
      <c r="J220" s="1">
        <v>6</v>
      </c>
      <c r="K220" s="1">
        <v>13330.24</v>
      </c>
      <c r="L220" s="1">
        <v>0</v>
      </c>
      <c r="M220" s="1">
        <v>79981.440000000002</v>
      </c>
      <c r="N220" s="1">
        <v>0</v>
      </c>
      <c r="O220" s="1">
        <v>79981.440000000002</v>
      </c>
      <c r="P220" s="1">
        <v>54387.379200000003</v>
      </c>
      <c r="Q220" s="1">
        <v>25594.060799999999</v>
      </c>
      <c r="R220" s="1">
        <v>32</v>
      </c>
      <c r="S220" s="1" t="s">
        <v>93</v>
      </c>
    </row>
    <row r="221" spans="1:19" x14ac:dyDescent="0.35">
      <c r="A221" s="1" t="s">
        <v>461</v>
      </c>
      <c r="B221" s="3">
        <v>45722</v>
      </c>
      <c r="C221" s="1" t="s">
        <v>28</v>
      </c>
      <c r="D221" s="1">
        <v>3</v>
      </c>
      <c r="E221" s="1" t="s">
        <v>341</v>
      </c>
      <c r="F221" s="1" t="s">
        <v>47</v>
      </c>
      <c r="G221" s="1" t="s">
        <v>64</v>
      </c>
      <c r="H221" s="1" t="s">
        <v>31</v>
      </c>
      <c r="I221" s="1" t="s">
        <v>65</v>
      </c>
      <c r="J221" s="1">
        <v>5</v>
      </c>
      <c r="K221" s="1">
        <v>2953.2</v>
      </c>
      <c r="L221" s="1">
        <v>0.15</v>
      </c>
      <c r="M221" s="1">
        <v>14766</v>
      </c>
      <c r="N221" s="1">
        <v>2214.9</v>
      </c>
      <c r="O221" s="1">
        <v>12551.1</v>
      </c>
      <c r="P221" s="1">
        <v>6526.5720000000001</v>
      </c>
      <c r="Q221" s="1">
        <v>6024.5280000000002</v>
      </c>
      <c r="R221" s="1">
        <v>48</v>
      </c>
      <c r="S221" s="1" t="s">
        <v>33</v>
      </c>
    </row>
    <row r="222" spans="1:19" x14ac:dyDescent="0.35">
      <c r="A222" s="1" t="s">
        <v>462</v>
      </c>
      <c r="B222" s="3">
        <v>45845</v>
      </c>
      <c r="C222" s="1" t="s">
        <v>62</v>
      </c>
      <c r="D222" s="1">
        <v>7</v>
      </c>
      <c r="E222" s="1" t="s">
        <v>187</v>
      </c>
      <c r="F222" s="1" t="s">
        <v>37</v>
      </c>
      <c r="G222" s="1" t="s">
        <v>23</v>
      </c>
      <c r="H222" s="1" t="s">
        <v>53</v>
      </c>
      <c r="I222" s="1" t="s">
        <v>72</v>
      </c>
      <c r="J222" s="1">
        <v>7</v>
      </c>
      <c r="K222" s="1">
        <v>1298.4000000000001</v>
      </c>
      <c r="L222" s="1">
        <v>0.05</v>
      </c>
      <c r="M222" s="1">
        <v>9088.8000000000011</v>
      </c>
      <c r="N222" s="1">
        <v>454.44000000000011</v>
      </c>
      <c r="O222" s="1">
        <v>8634.36</v>
      </c>
      <c r="P222" s="1">
        <v>5007.9287999999997</v>
      </c>
      <c r="Q222" s="1">
        <v>3626.4312000000009</v>
      </c>
      <c r="R222" s="1">
        <v>42.000000000000007</v>
      </c>
      <c r="S222" s="1" t="s">
        <v>73</v>
      </c>
    </row>
    <row r="223" spans="1:19" x14ac:dyDescent="0.35">
      <c r="A223" s="1" t="s">
        <v>463</v>
      </c>
      <c r="B223" s="3">
        <v>45709</v>
      </c>
      <c r="C223" s="1" t="s">
        <v>42</v>
      </c>
      <c r="D223" s="1">
        <v>2</v>
      </c>
      <c r="E223" s="1" t="s">
        <v>307</v>
      </c>
      <c r="F223" s="1" t="s">
        <v>111</v>
      </c>
      <c r="G223" s="1" t="s">
        <v>23</v>
      </c>
      <c r="H223" s="1" t="s">
        <v>24</v>
      </c>
      <c r="I223" s="1" t="s">
        <v>139</v>
      </c>
      <c r="J223" s="1">
        <v>2</v>
      </c>
      <c r="K223" s="1">
        <v>3118.1</v>
      </c>
      <c r="L223" s="1">
        <v>0.1</v>
      </c>
      <c r="M223" s="1">
        <v>6236.2</v>
      </c>
      <c r="N223" s="1">
        <v>623.62</v>
      </c>
      <c r="O223" s="1">
        <v>5612.58</v>
      </c>
      <c r="P223" s="1">
        <v>3086.9189999999999</v>
      </c>
      <c r="Q223" s="1">
        <v>2525.6610000000001</v>
      </c>
      <c r="R223" s="1">
        <v>44.999999999999993</v>
      </c>
      <c r="S223" s="1" t="s">
        <v>60</v>
      </c>
    </row>
    <row r="224" spans="1:19" x14ac:dyDescent="0.35">
      <c r="A224" s="1" t="s">
        <v>464</v>
      </c>
      <c r="B224" s="3">
        <v>45762</v>
      </c>
      <c r="C224" s="1" t="s">
        <v>20</v>
      </c>
      <c r="D224" s="1">
        <v>4</v>
      </c>
      <c r="E224" s="1" t="s">
        <v>465</v>
      </c>
      <c r="F224" s="1" t="s">
        <v>76</v>
      </c>
      <c r="G224" s="1" t="s">
        <v>23</v>
      </c>
      <c r="H224" s="1" t="s">
        <v>39</v>
      </c>
      <c r="I224" s="1" t="s">
        <v>214</v>
      </c>
      <c r="J224" s="1">
        <v>1</v>
      </c>
      <c r="K224" s="1">
        <v>61741.38</v>
      </c>
      <c r="L224" s="1">
        <v>0.2</v>
      </c>
      <c r="M224" s="1">
        <v>61741.38</v>
      </c>
      <c r="N224" s="1">
        <v>12348.276</v>
      </c>
      <c r="O224" s="1">
        <v>49393.103999999999</v>
      </c>
      <c r="P224" s="1">
        <v>38526.621120000003</v>
      </c>
      <c r="Q224" s="1">
        <v>10866.48288</v>
      </c>
      <c r="R224" s="1">
        <v>21.999999999999989</v>
      </c>
      <c r="S224" s="1" t="s">
        <v>73</v>
      </c>
    </row>
    <row r="225" spans="1:19" x14ac:dyDescent="0.35">
      <c r="A225" s="1" t="s">
        <v>466</v>
      </c>
      <c r="B225" s="3">
        <v>45889</v>
      </c>
      <c r="C225" s="1" t="s">
        <v>113</v>
      </c>
      <c r="D225" s="1">
        <v>8</v>
      </c>
      <c r="E225" s="1" t="s">
        <v>363</v>
      </c>
      <c r="F225" s="1" t="s">
        <v>30</v>
      </c>
      <c r="G225" s="1" t="s">
        <v>64</v>
      </c>
      <c r="H225" s="1" t="s">
        <v>31</v>
      </c>
      <c r="I225" s="1" t="s">
        <v>167</v>
      </c>
      <c r="J225" s="1">
        <v>4</v>
      </c>
      <c r="K225" s="1">
        <v>2302.7600000000002</v>
      </c>
      <c r="L225" s="1">
        <v>0.15</v>
      </c>
      <c r="M225" s="1">
        <v>9211.0400000000009</v>
      </c>
      <c r="N225" s="1">
        <v>1381.6559999999999</v>
      </c>
      <c r="O225" s="1">
        <v>7829.3840000000009</v>
      </c>
      <c r="P225" s="1">
        <v>4071.279680000001</v>
      </c>
      <c r="Q225" s="1">
        <v>3758.1043199999999</v>
      </c>
      <c r="R225" s="1">
        <v>48</v>
      </c>
      <c r="S225" s="1" t="s">
        <v>33</v>
      </c>
    </row>
    <row r="226" spans="1:19" x14ac:dyDescent="0.35">
      <c r="A226" s="1" t="s">
        <v>467</v>
      </c>
      <c r="B226" s="3">
        <v>46000</v>
      </c>
      <c r="C226" s="1" t="s">
        <v>67</v>
      </c>
      <c r="D226" s="1">
        <v>12</v>
      </c>
      <c r="E226" s="1" t="s">
        <v>468</v>
      </c>
      <c r="F226" s="1" t="s">
        <v>111</v>
      </c>
      <c r="G226" s="1" t="s">
        <v>64</v>
      </c>
      <c r="H226" s="1" t="s">
        <v>31</v>
      </c>
      <c r="I226" s="1" t="s">
        <v>167</v>
      </c>
      <c r="J226" s="1">
        <v>3</v>
      </c>
      <c r="K226" s="1">
        <v>548.79</v>
      </c>
      <c r="L226" s="1">
        <v>0.3</v>
      </c>
      <c r="M226" s="1">
        <v>1646.37</v>
      </c>
      <c r="N226" s="1">
        <v>493.91099999999989</v>
      </c>
      <c r="O226" s="1">
        <v>1152.4590000000001</v>
      </c>
      <c r="P226" s="1">
        <v>599.27867999999989</v>
      </c>
      <c r="Q226" s="1">
        <v>553.18031999999994</v>
      </c>
      <c r="R226" s="1">
        <v>48.000000000000007</v>
      </c>
      <c r="S226" s="1" t="s">
        <v>26</v>
      </c>
    </row>
    <row r="227" spans="1:19" x14ac:dyDescent="0.35">
      <c r="A227" s="1" t="s">
        <v>469</v>
      </c>
      <c r="B227" s="3">
        <v>45766</v>
      </c>
      <c r="C227" s="1" t="s">
        <v>20</v>
      </c>
      <c r="D227" s="1">
        <v>4</v>
      </c>
      <c r="E227" s="1" t="s">
        <v>470</v>
      </c>
      <c r="F227" s="1" t="s">
        <v>30</v>
      </c>
      <c r="G227" s="1" t="s">
        <v>23</v>
      </c>
      <c r="H227" s="1" t="s">
        <v>53</v>
      </c>
      <c r="I227" s="1" t="s">
        <v>72</v>
      </c>
      <c r="J227" s="1">
        <v>3</v>
      </c>
      <c r="K227" s="1">
        <v>129.06</v>
      </c>
      <c r="L227" s="1">
        <v>0.3</v>
      </c>
      <c r="M227" s="1">
        <v>387.18</v>
      </c>
      <c r="N227" s="1">
        <v>116.154</v>
      </c>
      <c r="O227" s="1">
        <v>271.02600000000001</v>
      </c>
      <c r="P227" s="1">
        <v>157.19507999999999</v>
      </c>
      <c r="Q227" s="1">
        <v>113.83092000000001</v>
      </c>
      <c r="R227" s="1">
        <v>42.000000000000007</v>
      </c>
      <c r="S227" s="1" t="s">
        <v>26</v>
      </c>
    </row>
    <row r="228" spans="1:19" x14ac:dyDescent="0.35">
      <c r="A228" s="1" t="s">
        <v>471</v>
      </c>
      <c r="B228" s="3">
        <v>45868</v>
      </c>
      <c r="C228" s="1" t="s">
        <v>62</v>
      </c>
      <c r="D228" s="1">
        <v>7</v>
      </c>
      <c r="E228" s="1" t="s">
        <v>472</v>
      </c>
      <c r="F228" s="1" t="s">
        <v>52</v>
      </c>
      <c r="G228" s="1" t="s">
        <v>23</v>
      </c>
      <c r="H228" s="1" t="s">
        <v>53</v>
      </c>
      <c r="I228" s="1" t="s">
        <v>72</v>
      </c>
      <c r="J228" s="1">
        <v>4</v>
      </c>
      <c r="K228" s="1">
        <v>951.62</v>
      </c>
      <c r="L228" s="1">
        <v>0.1</v>
      </c>
      <c r="M228" s="1">
        <v>3806.48</v>
      </c>
      <c r="N228" s="1">
        <v>380.64800000000002</v>
      </c>
      <c r="O228" s="1">
        <v>3425.8319999999999</v>
      </c>
      <c r="P228" s="1">
        <v>1986.9825599999999</v>
      </c>
      <c r="Q228" s="1">
        <v>1438.84944</v>
      </c>
      <c r="R228" s="1">
        <v>42.000000000000007</v>
      </c>
      <c r="S228" s="1" t="s">
        <v>60</v>
      </c>
    </row>
    <row r="229" spans="1:19" x14ac:dyDescent="0.35">
      <c r="A229" s="1" t="s">
        <v>473</v>
      </c>
      <c r="B229" s="3">
        <v>45880</v>
      </c>
      <c r="C229" s="1" t="s">
        <v>113</v>
      </c>
      <c r="D229" s="1">
        <v>8</v>
      </c>
      <c r="E229" s="1" t="s">
        <v>36</v>
      </c>
      <c r="F229" s="1" t="s">
        <v>58</v>
      </c>
      <c r="G229" s="1" t="s">
        <v>23</v>
      </c>
      <c r="H229" s="1" t="s">
        <v>39</v>
      </c>
      <c r="I229" s="1" t="s">
        <v>234</v>
      </c>
      <c r="J229" s="1">
        <v>1</v>
      </c>
      <c r="K229" s="1">
        <v>29770.560000000001</v>
      </c>
      <c r="L229" s="1">
        <v>0.05</v>
      </c>
      <c r="M229" s="1">
        <v>29770.560000000001</v>
      </c>
      <c r="N229" s="1">
        <v>1488.528</v>
      </c>
      <c r="O229" s="1">
        <v>28282.031999999999</v>
      </c>
      <c r="P229" s="1">
        <v>22059.984960000002</v>
      </c>
      <c r="Q229" s="1">
        <v>6222.0470399999977</v>
      </c>
      <c r="R229" s="1">
        <v>21.999999999999989</v>
      </c>
      <c r="S229" s="1" t="s">
        <v>60</v>
      </c>
    </row>
    <row r="230" spans="1:19" x14ac:dyDescent="0.35">
      <c r="A230" s="1" t="s">
        <v>474</v>
      </c>
      <c r="B230" s="3">
        <v>45826</v>
      </c>
      <c r="C230" s="1" t="s">
        <v>82</v>
      </c>
      <c r="D230" s="1">
        <v>6</v>
      </c>
      <c r="E230" s="1" t="s">
        <v>475</v>
      </c>
      <c r="F230" s="1" t="s">
        <v>111</v>
      </c>
      <c r="G230" s="1" t="s">
        <v>38</v>
      </c>
      <c r="H230" s="1" t="s">
        <v>39</v>
      </c>
      <c r="I230" s="1" t="s">
        <v>214</v>
      </c>
      <c r="J230" s="1">
        <v>2</v>
      </c>
      <c r="K230" s="1">
        <v>35260.550000000003</v>
      </c>
      <c r="L230" s="1">
        <v>0.25</v>
      </c>
      <c r="M230" s="1">
        <v>70521.100000000006</v>
      </c>
      <c r="N230" s="1">
        <v>17630.275000000001</v>
      </c>
      <c r="O230" s="1">
        <v>52890.824999999997</v>
      </c>
      <c r="P230" s="1">
        <v>41254.843500000003</v>
      </c>
      <c r="Q230" s="1">
        <v>11635.9815</v>
      </c>
      <c r="R230" s="1">
        <v>22</v>
      </c>
      <c r="S230" s="1" t="s">
        <v>93</v>
      </c>
    </row>
    <row r="231" spans="1:19" x14ac:dyDescent="0.35">
      <c r="A231" s="1" t="s">
        <v>476</v>
      </c>
      <c r="B231" s="3">
        <v>45838</v>
      </c>
      <c r="C231" s="1" t="s">
        <v>82</v>
      </c>
      <c r="D231" s="1">
        <v>6</v>
      </c>
      <c r="E231" s="1" t="s">
        <v>316</v>
      </c>
      <c r="F231" s="1" t="s">
        <v>43</v>
      </c>
      <c r="G231" s="1" t="s">
        <v>64</v>
      </c>
      <c r="H231" s="1" t="s">
        <v>24</v>
      </c>
      <c r="I231" s="1" t="s">
        <v>25</v>
      </c>
      <c r="J231" s="1">
        <v>2</v>
      </c>
      <c r="K231" s="1">
        <v>1204.53</v>
      </c>
      <c r="L231" s="1">
        <v>0.1</v>
      </c>
      <c r="M231" s="1">
        <v>2409.06</v>
      </c>
      <c r="N231" s="1">
        <v>240.90600000000001</v>
      </c>
      <c r="O231" s="1">
        <v>2168.154</v>
      </c>
      <c r="P231" s="1">
        <v>1192.4847</v>
      </c>
      <c r="Q231" s="1">
        <v>975.66929999999979</v>
      </c>
      <c r="R231" s="1">
        <v>44.999999999999993</v>
      </c>
      <c r="S231" s="1" t="s">
        <v>33</v>
      </c>
    </row>
    <row r="232" spans="1:19" x14ac:dyDescent="0.35">
      <c r="A232" s="1" t="s">
        <v>477</v>
      </c>
      <c r="B232" s="3">
        <v>45771</v>
      </c>
      <c r="C232" s="1" t="s">
        <v>20</v>
      </c>
      <c r="D232" s="1">
        <v>4</v>
      </c>
      <c r="E232" s="1" t="s">
        <v>207</v>
      </c>
      <c r="F232" s="1" t="s">
        <v>69</v>
      </c>
      <c r="G232" s="1" t="s">
        <v>23</v>
      </c>
      <c r="H232" s="1" t="s">
        <v>77</v>
      </c>
      <c r="I232" s="1" t="s">
        <v>148</v>
      </c>
      <c r="J232" s="1">
        <v>4</v>
      </c>
      <c r="K232" s="1">
        <v>326.8</v>
      </c>
      <c r="L232" s="1">
        <v>0.05</v>
      </c>
      <c r="M232" s="1">
        <v>1307.2</v>
      </c>
      <c r="N232" s="1">
        <v>65.36</v>
      </c>
      <c r="O232" s="1">
        <v>1241.8399999999999</v>
      </c>
      <c r="P232" s="1">
        <v>894.12480000000005</v>
      </c>
      <c r="Q232" s="1">
        <v>347.7152000000001</v>
      </c>
      <c r="R232" s="1">
        <v>28</v>
      </c>
      <c r="S232" s="1" t="s">
        <v>93</v>
      </c>
    </row>
    <row r="233" spans="1:19" x14ac:dyDescent="0.35">
      <c r="A233" s="1" t="s">
        <v>478</v>
      </c>
      <c r="B233" s="3">
        <v>45779</v>
      </c>
      <c r="C233" s="1" t="s">
        <v>97</v>
      </c>
      <c r="D233" s="1">
        <v>5</v>
      </c>
      <c r="E233" s="1" t="s">
        <v>479</v>
      </c>
      <c r="F233" s="1" t="s">
        <v>111</v>
      </c>
      <c r="G233" s="1" t="s">
        <v>64</v>
      </c>
      <c r="H233" s="1" t="s">
        <v>77</v>
      </c>
      <c r="I233" s="1" t="s">
        <v>78</v>
      </c>
      <c r="J233" s="1">
        <v>7</v>
      </c>
      <c r="K233" s="1">
        <v>1061.1600000000001</v>
      </c>
      <c r="L233" s="1">
        <v>0.05</v>
      </c>
      <c r="M233" s="1">
        <v>7428.1200000000008</v>
      </c>
      <c r="N233" s="1">
        <v>371.40600000000012</v>
      </c>
      <c r="O233" s="1">
        <v>7056.7140000000009</v>
      </c>
      <c r="P233" s="1">
        <v>5080.8340800000014</v>
      </c>
      <c r="Q233" s="1">
        <v>1975.8799200000001</v>
      </c>
      <c r="R233" s="1">
        <v>28</v>
      </c>
      <c r="S233" s="1" t="s">
        <v>33</v>
      </c>
    </row>
    <row r="234" spans="1:19" x14ac:dyDescent="0.35">
      <c r="A234" s="1" t="s">
        <v>480</v>
      </c>
      <c r="B234" s="3">
        <v>45881</v>
      </c>
      <c r="C234" s="1" t="s">
        <v>113</v>
      </c>
      <c r="D234" s="1">
        <v>8</v>
      </c>
      <c r="E234" s="1" t="s">
        <v>396</v>
      </c>
      <c r="F234" s="1" t="s">
        <v>47</v>
      </c>
      <c r="G234" s="1" t="s">
        <v>23</v>
      </c>
      <c r="H234" s="1" t="s">
        <v>53</v>
      </c>
      <c r="I234" s="1" t="s">
        <v>123</v>
      </c>
      <c r="J234" s="1">
        <v>6</v>
      </c>
      <c r="K234" s="1">
        <v>1907.65</v>
      </c>
      <c r="L234" s="1">
        <v>0.05</v>
      </c>
      <c r="M234" s="1">
        <v>11445.9</v>
      </c>
      <c r="N234" s="1">
        <v>572.29500000000007</v>
      </c>
      <c r="O234" s="1">
        <v>10873.605</v>
      </c>
      <c r="P234" s="1">
        <v>6306.6909000000014</v>
      </c>
      <c r="Q234" s="1">
        <v>4566.9141000000009</v>
      </c>
      <c r="R234" s="1">
        <v>42.000000000000007</v>
      </c>
      <c r="S234" s="1" t="s">
        <v>93</v>
      </c>
    </row>
    <row r="235" spans="1:19" x14ac:dyDescent="0.35">
      <c r="A235" s="1" t="s">
        <v>481</v>
      </c>
      <c r="B235" s="3">
        <v>45940</v>
      </c>
      <c r="C235" s="1" t="s">
        <v>35</v>
      </c>
      <c r="D235" s="1">
        <v>10</v>
      </c>
      <c r="E235" s="1" t="s">
        <v>482</v>
      </c>
      <c r="F235" s="1" t="s">
        <v>52</v>
      </c>
      <c r="G235" s="1" t="s">
        <v>38</v>
      </c>
      <c r="H235" s="1" t="s">
        <v>99</v>
      </c>
      <c r="I235" s="1" t="s">
        <v>120</v>
      </c>
      <c r="J235" s="1">
        <v>7</v>
      </c>
      <c r="K235" s="1">
        <v>13488.87</v>
      </c>
      <c r="L235" s="1">
        <v>0.05</v>
      </c>
      <c r="M235" s="1">
        <v>94422.090000000011</v>
      </c>
      <c r="N235" s="1">
        <v>4721.1045000000004</v>
      </c>
      <c r="O235" s="1">
        <v>89700.98550000001</v>
      </c>
      <c r="P235" s="1">
        <v>60996.670140000009</v>
      </c>
      <c r="Q235" s="1">
        <v>28704.315360000001</v>
      </c>
      <c r="R235" s="1">
        <v>32</v>
      </c>
      <c r="S235" s="1" t="s">
        <v>93</v>
      </c>
    </row>
    <row r="236" spans="1:19" x14ac:dyDescent="0.35">
      <c r="A236" s="1" t="s">
        <v>483</v>
      </c>
      <c r="B236" s="3">
        <v>46010</v>
      </c>
      <c r="C236" s="1" t="s">
        <v>67</v>
      </c>
      <c r="D236" s="1">
        <v>12</v>
      </c>
      <c r="E236" s="1" t="s">
        <v>484</v>
      </c>
      <c r="F236" s="1" t="s">
        <v>22</v>
      </c>
      <c r="G236" s="1" t="s">
        <v>38</v>
      </c>
      <c r="H236" s="1" t="s">
        <v>53</v>
      </c>
      <c r="I236" s="1" t="s">
        <v>185</v>
      </c>
      <c r="J236" s="1">
        <v>7</v>
      </c>
      <c r="K236" s="1">
        <v>354.23</v>
      </c>
      <c r="L236" s="1">
        <v>0.05</v>
      </c>
      <c r="M236" s="1">
        <v>2479.61</v>
      </c>
      <c r="N236" s="1">
        <v>123.98050000000001</v>
      </c>
      <c r="O236" s="1">
        <v>2355.6295</v>
      </c>
      <c r="P236" s="1">
        <v>1366.26511</v>
      </c>
      <c r="Q236" s="1">
        <v>989.36439000000018</v>
      </c>
      <c r="R236" s="1">
        <v>42.000000000000007</v>
      </c>
      <c r="S236" s="1" t="s">
        <v>93</v>
      </c>
    </row>
    <row r="237" spans="1:19" x14ac:dyDescent="0.35">
      <c r="A237" s="1" t="s">
        <v>485</v>
      </c>
      <c r="B237" s="3">
        <v>45768</v>
      </c>
      <c r="C237" s="1" t="s">
        <v>20</v>
      </c>
      <c r="D237" s="1">
        <v>4</v>
      </c>
      <c r="E237" s="1" t="s">
        <v>472</v>
      </c>
      <c r="F237" s="1" t="s">
        <v>69</v>
      </c>
      <c r="G237" s="1" t="s">
        <v>64</v>
      </c>
      <c r="H237" s="1" t="s">
        <v>99</v>
      </c>
      <c r="I237" s="1" t="s">
        <v>108</v>
      </c>
      <c r="J237" s="1">
        <v>2</v>
      </c>
      <c r="K237" s="1">
        <v>2709.96</v>
      </c>
      <c r="L237" s="1">
        <v>0.05</v>
      </c>
      <c r="M237" s="1">
        <v>5419.92</v>
      </c>
      <c r="N237" s="1">
        <v>270.99599999999998</v>
      </c>
      <c r="O237" s="1">
        <v>5148.924</v>
      </c>
      <c r="P237" s="1">
        <v>3501.2683200000001</v>
      </c>
      <c r="Q237" s="1">
        <v>1647.6556800000001</v>
      </c>
      <c r="R237" s="1">
        <v>32</v>
      </c>
      <c r="S237" s="1" t="s">
        <v>26</v>
      </c>
    </row>
    <row r="238" spans="1:19" x14ac:dyDescent="0.35">
      <c r="A238" s="1" t="s">
        <v>486</v>
      </c>
      <c r="B238" s="3">
        <v>45881</v>
      </c>
      <c r="C238" s="1" t="s">
        <v>113</v>
      </c>
      <c r="D238" s="1">
        <v>8</v>
      </c>
      <c r="E238" s="1" t="s">
        <v>83</v>
      </c>
      <c r="F238" s="1" t="s">
        <v>47</v>
      </c>
      <c r="G238" s="1" t="s">
        <v>64</v>
      </c>
      <c r="H238" s="1" t="s">
        <v>99</v>
      </c>
      <c r="I238" s="1" t="s">
        <v>120</v>
      </c>
      <c r="J238" s="1">
        <v>2</v>
      </c>
      <c r="K238" s="1">
        <v>7090.8</v>
      </c>
      <c r="L238" s="1">
        <v>0.15</v>
      </c>
      <c r="M238" s="1">
        <v>14181.6</v>
      </c>
      <c r="N238" s="1">
        <v>2127.2399999999998</v>
      </c>
      <c r="O238" s="1">
        <v>12054.36</v>
      </c>
      <c r="P238" s="1">
        <v>8196.9648000000016</v>
      </c>
      <c r="Q238" s="1">
        <v>3857.395199999999</v>
      </c>
      <c r="R238" s="1">
        <v>31.999999999999989</v>
      </c>
      <c r="S238" s="1" t="s">
        <v>60</v>
      </c>
    </row>
    <row r="239" spans="1:19" x14ac:dyDescent="0.35">
      <c r="A239" s="1" t="s">
        <v>487</v>
      </c>
      <c r="B239" s="3">
        <v>45743</v>
      </c>
      <c r="C239" s="1" t="s">
        <v>28</v>
      </c>
      <c r="D239" s="1">
        <v>3</v>
      </c>
      <c r="E239" s="1" t="s">
        <v>458</v>
      </c>
      <c r="F239" s="1" t="s">
        <v>43</v>
      </c>
      <c r="G239" s="1" t="s">
        <v>23</v>
      </c>
      <c r="H239" s="1" t="s">
        <v>99</v>
      </c>
      <c r="I239" s="1" t="s">
        <v>120</v>
      </c>
      <c r="J239" s="1">
        <v>2</v>
      </c>
      <c r="K239" s="1">
        <v>21399.19</v>
      </c>
      <c r="L239" s="1">
        <v>0.2</v>
      </c>
      <c r="M239" s="1">
        <v>42798.38</v>
      </c>
      <c r="N239" s="1">
        <v>8559.6759999999995</v>
      </c>
      <c r="O239" s="1">
        <v>34238.703999999998</v>
      </c>
      <c r="P239" s="1">
        <v>23282.318719999999</v>
      </c>
      <c r="Q239" s="1">
        <v>10956.38528</v>
      </c>
      <c r="R239" s="1">
        <v>32</v>
      </c>
      <c r="S239" s="1" t="s">
        <v>60</v>
      </c>
    </row>
    <row r="240" spans="1:19" x14ac:dyDescent="0.35">
      <c r="A240" s="1" t="s">
        <v>488</v>
      </c>
      <c r="B240" s="3">
        <v>45677</v>
      </c>
      <c r="C240" s="1" t="s">
        <v>193</v>
      </c>
      <c r="D240" s="1">
        <v>1</v>
      </c>
      <c r="E240" s="1" t="s">
        <v>376</v>
      </c>
      <c r="F240" s="1" t="s">
        <v>111</v>
      </c>
      <c r="G240" s="1" t="s">
        <v>23</v>
      </c>
      <c r="H240" s="1" t="s">
        <v>53</v>
      </c>
      <c r="I240" s="1" t="s">
        <v>72</v>
      </c>
      <c r="J240" s="1">
        <v>3</v>
      </c>
      <c r="K240" s="1">
        <v>2120.73</v>
      </c>
      <c r="L240" s="1">
        <v>0.1</v>
      </c>
      <c r="M240" s="1">
        <v>6362.1900000000014</v>
      </c>
      <c r="N240" s="1">
        <v>636.21900000000005</v>
      </c>
      <c r="O240" s="1">
        <v>5725.9709999999995</v>
      </c>
      <c r="P240" s="1">
        <v>3321.0631800000001</v>
      </c>
      <c r="Q240" s="1">
        <v>2404.9078199999999</v>
      </c>
      <c r="R240" s="1">
        <v>42.000000000000007</v>
      </c>
      <c r="S240" s="1" t="s">
        <v>93</v>
      </c>
    </row>
    <row r="241" spans="1:19" x14ac:dyDescent="0.35">
      <c r="A241" s="1" t="s">
        <v>489</v>
      </c>
      <c r="B241" s="3">
        <v>45789</v>
      </c>
      <c r="C241" s="1" t="s">
        <v>97</v>
      </c>
      <c r="D241" s="1">
        <v>5</v>
      </c>
      <c r="E241" s="1" t="s">
        <v>380</v>
      </c>
      <c r="F241" s="1" t="s">
        <v>52</v>
      </c>
      <c r="G241" s="1" t="s">
        <v>64</v>
      </c>
      <c r="H241" s="1" t="s">
        <v>24</v>
      </c>
      <c r="I241" s="1" t="s">
        <v>139</v>
      </c>
      <c r="J241" s="1">
        <v>2</v>
      </c>
      <c r="K241" s="1">
        <v>5374.08</v>
      </c>
      <c r="L241" s="1">
        <v>0.15</v>
      </c>
      <c r="M241" s="1">
        <v>10748.16</v>
      </c>
      <c r="N241" s="1">
        <v>1612.2239999999999</v>
      </c>
      <c r="O241" s="1">
        <v>9135.9359999999997</v>
      </c>
      <c r="P241" s="1">
        <v>5024.7647999999999</v>
      </c>
      <c r="Q241" s="1">
        <v>4111.1711999999998</v>
      </c>
      <c r="R241" s="1">
        <v>45</v>
      </c>
      <c r="S241" s="1" t="s">
        <v>73</v>
      </c>
    </row>
    <row r="242" spans="1:19" x14ac:dyDescent="0.35">
      <c r="A242" s="1" t="s">
        <v>490</v>
      </c>
      <c r="B242" s="3">
        <v>45695</v>
      </c>
      <c r="C242" s="1" t="s">
        <v>42</v>
      </c>
      <c r="D242" s="1">
        <v>2</v>
      </c>
      <c r="E242" s="1" t="s">
        <v>171</v>
      </c>
      <c r="F242" s="1" t="s">
        <v>22</v>
      </c>
      <c r="G242" s="1" t="s">
        <v>38</v>
      </c>
      <c r="H242" s="1" t="s">
        <v>77</v>
      </c>
      <c r="I242" s="1" t="s">
        <v>103</v>
      </c>
      <c r="J242" s="1">
        <v>4</v>
      </c>
      <c r="K242" s="1">
        <v>258.52</v>
      </c>
      <c r="L242" s="1">
        <v>0.1</v>
      </c>
      <c r="M242" s="1">
        <v>1034.08</v>
      </c>
      <c r="N242" s="1">
        <v>103.408</v>
      </c>
      <c r="O242" s="1">
        <v>930.67199999999991</v>
      </c>
      <c r="P242" s="1">
        <v>670.0838399999999</v>
      </c>
      <c r="Q242" s="1">
        <v>260.58816000000002</v>
      </c>
      <c r="R242" s="1">
        <v>28</v>
      </c>
      <c r="S242" s="1" t="s">
        <v>93</v>
      </c>
    </row>
    <row r="243" spans="1:19" x14ac:dyDescent="0.35">
      <c r="A243" s="1" t="s">
        <v>491</v>
      </c>
      <c r="B243" s="3">
        <v>45671</v>
      </c>
      <c r="C243" s="1" t="s">
        <v>193</v>
      </c>
      <c r="D243" s="1">
        <v>1</v>
      </c>
      <c r="E243" s="1" t="s">
        <v>110</v>
      </c>
      <c r="F243" s="1" t="s">
        <v>30</v>
      </c>
      <c r="G243" s="1" t="s">
        <v>23</v>
      </c>
      <c r="H243" s="1" t="s">
        <v>53</v>
      </c>
      <c r="I243" s="1" t="s">
        <v>54</v>
      </c>
      <c r="J243" s="1">
        <v>5</v>
      </c>
      <c r="K243" s="1">
        <v>1491.96</v>
      </c>
      <c r="L243" s="1">
        <v>0.15</v>
      </c>
      <c r="M243" s="1">
        <v>7459.8</v>
      </c>
      <c r="N243" s="1">
        <v>1118.97</v>
      </c>
      <c r="O243" s="1">
        <v>6340.83</v>
      </c>
      <c r="P243" s="1">
        <v>3677.681399999999</v>
      </c>
      <c r="Q243" s="1">
        <v>2663.1486</v>
      </c>
      <c r="R243" s="1">
        <v>42.000000000000007</v>
      </c>
      <c r="S243" s="1" t="s">
        <v>26</v>
      </c>
    </row>
    <row r="244" spans="1:19" x14ac:dyDescent="0.35">
      <c r="A244" s="1" t="s">
        <v>492</v>
      </c>
      <c r="B244" s="3">
        <v>45816</v>
      </c>
      <c r="C244" s="1" t="s">
        <v>82</v>
      </c>
      <c r="D244" s="1">
        <v>6</v>
      </c>
      <c r="E244" s="1" t="s">
        <v>376</v>
      </c>
      <c r="F244" s="1" t="s">
        <v>52</v>
      </c>
      <c r="G244" s="1" t="s">
        <v>64</v>
      </c>
      <c r="H244" s="1" t="s">
        <v>24</v>
      </c>
      <c r="I244" s="1" t="s">
        <v>48</v>
      </c>
      <c r="J244" s="1">
        <v>4</v>
      </c>
      <c r="K244" s="1">
        <v>2271.59</v>
      </c>
      <c r="L244" s="1">
        <v>0.15</v>
      </c>
      <c r="M244" s="1">
        <v>9086.36</v>
      </c>
      <c r="N244" s="1">
        <v>1362.954</v>
      </c>
      <c r="O244" s="1">
        <v>7723.4060000000009</v>
      </c>
      <c r="P244" s="1">
        <v>4247.8733000000011</v>
      </c>
      <c r="Q244" s="1">
        <v>3475.5327000000002</v>
      </c>
      <c r="R244" s="1">
        <v>44.999999999999993</v>
      </c>
      <c r="S244" s="1" t="s">
        <v>73</v>
      </c>
    </row>
    <row r="245" spans="1:19" x14ac:dyDescent="0.35">
      <c r="A245" s="1" t="s">
        <v>493</v>
      </c>
      <c r="B245" s="3">
        <v>45774</v>
      </c>
      <c r="C245" s="1" t="s">
        <v>20</v>
      </c>
      <c r="D245" s="1">
        <v>4</v>
      </c>
      <c r="E245" s="1" t="s">
        <v>316</v>
      </c>
      <c r="F245" s="1" t="s">
        <v>76</v>
      </c>
      <c r="G245" s="1" t="s">
        <v>38</v>
      </c>
      <c r="H245" s="1" t="s">
        <v>24</v>
      </c>
      <c r="I245" s="1" t="s">
        <v>117</v>
      </c>
      <c r="J245" s="1">
        <v>3</v>
      </c>
      <c r="K245" s="1">
        <v>2921.09</v>
      </c>
      <c r="L245" s="1">
        <v>0.05</v>
      </c>
      <c r="M245" s="1">
        <v>8763.27</v>
      </c>
      <c r="N245" s="1">
        <v>438.16350000000011</v>
      </c>
      <c r="O245" s="1">
        <v>8325.1064999999999</v>
      </c>
      <c r="P245" s="1">
        <v>4578.808575</v>
      </c>
      <c r="Q245" s="1">
        <v>3746.2979249999999</v>
      </c>
      <c r="R245" s="1">
        <v>45</v>
      </c>
      <c r="S245" s="1" t="s">
        <v>73</v>
      </c>
    </row>
    <row r="246" spans="1:19" x14ac:dyDescent="0.35">
      <c r="A246" s="1" t="s">
        <v>494</v>
      </c>
      <c r="B246" s="3">
        <v>45976</v>
      </c>
      <c r="C246" s="1" t="s">
        <v>56</v>
      </c>
      <c r="D246" s="1">
        <v>11</v>
      </c>
      <c r="E246" s="1" t="s">
        <v>495</v>
      </c>
      <c r="F246" s="1" t="s">
        <v>76</v>
      </c>
      <c r="G246" s="1" t="s">
        <v>64</v>
      </c>
      <c r="H246" s="1" t="s">
        <v>24</v>
      </c>
      <c r="I246" s="1" t="s">
        <v>48</v>
      </c>
      <c r="J246" s="1">
        <v>1</v>
      </c>
      <c r="K246" s="1">
        <v>3790.24</v>
      </c>
      <c r="L246" s="1">
        <v>0.15</v>
      </c>
      <c r="M246" s="1">
        <v>3790.24</v>
      </c>
      <c r="N246" s="1">
        <v>568.53599999999994</v>
      </c>
      <c r="O246" s="1">
        <v>3221.7040000000002</v>
      </c>
      <c r="P246" s="1">
        <v>1771.9372000000001</v>
      </c>
      <c r="Q246" s="1">
        <v>1449.7668000000001</v>
      </c>
      <c r="R246" s="1">
        <v>44.999999999999993</v>
      </c>
      <c r="S246" s="1" t="s">
        <v>33</v>
      </c>
    </row>
    <row r="247" spans="1:19" x14ac:dyDescent="0.35">
      <c r="A247" s="1" t="s">
        <v>496</v>
      </c>
      <c r="B247" s="3">
        <v>45897</v>
      </c>
      <c r="C247" s="1" t="s">
        <v>113</v>
      </c>
      <c r="D247" s="1">
        <v>8</v>
      </c>
      <c r="E247" s="1" t="s">
        <v>295</v>
      </c>
      <c r="F247" s="1" t="s">
        <v>22</v>
      </c>
      <c r="G247" s="1" t="s">
        <v>64</v>
      </c>
      <c r="H247" s="1" t="s">
        <v>53</v>
      </c>
      <c r="I247" s="1" t="s">
        <v>54</v>
      </c>
      <c r="J247" s="1">
        <v>7</v>
      </c>
      <c r="K247" s="1">
        <v>1083.77</v>
      </c>
      <c r="L247" s="1">
        <v>0.2</v>
      </c>
      <c r="M247" s="1">
        <v>7586.3899999999994</v>
      </c>
      <c r="N247" s="1">
        <v>1517.278</v>
      </c>
      <c r="O247" s="1">
        <v>6069.1119999999992</v>
      </c>
      <c r="P247" s="1">
        <v>3520.0849599999988</v>
      </c>
      <c r="Q247" s="1">
        <v>2549.0270399999999</v>
      </c>
      <c r="R247" s="1">
        <v>42.000000000000007</v>
      </c>
      <c r="S247" s="1" t="s">
        <v>93</v>
      </c>
    </row>
    <row r="248" spans="1:19" x14ac:dyDescent="0.35">
      <c r="A248" s="1" t="s">
        <v>497</v>
      </c>
      <c r="B248" s="3">
        <v>45718</v>
      </c>
      <c r="C248" s="1" t="s">
        <v>28</v>
      </c>
      <c r="D248" s="1">
        <v>3</v>
      </c>
      <c r="E248" s="1" t="s">
        <v>110</v>
      </c>
      <c r="F248" s="1" t="s">
        <v>52</v>
      </c>
      <c r="G248" s="1" t="s">
        <v>64</v>
      </c>
      <c r="H248" s="1" t="s">
        <v>99</v>
      </c>
      <c r="I248" s="1" t="s">
        <v>223</v>
      </c>
      <c r="J248" s="1">
        <v>2</v>
      </c>
      <c r="K248" s="1">
        <v>6219.12</v>
      </c>
      <c r="L248" s="1">
        <v>0.15</v>
      </c>
      <c r="M248" s="1">
        <v>12438.24</v>
      </c>
      <c r="N248" s="1">
        <v>1865.7360000000001</v>
      </c>
      <c r="O248" s="1">
        <v>10572.504000000001</v>
      </c>
      <c r="P248" s="1">
        <v>7189.3027200000024</v>
      </c>
      <c r="Q248" s="1">
        <v>3383.2012799999989</v>
      </c>
      <c r="R248" s="1">
        <v>31.999999999999989</v>
      </c>
      <c r="S248" s="1" t="s">
        <v>26</v>
      </c>
    </row>
    <row r="249" spans="1:19" x14ac:dyDescent="0.35">
      <c r="A249" s="1" t="s">
        <v>498</v>
      </c>
      <c r="B249" s="3">
        <v>46022</v>
      </c>
      <c r="C249" s="1" t="s">
        <v>67</v>
      </c>
      <c r="D249" s="1">
        <v>12</v>
      </c>
      <c r="E249" s="1" t="s">
        <v>405</v>
      </c>
      <c r="F249" s="1" t="s">
        <v>111</v>
      </c>
      <c r="G249" s="1" t="s">
        <v>64</v>
      </c>
      <c r="H249" s="1" t="s">
        <v>53</v>
      </c>
      <c r="I249" s="1" t="s">
        <v>123</v>
      </c>
      <c r="J249" s="1">
        <v>5</v>
      </c>
      <c r="K249" s="1">
        <v>234.73</v>
      </c>
      <c r="L249" s="1">
        <v>0.2</v>
      </c>
      <c r="M249" s="1">
        <v>1173.6500000000001</v>
      </c>
      <c r="N249" s="1">
        <v>234.73</v>
      </c>
      <c r="O249" s="1">
        <v>938.91999999999985</v>
      </c>
      <c r="P249" s="1">
        <v>544.57359999999983</v>
      </c>
      <c r="Q249" s="1">
        <v>394.34640000000002</v>
      </c>
      <c r="R249" s="1">
        <v>42.000000000000007</v>
      </c>
      <c r="S249" s="1" t="s">
        <v>73</v>
      </c>
    </row>
    <row r="250" spans="1:19" x14ac:dyDescent="0.35">
      <c r="A250" s="1" t="s">
        <v>499</v>
      </c>
      <c r="B250" s="3">
        <v>45849</v>
      </c>
      <c r="C250" s="1" t="s">
        <v>62</v>
      </c>
      <c r="D250" s="1">
        <v>7</v>
      </c>
      <c r="E250" s="1" t="s">
        <v>83</v>
      </c>
      <c r="F250" s="1" t="s">
        <v>22</v>
      </c>
      <c r="G250" s="1" t="s">
        <v>23</v>
      </c>
      <c r="H250" s="1" t="s">
        <v>31</v>
      </c>
      <c r="I250" s="1" t="s">
        <v>190</v>
      </c>
      <c r="J250" s="1">
        <v>4</v>
      </c>
      <c r="K250" s="1">
        <v>640.48</v>
      </c>
      <c r="L250" s="1">
        <v>0</v>
      </c>
      <c r="M250" s="1">
        <v>2561.92</v>
      </c>
      <c r="N250" s="1">
        <v>0</v>
      </c>
      <c r="O250" s="1">
        <v>2561.92</v>
      </c>
      <c r="P250" s="1">
        <v>1332.1984</v>
      </c>
      <c r="Q250" s="1">
        <v>1229.7216000000001</v>
      </c>
      <c r="R250" s="1">
        <v>48.000000000000007</v>
      </c>
      <c r="S250" s="1" t="s">
        <v>60</v>
      </c>
    </row>
    <row r="251" spans="1:19" x14ac:dyDescent="0.35">
      <c r="A251" s="1" t="s">
        <v>500</v>
      </c>
      <c r="B251" s="3">
        <v>45937</v>
      </c>
      <c r="C251" s="1" t="s">
        <v>35</v>
      </c>
      <c r="D251" s="1">
        <v>10</v>
      </c>
      <c r="E251" s="1" t="s">
        <v>373</v>
      </c>
      <c r="F251" s="1" t="s">
        <v>43</v>
      </c>
      <c r="G251" s="1" t="s">
        <v>38</v>
      </c>
      <c r="H251" s="1" t="s">
        <v>39</v>
      </c>
      <c r="I251" s="1" t="s">
        <v>234</v>
      </c>
      <c r="J251" s="1">
        <v>4</v>
      </c>
      <c r="K251" s="1">
        <v>51634.239999999998</v>
      </c>
      <c r="L251" s="1">
        <v>0.05</v>
      </c>
      <c r="M251" s="1">
        <v>206536.95999999999</v>
      </c>
      <c r="N251" s="1">
        <v>10326.848</v>
      </c>
      <c r="O251" s="1">
        <v>196210.11199999999</v>
      </c>
      <c r="P251" s="1">
        <v>153043.88735999999</v>
      </c>
      <c r="Q251" s="1">
        <v>43166.22464</v>
      </c>
      <c r="R251" s="1">
        <v>22</v>
      </c>
      <c r="S251" s="1" t="s">
        <v>60</v>
      </c>
    </row>
    <row r="252" spans="1:19" x14ac:dyDescent="0.35">
      <c r="A252" s="1" t="s">
        <v>501</v>
      </c>
      <c r="B252" s="3">
        <v>45693</v>
      </c>
      <c r="C252" s="1" t="s">
        <v>42</v>
      </c>
      <c r="D252" s="1">
        <v>2</v>
      </c>
      <c r="E252" s="1" t="s">
        <v>502</v>
      </c>
      <c r="F252" s="1" t="s">
        <v>22</v>
      </c>
      <c r="G252" s="1" t="s">
        <v>38</v>
      </c>
      <c r="H252" s="1" t="s">
        <v>31</v>
      </c>
      <c r="I252" s="1" t="s">
        <v>59</v>
      </c>
      <c r="J252" s="1">
        <v>6</v>
      </c>
      <c r="K252" s="1">
        <v>1133.06</v>
      </c>
      <c r="L252" s="1">
        <v>0</v>
      </c>
      <c r="M252" s="1">
        <v>6798.36</v>
      </c>
      <c r="N252" s="1">
        <v>0</v>
      </c>
      <c r="O252" s="1">
        <v>6798.36</v>
      </c>
      <c r="P252" s="1">
        <v>3535.1471999999999</v>
      </c>
      <c r="Q252" s="1">
        <v>3263.2127999999998</v>
      </c>
      <c r="R252" s="1">
        <v>48</v>
      </c>
      <c r="S252" s="1" t="s">
        <v>73</v>
      </c>
    </row>
    <row r="253" spans="1:19" x14ac:dyDescent="0.35">
      <c r="A253" s="1" t="s">
        <v>503</v>
      </c>
      <c r="B253" s="3">
        <v>45993</v>
      </c>
      <c r="C253" s="1" t="s">
        <v>67</v>
      </c>
      <c r="D253" s="1">
        <v>12</v>
      </c>
      <c r="E253" s="1" t="s">
        <v>482</v>
      </c>
      <c r="F253" s="1" t="s">
        <v>43</v>
      </c>
      <c r="G253" s="1" t="s">
        <v>64</v>
      </c>
      <c r="H253" s="1" t="s">
        <v>77</v>
      </c>
      <c r="I253" s="1" t="s">
        <v>103</v>
      </c>
      <c r="J253" s="1">
        <v>7</v>
      </c>
      <c r="K253" s="1">
        <v>567.20000000000005</v>
      </c>
      <c r="L253" s="1">
        <v>0.2</v>
      </c>
      <c r="M253" s="1">
        <v>3970.400000000001</v>
      </c>
      <c r="N253" s="1">
        <v>794.08000000000015</v>
      </c>
      <c r="O253" s="1">
        <v>3176.3200000000011</v>
      </c>
      <c r="P253" s="1">
        <v>2286.9504000000002</v>
      </c>
      <c r="Q253" s="1">
        <v>889.36960000000045</v>
      </c>
      <c r="R253" s="1">
        <v>28.000000000000011</v>
      </c>
      <c r="S253" s="1" t="s">
        <v>26</v>
      </c>
    </row>
    <row r="254" spans="1:19" x14ac:dyDescent="0.35">
      <c r="A254" s="1" t="s">
        <v>504</v>
      </c>
      <c r="B254" s="3">
        <v>45741</v>
      </c>
      <c r="C254" s="1" t="s">
        <v>28</v>
      </c>
      <c r="D254" s="1">
        <v>3</v>
      </c>
      <c r="E254" s="1" t="s">
        <v>331</v>
      </c>
      <c r="F254" s="1" t="s">
        <v>76</v>
      </c>
      <c r="G254" s="1" t="s">
        <v>38</v>
      </c>
      <c r="H254" s="1" t="s">
        <v>99</v>
      </c>
      <c r="I254" s="1" t="s">
        <v>145</v>
      </c>
      <c r="J254" s="1">
        <v>2</v>
      </c>
      <c r="K254" s="1">
        <v>15144.84</v>
      </c>
      <c r="L254" s="1">
        <v>0.1</v>
      </c>
      <c r="M254" s="1">
        <v>30289.68</v>
      </c>
      <c r="N254" s="1">
        <v>3028.9679999999998</v>
      </c>
      <c r="O254" s="1">
        <v>27260.712</v>
      </c>
      <c r="P254" s="1">
        <v>18537.284159999999</v>
      </c>
      <c r="Q254" s="1">
        <v>8723.4278400000003</v>
      </c>
      <c r="R254" s="1">
        <v>32</v>
      </c>
      <c r="S254" s="1" t="s">
        <v>26</v>
      </c>
    </row>
    <row r="255" spans="1:19" x14ac:dyDescent="0.35">
      <c r="A255" s="1" t="s">
        <v>505</v>
      </c>
      <c r="B255" s="3">
        <v>45805</v>
      </c>
      <c r="C255" s="1" t="s">
        <v>97</v>
      </c>
      <c r="D255" s="1">
        <v>5</v>
      </c>
      <c r="E255" s="1" t="s">
        <v>506</v>
      </c>
      <c r="F255" s="1" t="s">
        <v>43</v>
      </c>
      <c r="G255" s="1" t="s">
        <v>64</v>
      </c>
      <c r="H255" s="1" t="s">
        <v>31</v>
      </c>
      <c r="I255" s="1" t="s">
        <v>32</v>
      </c>
      <c r="J255" s="1">
        <v>2</v>
      </c>
      <c r="K255" s="1">
        <v>2931.97</v>
      </c>
      <c r="L255" s="1">
        <v>0.2</v>
      </c>
      <c r="M255" s="1">
        <v>5863.94</v>
      </c>
      <c r="N255" s="1">
        <v>1172.788</v>
      </c>
      <c r="O255" s="1">
        <v>4691.152</v>
      </c>
      <c r="P255" s="1">
        <v>2439.3990399999998</v>
      </c>
      <c r="Q255" s="1">
        <v>2251.7529599999998</v>
      </c>
      <c r="R255" s="1">
        <v>47.999999999999993</v>
      </c>
      <c r="S255" s="1" t="s">
        <v>93</v>
      </c>
    </row>
    <row r="256" spans="1:19" x14ac:dyDescent="0.35">
      <c r="A256" s="1" t="s">
        <v>507</v>
      </c>
      <c r="B256" s="3">
        <v>45739</v>
      </c>
      <c r="C256" s="1" t="s">
        <v>28</v>
      </c>
      <c r="D256" s="1">
        <v>3</v>
      </c>
      <c r="E256" s="1" t="s">
        <v>119</v>
      </c>
      <c r="F256" s="1" t="s">
        <v>47</v>
      </c>
      <c r="G256" s="1" t="s">
        <v>64</v>
      </c>
      <c r="H256" s="1" t="s">
        <v>31</v>
      </c>
      <c r="I256" s="1" t="s">
        <v>59</v>
      </c>
      <c r="J256" s="1">
        <v>3</v>
      </c>
      <c r="K256" s="1">
        <v>2593.0100000000002</v>
      </c>
      <c r="L256" s="1">
        <v>0.05</v>
      </c>
      <c r="M256" s="1">
        <v>7779.0300000000007</v>
      </c>
      <c r="N256" s="1">
        <v>388.95150000000012</v>
      </c>
      <c r="O256" s="1">
        <v>7390.0785000000014</v>
      </c>
      <c r="P256" s="1">
        <v>3842.8408199999999</v>
      </c>
      <c r="Q256" s="1">
        <v>3547.2376800000002</v>
      </c>
      <c r="R256" s="1">
        <v>48</v>
      </c>
      <c r="S256" s="1" t="s">
        <v>73</v>
      </c>
    </row>
    <row r="257" spans="1:19" x14ac:dyDescent="0.35">
      <c r="A257" s="1" t="s">
        <v>508</v>
      </c>
      <c r="B257" s="3">
        <v>45984</v>
      </c>
      <c r="C257" s="1" t="s">
        <v>56</v>
      </c>
      <c r="D257" s="1">
        <v>11</v>
      </c>
      <c r="E257" s="1" t="s">
        <v>509</v>
      </c>
      <c r="F257" s="1" t="s">
        <v>47</v>
      </c>
      <c r="G257" s="1" t="s">
        <v>23</v>
      </c>
      <c r="H257" s="1" t="s">
        <v>77</v>
      </c>
      <c r="I257" s="1" t="s">
        <v>90</v>
      </c>
      <c r="J257" s="1">
        <v>7</v>
      </c>
      <c r="K257" s="1">
        <v>676.87</v>
      </c>
      <c r="L257" s="1">
        <v>0.3</v>
      </c>
      <c r="M257" s="1">
        <v>4738.09</v>
      </c>
      <c r="N257" s="1">
        <v>1421.4269999999999</v>
      </c>
      <c r="O257" s="1">
        <v>3316.663</v>
      </c>
      <c r="P257" s="1">
        <v>2387.9973599999998</v>
      </c>
      <c r="Q257" s="1">
        <v>928.66564000000017</v>
      </c>
      <c r="R257" s="1">
        <v>28</v>
      </c>
      <c r="S257" s="1" t="s">
        <v>60</v>
      </c>
    </row>
    <row r="258" spans="1:19" x14ac:dyDescent="0.35">
      <c r="A258" s="1" t="s">
        <v>510</v>
      </c>
      <c r="B258" s="3">
        <v>45743</v>
      </c>
      <c r="C258" s="1" t="s">
        <v>28</v>
      </c>
      <c r="D258" s="1">
        <v>3</v>
      </c>
      <c r="E258" s="1" t="s">
        <v>511</v>
      </c>
      <c r="F258" s="1" t="s">
        <v>76</v>
      </c>
      <c r="G258" s="1" t="s">
        <v>23</v>
      </c>
      <c r="H258" s="1" t="s">
        <v>39</v>
      </c>
      <c r="I258" s="1" t="s">
        <v>155</v>
      </c>
      <c r="J258" s="1">
        <v>1</v>
      </c>
      <c r="K258" s="1">
        <v>42935.31</v>
      </c>
      <c r="L258" s="1">
        <v>0.05</v>
      </c>
      <c r="M258" s="1">
        <v>42935.31</v>
      </c>
      <c r="N258" s="1">
        <v>2146.7655</v>
      </c>
      <c r="O258" s="1">
        <v>40788.544500000004</v>
      </c>
      <c r="P258" s="1">
        <v>31815.064709999999</v>
      </c>
      <c r="Q258" s="1">
        <v>8973.4797899999976</v>
      </c>
      <c r="R258" s="1">
        <v>22</v>
      </c>
      <c r="S258" s="1" t="s">
        <v>93</v>
      </c>
    </row>
    <row r="259" spans="1:19" x14ac:dyDescent="0.35">
      <c r="A259" s="1" t="s">
        <v>512</v>
      </c>
      <c r="B259" s="3">
        <v>45659</v>
      </c>
      <c r="C259" s="1" t="s">
        <v>193</v>
      </c>
      <c r="D259" s="1">
        <v>1</v>
      </c>
      <c r="E259" s="1" t="s">
        <v>513</v>
      </c>
      <c r="F259" s="1" t="s">
        <v>22</v>
      </c>
      <c r="G259" s="1" t="s">
        <v>23</v>
      </c>
      <c r="H259" s="1" t="s">
        <v>77</v>
      </c>
      <c r="I259" s="1" t="s">
        <v>103</v>
      </c>
      <c r="J259" s="1">
        <v>1</v>
      </c>
      <c r="K259" s="1">
        <v>819.38</v>
      </c>
      <c r="L259" s="1">
        <v>0.1</v>
      </c>
      <c r="M259" s="1">
        <v>819.38</v>
      </c>
      <c r="N259" s="1">
        <v>81.938000000000002</v>
      </c>
      <c r="O259" s="1">
        <v>737.44200000000001</v>
      </c>
      <c r="P259" s="1">
        <v>530.95823999999993</v>
      </c>
      <c r="Q259" s="1">
        <v>206.4837600000001</v>
      </c>
      <c r="R259" s="1">
        <v>28.000000000000011</v>
      </c>
      <c r="S259" s="1" t="s">
        <v>33</v>
      </c>
    </row>
    <row r="260" spans="1:19" x14ac:dyDescent="0.35">
      <c r="A260" s="1" t="s">
        <v>514</v>
      </c>
      <c r="B260" s="3">
        <v>45716</v>
      </c>
      <c r="C260" s="1" t="s">
        <v>42</v>
      </c>
      <c r="D260" s="1">
        <v>2</v>
      </c>
      <c r="E260" s="1" t="s">
        <v>515</v>
      </c>
      <c r="F260" s="1" t="s">
        <v>22</v>
      </c>
      <c r="G260" s="1" t="s">
        <v>64</v>
      </c>
      <c r="H260" s="1" t="s">
        <v>99</v>
      </c>
      <c r="I260" s="1" t="s">
        <v>108</v>
      </c>
      <c r="J260" s="1">
        <v>3</v>
      </c>
      <c r="K260" s="1">
        <v>3669.02</v>
      </c>
      <c r="L260" s="1">
        <v>0.2</v>
      </c>
      <c r="M260" s="1">
        <v>11007.06</v>
      </c>
      <c r="N260" s="1">
        <v>2201.4119999999998</v>
      </c>
      <c r="O260" s="1">
        <v>8805.6479999999992</v>
      </c>
      <c r="P260" s="1">
        <v>5987.8406400000003</v>
      </c>
      <c r="Q260" s="1">
        <v>2817.8073599999989</v>
      </c>
      <c r="R260" s="1">
        <v>31.999999999999989</v>
      </c>
      <c r="S260" s="1" t="s">
        <v>73</v>
      </c>
    </row>
    <row r="261" spans="1:19" x14ac:dyDescent="0.35">
      <c r="A261" s="1" t="s">
        <v>516</v>
      </c>
      <c r="B261" s="3">
        <v>45725</v>
      </c>
      <c r="C261" s="1" t="s">
        <v>28</v>
      </c>
      <c r="D261" s="1">
        <v>3</v>
      </c>
      <c r="E261" s="1" t="s">
        <v>189</v>
      </c>
      <c r="F261" s="1" t="s">
        <v>52</v>
      </c>
      <c r="G261" s="1" t="s">
        <v>23</v>
      </c>
      <c r="H261" s="1" t="s">
        <v>77</v>
      </c>
      <c r="I261" s="1" t="s">
        <v>90</v>
      </c>
      <c r="J261" s="1">
        <v>4</v>
      </c>
      <c r="K261" s="1">
        <v>647.29</v>
      </c>
      <c r="L261" s="1">
        <v>0.05</v>
      </c>
      <c r="M261" s="1">
        <v>2589.16</v>
      </c>
      <c r="N261" s="1">
        <v>129.458</v>
      </c>
      <c r="O261" s="1">
        <v>2459.7020000000002</v>
      </c>
      <c r="P261" s="1">
        <v>1770.9854399999999</v>
      </c>
      <c r="Q261" s="1">
        <v>688.71656000000007</v>
      </c>
      <c r="R261" s="1">
        <v>28.000000000000011</v>
      </c>
      <c r="S261" s="1" t="s">
        <v>93</v>
      </c>
    </row>
    <row r="262" spans="1:19" x14ac:dyDescent="0.35">
      <c r="A262" s="1" t="s">
        <v>517</v>
      </c>
      <c r="B262" s="3">
        <v>45825</v>
      </c>
      <c r="C262" s="1" t="s">
        <v>82</v>
      </c>
      <c r="D262" s="1">
        <v>6</v>
      </c>
      <c r="E262" s="1" t="s">
        <v>518</v>
      </c>
      <c r="F262" s="1" t="s">
        <v>69</v>
      </c>
      <c r="G262" s="1" t="s">
        <v>64</v>
      </c>
      <c r="H262" s="1" t="s">
        <v>99</v>
      </c>
      <c r="I262" s="1" t="s">
        <v>145</v>
      </c>
      <c r="J262" s="1">
        <v>4</v>
      </c>
      <c r="K262" s="1">
        <v>19870.28</v>
      </c>
      <c r="L262" s="1">
        <v>0</v>
      </c>
      <c r="M262" s="1">
        <v>79481.119999999995</v>
      </c>
      <c r="N262" s="1">
        <v>0</v>
      </c>
      <c r="O262" s="1">
        <v>79481.119999999995</v>
      </c>
      <c r="P262" s="1">
        <v>54047.161599999999</v>
      </c>
      <c r="Q262" s="1">
        <v>25433.9584</v>
      </c>
      <c r="R262" s="1">
        <v>32</v>
      </c>
      <c r="S262" s="1" t="s">
        <v>33</v>
      </c>
    </row>
    <row r="263" spans="1:19" x14ac:dyDescent="0.35">
      <c r="A263" s="1" t="s">
        <v>519</v>
      </c>
      <c r="B263" s="3">
        <v>45884</v>
      </c>
      <c r="C263" s="1" t="s">
        <v>113</v>
      </c>
      <c r="D263" s="1">
        <v>8</v>
      </c>
      <c r="E263" s="1" t="s">
        <v>331</v>
      </c>
      <c r="F263" s="1" t="s">
        <v>69</v>
      </c>
      <c r="G263" s="1" t="s">
        <v>64</v>
      </c>
      <c r="H263" s="1" t="s">
        <v>77</v>
      </c>
      <c r="I263" s="1" t="s">
        <v>90</v>
      </c>
      <c r="J263" s="1">
        <v>7</v>
      </c>
      <c r="K263" s="1">
        <v>805.3</v>
      </c>
      <c r="L263" s="1">
        <v>0.2</v>
      </c>
      <c r="M263" s="1">
        <v>5637.0999999999995</v>
      </c>
      <c r="N263" s="1">
        <v>1127.42</v>
      </c>
      <c r="O263" s="1">
        <v>4509.6799999999994</v>
      </c>
      <c r="P263" s="1">
        <v>3246.969599999999</v>
      </c>
      <c r="Q263" s="1">
        <v>1262.7103999999999</v>
      </c>
      <c r="R263" s="1">
        <v>28</v>
      </c>
      <c r="S263" s="1" t="s">
        <v>26</v>
      </c>
    </row>
    <row r="264" spans="1:19" x14ac:dyDescent="0.35">
      <c r="A264" s="1" t="s">
        <v>520</v>
      </c>
      <c r="B264" s="3">
        <v>45925</v>
      </c>
      <c r="C264" s="1" t="s">
        <v>50</v>
      </c>
      <c r="D264" s="1">
        <v>9</v>
      </c>
      <c r="E264" s="1" t="s">
        <v>521</v>
      </c>
      <c r="F264" s="1" t="s">
        <v>30</v>
      </c>
      <c r="G264" s="1" t="s">
        <v>38</v>
      </c>
      <c r="H264" s="1" t="s">
        <v>99</v>
      </c>
      <c r="I264" s="1" t="s">
        <v>223</v>
      </c>
      <c r="J264" s="1">
        <v>4</v>
      </c>
      <c r="K264" s="1">
        <v>20339.22</v>
      </c>
      <c r="L264" s="1">
        <v>0.15</v>
      </c>
      <c r="M264" s="1">
        <v>81356.88</v>
      </c>
      <c r="N264" s="1">
        <v>12203.531999999999</v>
      </c>
      <c r="O264" s="1">
        <v>69153.347999999998</v>
      </c>
      <c r="P264" s="1">
        <v>47024.276639999996</v>
      </c>
      <c r="Q264" s="1">
        <v>22129.071359999991</v>
      </c>
      <c r="R264" s="1">
        <v>32</v>
      </c>
      <c r="S264" s="1" t="s">
        <v>73</v>
      </c>
    </row>
    <row r="265" spans="1:19" x14ac:dyDescent="0.35">
      <c r="A265" s="1" t="s">
        <v>522</v>
      </c>
      <c r="B265" s="3">
        <v>45699</v>
      </c>
      <c r="C265" s="1" t="s">
        <v>42</v>
      </c>
      <c r="D265" s="1">
        <v>2</v>
      </c>
      <c r="E265" s="1" t="s">
        <v>523</v>
      </c>
      <c r="F265" s="1" t="s">
        <v>47</v>
      </c>
      <c r="G265" s="1" t="s">
        <v>38</v>
      </c>
      <c r="H265" s="1" t="s">
        <v>24</v>
      </c>
      <c r="I265" s="1" t="s">
        <v>117</v>
      </c>
      <c r="J265" s="1">
        <v>4</v>
      </c>
      <c r="K265" s="1">
        <v>3568.01</v>
      </c>
      <c r="L265" s="1">
        <v>0.05</v>
      </c>
      <c r="M265" s="1">
        <v>14272.04</v>
      </c>
      <c r="N265" s="1">
        <v>713.60200000000009</v>
      </c>
      <c r="O265" s="1">
        <v>13558.438</v>
      </c>
      <c r="P265" s="1">
        <v>7457.1409000000003</v>
      </c>
      <c r="Q265" s="1">
        <v>6101.2970999999998</v>
      </c>
      <c r="R265" s="1">
        <v>44.999999999999993</v>
      </c>
      <c r="S265" s="1" t="s">
        <v>33</v>
      </c>
    </row>
    <row r="266" spans="1:19" x14ac:dyDescent="0.35">
      <c r="A266" s="1" t="s">
        <v>524</v>
      </c>
      <c r="B266" s="3">
        <v>45786</v>
      </c>
      <c r="C266" s="1" t="s">
        <v>97</v>
      </c>
      <c r="D266" s="1">
        <v>5</v>
      </c>
      <c r="E266" s="1" t="s">
        <v>157</v>
      </c>
      <c r="F266" s="1" t="s">
        <v>69</v>
      </c>
      <c r="G266" s="1" t="s">
        <v>64</v>
      </c>
      <c r="H266" s="1" t="s">
        <v>31</v>
      </c>
      <c r="I266" s="1" t="s">
        <v>59</v>
      </c>
      <c r="J266" s="1">
        <v>4</v>
      </c>
      <c r="K266" s="1">
        <v>2907.25</v>
      </c>
      <c r="L266" s="1">
        <v>0.1</v>
      </c>
      <c r="M266" s="1">
        <v>11629</v>
      </c>
      <c r="N266" s="1">
        <v>1162.9000000000001</v>
      </c>
      <c r="O266" s="1">
        <v>10466.1</v>
      </c>
      <c r="P266" s="1">
        <v>5442.3720000000003</v>
      </c>
      <c r="Q266" s="1">
        <v>5023.7280000000001</v>
      </c>
      <c r="R266" s="1">
        <v>48</v>
      </c>
      <c r="S266" s="1" t="s">
        <v>26</v>
      </c>
    </row>
    <row r="267" spans="1:19" x14ac:dyDescent="0.35">
      <c r="A267" s="1" t="s">
        <v>525</v>
      </c>
      <c r="B267" s="3">
        <v>45959</v>
      </c>
      <c r="C267" s="1" t="s">
        <v>35</v>
      </c>
      <c r="D267" s="1">
        <v>10</v>
      </c>
      <c r="E267" s="1" t="s">
        <v>278</v>
      </c>
      <c r="F267" s="1" t="s">
        <v>47</v>
      </c>
      <c r="G267" s="1" t="s">
        <v>23</v>
      </c>
      <c r="H267" s="1" t="s">
        <v>39</v>
      </c>
      <c r="I267" s="1" t="s">
        <v>214</v>
      </c>
      <c r="J267" s="1">
        <v>7</v>
      </c>
      <c r="K267" s="1">
        <v>35665.46</v>
      </c>
      <c r="L267" s="1">
        <v>0.05</v>
      </c>
      <c r="M267" s="1">
        <v>249658.22</v>
      </c>
      <c r="N267" s="1">
        <v>12482.911</v>
      </c>
      <c r="O267" s="1">
        <v>237175.30900000001</v>
      </c>
      <c r="P267" s="1">
        <v>184996.74101999999</v>
      </c>
      <c r="Q267" s="1">
        <v>52178.567979999993</v>
      </c>
      <c r="R267" s="1">
        <v>22</v>
      </c>
      <c r="S267" s="1" t="s">
        <v>26</v>
      </c>
    </row>
    <row r="268" spans="1:19" x14ac:dyDescent="0.35">
      <c r="A268" s="1" t="s">
        <v>526</v>
      </c>
      <c r="B268" s="3">
        <v>45904</v>
      </c>
      <c r="C268" s="1" t="s">
        <v>50</v>
      </c>
      <c r="D268" s="1">
        <v>9</v>
      </c>
      <c r="E268" s="1" t="s">
        <v>293</v>
      </c>
      <c r="F268" s="1" t="s">
        <v>58</v>
      </c>
      <c r="G268" s="1" t="s">
        <v>23</v>
      </c>
      <c r="H268" s="1" t="s">
        <v>53</v>
      </c>
      <c r="I268" s="1" t="s">
        <v>54</v>
      </c>
      <c r="J268" s="1">
        <v>5</v>
      </c>
      <c r="K268" s="1">
        <v>1443.41</v>
      </c>
      <c r="L268" s="1">
        <v>0.1</v>
      </c>
      <c r="M268" s="1">
        <v>7217.05</v>
      </c>
      <c r="N268" s="1">
        <v>721.70500000000004</v>
      </c>
      <c r="O268" s="1">
        <v>6495.3450000000003</v>
      </c>
      <c r="P268" s="1">
        <v>3767.3000999999999</v>
      </c>
      <c r="Q268" s="1">
        <v>2728.0448999999999</v>
      </c>
      <c r="R268" s="1">
        <v>42.000000000000007</v>
      </c>
      <c r="S268" s="1" t="s">
        <v>93</v>
      </c>
    </row>
    <row r="269" spans="1:19" x14ac:dyDescent="0.35">
      <c r="A269" s="1" t="s">
        <v>527</v>
      </c>
      <c r="B269" s="3">
        <v>45884</v>
      </c>
      <c r="C269" s="1" t="s">
        <v>113</v>
      </c>
      <c r="D269" s="1">
        <v>8</v>
      </c>
      <c r="E269" s="1" t="s">
        <v>85</v>
      </c>
      <c r="F269" s="1" t="s">
        <v>69</v>
      </c>
      <c r="G269" s="1" t="s">
        <v>64</v>
      </c>
      <c r="H269" s="1" t="s">
        <v>31</v>
      </c>
      <c r="I269" s="1" t="s">
        <v>190</v>
      </c>
      <c r="J269" s="1">
        <v>4</v>
      </c>
      <c r="K269" s="1">
        <v>3031.98</v>
      </c>
      <c r="L269" s="1">
        <v>0.2</v>
      </c>
      <c r="M269" s="1">
        <v>12127.92</v>
      </c>
      <c r="N269" s="1">
        <v>2425.5839999999998</v>
      </c>
      <c r="O269" s="1">
        <v>9702.3359999999993</v>
      </c>
      <c r="P269" s="1">
        <v>5045.2147199999999</v>
      </c>
      <c r="Q269" s="1">
        <v>4657.1212799999994</v>
      </c>
      <c r="R269" s="1">
        <v>48</v>
      </c>
      <c r="S269" s="1" t="s">
        <v>73</v>
      </c>
    </row>
    <row r="270" spans="1:19" x14ac:dyDescent="0.35">
      <c r="A270" s="1" t="s">
        <v>528</v>
      </c>
      <c r="B270" s="3">
        <v>46021</v>
      </c>
      <c r="C270" s="1" t="s">
        <v>67</v>
      </c>
      <c r="D270" s="1">
        <v>12</v>
      </c>
      <c r="E270" s="1" t="s">
        <v>529</v>
      </c>
      <c r="F270" s="1" t="s">
        <v>37</v>
      </c>
      <c r="G270" s="1" t="s">
        <v>64</v>
      </c>
      <c r="H270" s="1" t="s">
        <v>24</v>
      </c>
      <c r="I270" s="1" t="s">
        <v>48</v>
      </c>
      <c r="J270" s="1">
        <v>1</v>
      </c>
      <c r="K270" s="1">
        <v>2467.89</v>
      </c>
      <c r="L270" s="1">
        <v>0.1</v>
      </c>
      <c r="M270" s="1">
        <v>2467.89</v>
      </c>
      <c r="N270" s="1">
        <v>246.78899999999999</v>
      </c>
      <c r="O270" s="1">
        <v>2221.1010000000001</v>
      </c>
      <c r="P270" s="1">
        <v>1221.60555</v>
      </c>
      <c r="Q270" s="1">
        <v>999.49544999999966</v>
      </c>
      <c r="R270" s="1">
        <v>44.999999999999993</v>
      </c>
      <c r="S270" s="1" t="s">
        <v>73</v>
      </c>
    </row>
    <row r="271" spans="1:19" x14ac:dyDescent="0.35">
      <c r="A271" s="1" t="s">
        <v>530</v>
      </c>
      <c r="B271" s="3">
        <v>45847</v>
      </c>
      <c r="C271" s="1" t="s">
        <v>62</v>
      </c>
      <c r="D271" s="1">
        <v>7</v>
      </c>
      <c r="E271" s="1" t="s">
        <v>295</v>
      </c>
      <c r="F271" s="1" t="s">
        <v>43</v>
      </c>
      <c r="G271" s="1" t="s">
        <v>38</v>
      </c>
      <c r="H271" s="1" t="s">
        <v>39</v>
      </c>
      <c r="I271" s="1" t="s">
        <v>87</v>
      </c>
      <c r="J271" s="1">
        <v>5</v>
      </c>
      <c r="K271" s="1">
        <v>31946.77</v>
      </c>
      <c r="L271" s="1">
        <v>0.25</v>
      </c>
      <c r="M271" s="1">
        <v>159733.85</v>
      </c>
      <c r="N271" s="1">
        <v>39933.462500000001</v>
      </c>
      <c r="O271" s="1">
        <v>119800.3875</v>
      </c>
      <c r="P271" s="1">
        <v>93444.302250000008</v>
      </c>
      <c r="Q271" s="1">
        <v>26356.08525</v>
      </c>
      <c r="R271" s="1">
        <v>22</v>
      </c>
      <c r="S271" s="1" t="s">
        <v>93</v>
      </c>
    </row>
    <row r="272" spans="1:19" x14ac:dyDescent="0.35">
      <c r="A272" s="1" t="s">
        <v>531</v>
      </c>
      <c r="B272" s="3">
        <v>45765</v>
      </c>
      <c r="C272" s="1" t="s">
        <v>20</v>
      </c>
      <c r="D272" s="1">
        <v>4</v>
      </c>
      <c r="E272" s="1" t="s">
        <v>532</v>
      </c>
      <c r="F272" s="1" t="s">
        <v>47</v>
      </c>
      <c r="G272" s="1" t="s">
        <v>23</v>
      </c>
      <c r="H272" s="1" t="s">
        <v>53</v>
      </c>
      <c r="I272" s="1" t="s">
        <v>128</v>
      </c>
      <c r="J272" s="1">
        <v>6</v>
      </c>
      <c r="K272" s="1">
        <v>2449.85</v>
      </c>
      <c r="L272" s="1">
        <v>0.15</v>
      </c>
      <c r="M272" s="1">
        <v>14699.1</v>
      </c>
      <c r="N272" s="1">
        <v>2204.8649999999998</v>
      </c>
      <c r="O272" s="1">
        <v>12494.235000000001</v>
      </c>
      <c r="P272" s="1">
        <v>7246.6562999999987</v>
      </c>
      <c r="Q272" s="1">
        <v>5247.5787</v>
      </c>
      <c r="R272" s="1">
        <v>42.000000000000007</v>
      </c>
      <c r="S272" s="1" t="s">
        <v>33</v>
      </c>
    </row>
    <row r="273" spans="1:19" x14ac:dyDescent="0.35">
      <c r="A273" s="1" t="s">
        <v>533</v>
      </c>
      <c r="B273" s="3">
        <v>45704</v>
      </c>
      <c r="C273" s="1" t="s">
        <v>42</v>
      </c>
      <c r="D273" s="1">
        <v>2</v>
      </c>
      <c r="E273" s="1" t="s">
        <v>98</v>
      </c>
      <c r="F273" s="1" t="s">
        <v>22</v>
      </c>
      <c r="G273" s="1" t="s">
        <v>38</v>
      </c>
      <c r="H273" s="1" t="s">
        <v>77</v>
      </c>
      <c r="I273" s="1" t="s">
        <v>90</v>
      </c>
      <c r="J273" s="1">
        <v>1</v>
      </c>
      <c r="K273" s="1">
        <v>803.57</v>
      </c>
      <c r="L273" s="1">
        <v>0.3</v>
      </c>
      <c r="M273" s="1">
        <v>803.57</v>
      </c>
      <c r="N273" s="1">
        <v>241.071</v>
      </c>
      <c r="O273" s="1">
        <v>562.49900000000002</v>
      </c>
      <c r="P273" s="1">
        <v>404.99928</v>
      </c>
      <c r="Q273" s="1">
        <v>157.49972</v>
      </c>
      <c r="R273" s="1">
        <v>28</v>
      </c>
      <c r="S273" s="1" t="s">
        <v>33</v>
      </c>
    </row>
    <row r="274" spans="1:19" x14ac:dyDescent="0.35">
      <c r="A274" s="1" t="s">
        <v>534</v>
      </c>
      <c r="B274" s="3">
        <v>45960</v>
      </c>
      <c r="C274" s="1" t="s">
        <v>35</v>
      </c>
      <c r="D274" s="1">
        <v>10</v>
      </c>
      <c r="E274" s="1" t="s">
        <v>187</v>
      </c>
      <c r="F274" s="1" t="s">
        <v>111</v>
      </c>
      <c r="G274" s="1" t="s">
        <v>23</v>
      </c>
      <c r="H274" s="1" t="s">
        <v>77</v>
      </c>
      <c r="I274" s="1" t="s">
        <v>103</v>
      </c>
      <c r="J274" s="1">
        <v>7</v>
      </c>
      <c r="K274" s="1">
        <v>294.54000000000002</v>
      </c>
      <c r="L274" s="1">
        <v>0</v>
      </c>
      <c r="M274" s="1">
        <v>2061.7800000000002</v>
      </c>
      <c r="N274" s="1">
        <v>0</v>
      </c>
      <c r="O274" s="1">
        <v>2061.7800000000002</v>
      </c>
      <c r="P274" s="1">
        <v>1484.4816000000001</v>
      </c>
      <c r="Q274" s="1">
        <v>577.29840000000013</v>
      </c>
      <c r="R274" s="1">
        <v>28</v>
      </c>
      <c r="S274" s="1" t="s">
        <v>33</v>
      </c>
    </row>
    <row r="275" spans="1:19" x14ac:dyDescent="0.35">
      <c r="A275" s="1" t="s">
        <v>535</v>
      </c>
      <c r="B275" s="3">
        <v>45696</v>
      </c>
      <c r="C275" s="1" t="s">
        <v>42</v>
      </c>
      <c r="D275" s="1">
        <v>2</v>
      </c>
      <c r="E275" s="1" t="s">
        <v>536</v>
      </c>
      <c r="F275" s="1" t="s">
        <v>76</v>
      </c>
      <c r="G275" s="1" t="s">
        <v>23</v>
      </c>
      <c r="H275" s="1" t="s">
        <v>39</v>
      </c>
      <c r="I275" s="1" t="s">
        <v>40</v>
      </c>
      <c r="J275" s="1">
        <v>3</v>
      </c>
      <c r="K275" s="1">
        <v>11368.35</v>
      </c>
      <c r="L275" s="1">
        <v>0.25</v>
      </c>
      <c r="M275" s="1">
        <v>34105.050000000003</v>
      </c>
      <c r="N275" s="1">
        <v>8526.2625000000007</v>
      </c>
      <c r="O275" s="1">
        <v>25578.787499999999</v>
      </c>
      <c r="P275" s="1">
        <v>19951.454249999999</v>
      </c>
      <c r="Q275" s="1">
        <v>5627.3332499999997</v>
      </c>
      <c r="R275" s="1">
        <v>22</v>
      </c>
      <c r="S275" s="1" t="s">
        <v>26</v>
      </c>
    </row>
    <row r="276" spans="1:19" x14ac:dyDescent="0.35">
      <c r="A276" s="1" t="s">
        <v>537</v>
      </c>
      <c r="B276" s="3">
        <v>45748</v>
      </c>
      <c r="C276" s="1" t="s">
        <v>20</v>
      </c>
      <c r="D276" s="1">
        <v>4</v>
      </c>
      <c r="E276" s="1" t="s">
        <v>538</v>
      </c>
      <c r="F276" s="1" t="s">
        <v>69</v>
      </c>
      <c r="G276" s="1" t="s">
        <v>38</v>
      </c>
      <c r="H276" s="1" t="s">
        <v>99</v>
      </c>
      <c r="I276" s="1" t="s">
        <v>100</v>
      </c>
      <c r="J276" s="1">
        <v>6</v>
      </c>
      <c r="K276" s="1">
        <v>12858.06</v>
      </c>
      <c r="L276" s="1">
        <v>0.2</v>
      </c>
      <c r="M276" s="1">
        <v>77148.36</v>
      </c>
      <c r="N276" s="1">
        <v>15429.672</v>
      </c>
      <c r="O276" s="1">
        <v>61718.688000000002</v>
      </c>
      <c r="P276" s="1">
        <v>41968.707840000003</v>
      </c>
      <c r="Q276" s="1">
        <v>19749.980159999999</v>
      </c>
      <c r="R276" s="1">
        <v>32</v>
      </c>
      <c r="S276" s="1" t="s">
        <v>33</v>
      </c>
    </row>
    <row r="277" spans="1:19" x14ac:dyDescent="0.35">
      <c r="A277" s="1" t="s">
        <v>539</v>
      </c>
      <c r="B277" s="3">
        <v>45938</v>
      </c>
      <c r="C277" s="1" t="s">
        <v>35</v>
      </c>
      <c r="D277" s="1">
        <v>10</v>
      </c>
      <c r="E277" s="1" t="s">
        <v>540</v>
      </c>
      <c r="F277" s="1" t="s">
        <v>69</v>
      </c>
      <c r="G277" s="1" t="s">
        <v>38</v>
      </c>
      <c r="H277" s="1" t="s">
        <v>77</v>
      </c>
      <c r="I277" s="1" t="s">
        <v>201</v>
      </c>
      <c r="J277" s="1">
        <v>2</v>
      </c>
      <c r="K277" s="1">
        <v>1161.18</v>
      </c>
      <c r="L277" s="1">
        <v>0.05</v>
      </c>
      <c r="M277" s="1">
        <v>2322.36</v>
      </c>
      <c r="N277" s="1">
        <v>116.11799999999999</v>
      </c>
      <c r="O277" s="1">
        <v>2206.2420000000002</v>
      </c>
      <c r="P277" s="1">
        <v>1588.49424</v>
      </c>
      <c r="Q277" s="1">
        <v>617.7477600000002</v>
      </c>
      <c r="R277" s="1">
        <v>28.000000000000011</v>
      </c>
      <c r="S277" s="1" t="s">
        <v>26</v>
      </c>
    </row>
    <row r="278" spans="1:19" x14ac:dyDescent="0.35">
      <c r="A278" s="1" t="s">
        <v>541</v>
      </c>
      <c r="B278" s="3">
        <v>45858</v>
      </c>
      <c r="C278" s="1" t="s">
        <v>62</v>
      </c>
      <c r="D278" s="1">
        <v>7</v>
      </c>
      <c r="E278" s="1" t="s">
        <v>222</v>
      </c>
      <c r="F278" s="1" t="s">
        <v>22</v>
      </c>
      <c r="G278" s="1" t="s">
        <v>64</v>
      </c>
      <c r="H278" s="1" t="s">
        <v>24</v>
      </c>
      <c r="I278" s="1" t="s">
        <v>48</v>
      </c>
      <c r="J278" s="1">
        <v>4</v>
      </c>
      <c r="K278" s="1">
        <v>5899.89</v>
      </c>
      <c r="L278" s="1">
        <v>0.15</v>
      </c>
      <c r="M278" s="1">
        <v>23599.56</v>
      </c>
      <c r="N278" s="1">
        <v>3539.9340000000002</v>
      </c>
      <c r="O278" s="1">
        <v>20059.626</v>
      </c>
      <c r="P278" s="1">
        <v>11032.7943</v>
      </c>
      <c r="Q278" s="1">
        <v>9026.8316999999988</v>
      </c>
      <c r="R278" s="1">
        <v>44.999999999999993</v>
      </c>
      <c r="S278" s="1" t="s">
        <v>26</v>
      </c>
    </row>
    <row r="279" spans="1:19" x14ac:dyDescent="0.35">
      <c r="A279" s="1" t="s">
        <v>542</v>
      </c>
      <c r="B279" s="3">
        <v>45777</v>
      </c>
      <c r="C279" s="1" t="s">
        <v>20</v>
      </c>
      <c r="D279" s="1">
        <v>4</v>
      </c>
      <c r="E279" s="1" t="s">
        <v>543</v>
      </c>
      <c r="F279" s="1" t="s">
        <v>43</v>
      </c>
      <c r="G279" s="1" t="s">
        <v>64</v>
      </c>
      <c r="H279" s="1" t="s">
        <v>77</v>
      </c>
      <c r="I279" s="1" t="s">
        <v>103</v>
      </c>
      <c r="J279" s="1">
        <v>5</v>
      </c>
      <c r="K279" s="1">
        <v>671.8</v>
      </c>
      <c r="L279" s="1">
        <v>0</v>
      </c>
      <c r="M279" s="1">
        <v>3359</v>
      </c>
      <c r="N279" s="1">
        <v>0</v>
      </c>
      <c r="O279" s="1">
        <v>3359</v>
      </c>
      <c r="P279" s="1">
        <v>2418.48</v>
      </c>
      <c r="Q279" s="1">
        <v>940.52</v>
      </c>
      <c r="R279" s="1">
        <v>28</v>
      </c>
      <c r="S279" s="1" t="s">
        <v>60</v>
      </c>
    </row>
    <row r="280" spans="1:19" x14ac:dyDescent="0.35">
      <c r="A280" s="1" t="s">
        <v>544</v>
      </c>
      <c r="B280" s="3">
        <v>45799</v>
      </c>
      <c r="C280" s="1" t="s">
        <v>97</v>
      </c>
      <c r="D280" s="1">
        <v>5</v>
      </c>
      <c r="E280" s="1" t="s">
        <v>545</v>
      </c>
      <c r="F280" s="1" t="s">
        <v>43</v>
      </c>
      <c r="G280" s="1" t="s">
        <v>38</v>
      </c>
      <c r="H280" s="1" t="s">
        <v>53</v>
      </c>
      <c r="I280" s="1" t="s">
        <v>72</v>
      </c>
      <c r="J280" s="1">
        <v>5</v>
      </c>
      <c r="K280" s="1">
        <v>813.37</v>
      </c>
      <c r="L280" s="1">
        <v>0.05</v>
      </c>
      <c r="M280" s="1">
        <v>4066.85</v>
      </c>
      <c r="N280" s="1">
        <v>203.3425</v>
      </c>
      <c r="O280" s="1">
        <v>3863.5075000000002</v>
      </c>
      <c r="P280" s="1">
        <v>2240.8343500000001</v>
      </c>
      <c r="Q280" s="1">
        <v>1622.6731500000001</v>
      </c>
      <c r="R280" s="1">
        <v>42.000000000000007</v>
      </c>
      <c r="S280" s="1" t="s">
        <v>33</v>
      </c>
    </row>
    <row r="281" spans="1:19" x14ac:dyDescent="0.35">
      <c r="A281" s="1" t="s">
        <v>546</v>
      </c>
      <c r="B281" s="3">
        <v>45921</v>
      </c>
      <c r="C281" s="1" t="s">
        <v>50</v>
      </c>
      <c r="D281" s="1">
        <v>9</v>
      </c>
      <c r="E281" s="1" t="s">
        <v>394</v>
      </c>
      <c r="F281" s="1" t="s">
        <v>22</v>
      </c>
      <c r="G281" s="1" t="s">
        <v>64</v>
      </c>
      <c r="H281" s="1" t="s">
        <v>99</v>
      </c>
      <c r="I281" s="1" t="s">
        <v>223</v>
      </c>
      <c r="J281" s="1">
        <v>1</v>
      </c>
      <c r="K281" s="1">
        <v>9934.18</v>
      </c>
      <c r="L281" s="1">
        <v>0.1</v>
      </c>
      <c r="M281" s="1">
        <v>9934.18</v>
      </c>
      <c r="N281" s="1">
        <v>993.41800000000012</v>
      </c>
      <c r="O281" s="1">
        <v>8940.7620000000006</v>
      </c>
      <c r="P281" s="1">
        <v>6079.7181600000013</v>
      </c>
      <c r="Q281" s="1">
        <v>2861.0438399999989</v>
      </c>
      <c r="R281" s="1">
        <v>31.999999999999989</v>
      </c>
      <c r="S281" s="1" t="s">
        <v>33</v>
      </c>
    </row>
    <row r="282" spans="1:19" x14ac:dyDescent="0.35">
      <c r="A282" s="1" t="s">
        <v>547</v>
      </c>
      <c r="B282" s="3">
        <v>45692</v>
      </c>
      <c r="C282" s="1" t="s">
        <v>42</v>
      </c>
      <c r="D282" s="1">
        <v>2</v>
      </c>
      <c r="E282" s="1" t="s">
        <v>448</v>
      </c>
      <c r="F282" s="1" t="s">
        <v>111</v>
      </c>
      <c r="G282" s="1" t="s">
        <v>38</v>
      </c>
      <c r="H282" s="1" t="s">
        <v>53</v>
      </c>
      <c r="I282" s="1" t="s">
        <v>72</v>
      </c>
      <c r="J282" s="1">
        <v>6</v>
      </c>
      <c r="K282" s="1">
        <v>2153.67</v>
      </c>
      <c r="L282" s="1">
        <v>0.1</v>
      </c>
      <c r="M282" s="1">
        <v>12922.02</v>
      </c>
      <c r="N282" s="1">
        <v>1292.202</v>
      </c>
      <c r="O282" s="1">
        <v>11629.817999999999</v>
      </c>
      <c r="P282" s="1">
        <v>6745.2944399999988</v>
      </c>
      <c r="Q282" s="1">
        <v>4884.5235600000015</v>
      </c>
      <c r="R282" s="1">
        <v>42.000000000000007</v>
      </c>
      <c r="S282" s="1" t="s">
        <v>60</v>
      </c>
    </row>
    <row r="283" spans="1:19" x14ac:dyDescent="0.35">
      <c r="A283" s="1" t="s">
        <v>548</v>
      </c>
      <c r="B283" s="3">
        <v>45858</v>
      </c>
      <c r="C283" s="1" t="s">
        <v>62</v>
      </c>
      <c r="D283" s="1">
        <v>7</v>
      </c>
      <c r="E283" s="1" t="s">
        <v>549</v>
      </c>
      <c r="F283" s="1" t="s">
        <v>76</v>
      </c>
      <c r="G283" s="1" t="s">
        <v>64</v>
      </c>
      <c r="H283" s="1" t="s">
        <v>31</v>
      </c>
      <c r="I283" s="1" t="s">
        <v>59</v>
      </c>
      <c r="J283" s="1">
        <v>1</v>
      </c>
      <c r="K283" s="1">
        <v>2408.36</v>
      </c>
      <c r="L283" s="1">
        <v>0.2</v>
      </c>
      <c r="M283" s="1">
        <v>2408.36</v>
      </c>
      <c r="N283" s="1">
        <v>481.67200000000003</v>
      </c>
      <c r="O283" s="1">
        <v>1926.6880000000001</v>
      </c>
      <c r="P283" s="1">
        <v>1001.87776</v>
      </c>
      <c r="Q283" s="1">
        <v>924.81024000000002</v>
      </c>
      <c r="R283" s="1">
        <v>48</v>
      </c>
      <c r="S283" s="1" t="s">
        <v>33</v>
      </c>
    </row>
    <row r="284" spans="1:19" x14ac:dyDescent="0.35">
      <c r="A284" s="1" t="s">
        <v>550</v>
      </c>
      <c r="B284" s="3">
        <v>45831</v>
      </c>
      <c r="C284" s="1" t="s">
        <v>82</v>
      </c>
      <c r="D284" s="1">
        <v>6</v>
      </c>
      <c r="E284" s="1" t="s">
        <v>551</v>
      </c>
      <c r="F284" s="1" t="s">
        <v>111</v>
      </c>
      <c r="G284" s="1" t="s">
        <v>38</v>
      </c>
      <c r="H284" s="1" t="s">
        <v>39</v>
      </c>
      <c r="I284" s="1" t="s">
        <v>234</v>
      </c>
      <c r="J284" s="1">
        <v>3</v>
      </c>
      <c r="K284" s="1">
        <v>58873.83</v>
      </c>
      <c r="L284" s="1">
        <v>0.1</v>
      </c>
      <c r="M284" s="1">
        <v>176621.49</v>
      </c>
      <c r="N284" s="1">
        <v>17662.149000000001</v>
      </c>
      <c r="O284" s="1">
        <v>158959.34099999999</v>
      </c>
      <c r="P284" s="1">
        <v>123988.28598</v>
      </c>
      <c r="Q284" s="1">
        <v>34971.05502</v>
      </c>
      <c r="R284" s="1">
        <v>22</v>
      </c>
      <c r="S284" s="1" t="s">
        <v>60</v>
      </c>
    </row>
    <row r="285" spans="1:19" x14ac:dyDescent="0.35">
      <c r="A285" s="1" t="s">
        <v>552</v>
      </c>
      <c r="B285" s="3">
        <v>45814</v>
      </c>
      <c r="C285" s="1" t="s">
        <v>82</v>
      </c>
      <c r="D285" s="1">
        <v>6</v>
      </c>
      <c r="E285" s="1" t="s">
        <v>553</v>
      </c>
      <c r="F285" s="1" t="s">
        <v>52</v>
      </c>
      <c r="G285" s="1" t="s">
        <v>64</v>
      </c>
      <c r="H285" s="1" t="s">
        <v>53</v>
      </c>
      <c r="I285" s="1" t="s">
        <v>128</v>
      </c>
      <c r="J285" s="1">
        <v>4</v>
      </c>
      <c r="K285" s="1">
        <v>1723.42</v>
      </c>
      <c r="L285" s="1">
        <v>0.05</v>
      </c>
      <c r="M285" s="1">
        <v>6893.68</v>
      </c>
      <c r="N285" s="1">
        <v>344.68400000000003</v>
      </c>
      <c r="O285" s="1">
        <v>6548.9960000000001</v>
      </c>
      <c r="P285" s="1">
        <v>3798.41768</v>
      </c>
      <c r="Q285" s="1">
        <v>2750.5783200000001</v>
      </c>
      <c r="R285" s="1">
        <v>42</v>
      </c>
      <c r="S285" s="1" t="s">
        <v>33</v>
      </c>
    </row>
    <row r="286" spans="1:19" x14ac:dyDescent="0.35">
      <c r="A286" s="1" t="s">
        <v>554</v>
      </c>
      <c r="B286" s="3">
        <v>45851</v>
      </c>
      <c r="C286" s="1" t="s">
        <v>62</v>
      </c>
      <c r="D286" s="1">
        <v>7</v>
      </c>
      <c r="E286" s="1" t="s">
        <v>468</v>
      </c>
      <c r="F286" s="1" t="s">
        <v>52</v>
      </c>
      <c r="G286" s="1" t="s">
        <v>23</v>
      </c>
      <c r="H286" s="1" t="s">
        <v>99</v>
      </c>
      <c r="I286" s="1" t="s">
        <v>223</v>
      </c>
      <c r="J286" s="1">
        <v>3</v>
      </c>
      <c r="K286" s="1">
        <v>19230.86</v>
      </c>
      <c r="L286" s="1">
        <v>0.1</v>
      </c>
      <c r="M286" s="1">
        <v>57692.58</v>
      </c>
      <c r="N286" s="1">
        <v>5769.2580000000007</v>
      </c>
      <c r="O286" s="1">
        <v>51923.322</v>
      </c>
      <c r="P286" s="1">
        <v>35307.858960000012</v>
      </c>
      <c r="Q286" s="1">
        <v>16615.463039999999</v>
      </c>
      <c r="R286" s="1">
        <v>31.999999999999989</v>
      </c>
      <c r="S286" s="1" t="s">
        <v>73</v>
      </c>
    </row>
    <row r="287" spans="1:19" x14ac:dyDescent="0.35">
      <c r="A287" s="1" t="s">
        <v>555</v>
      </c>
      <c r="B287" s="3">
        <v>45718</v>
      </c>
      <c r="C287" s="1" t="s">
        <v>28</v>
      </c>
      <c r="D287" s="1">
        <v>3</v>
      </c>
      <c r="E287" s="1" t="s">
        <v>218</v>
      </c>
      <c r="F287" s="1" t="s">
        <v>76</v>
      </c>
      <c r="G287" s="1" t="s">
        <v>38</v>
      </c>
      <c r="H287" s="1" t="s">
        <v>24</v>
      </c>
      <c r="I287" s="1" t="s">
        <v>25</v>
      </c>
      <c r="J287" s="1">
        <v>6</v>
      </c>
      <c r="K287" s="1">
        <v>751.07</v>
      </c>
      <c r="L287" s="1">
        <v>0.05</v>
      </c>
      <c r="M287" s="1">
        <v>4506.42</v>
      </c>
      <c r="N287" s="1">
        <v>225.321</v>
      </c>
      <c r="O287" s="1">
        <v>4281.0990000000002</v>
      </c>
      <c r="P287" s="1">
        <v>2354.6044499999998</v>
      </c>
      <c r="Q287" s="1">
        <v>1926.4945499999999</v>
      </c>
      <c r="R287" s="1">
        <v>44.999999999999993</v>
      </c>
      <c r="S287" s="1" t="s">
        <v>93</v>
      </c>
    </row>
    <row r="288" spans="1:19" x14ac:dyDescent="0.35">
      <c r="A288" s="1" t="s">
        <v>556</v>
      </c>
      <c r="B288" s="3">
        <v>45997</v>
      </c>
      <c r="C288" s="1" t="s">
        <v>67</v>
      </c>
      <c r="D288" s="1">
        <v>12</v>
      </c>
      <c r="E288" s="1" t="s">
        <v>538</v>
      </c>
      <c r="F288" s="1" t="s">
        <v>30</v>
      </c>
      <c r="G288" s="1" t="s">
        <v>38</v>
      </c>
      <c r="H288" s="1" t="s">
        <v>39</v>
      </c>
      <c r="I288" s="1" t="s">
        <v>234</v>
      </c>
      <c r="J288" s="1">
        <v>5</v>
      </c>
      <c r="K288" s="1">
        <v>38609.43</v>
      </c>
      <c r="L288" s="1">
        <v>0.2</v>
      </c>
      <c r="M288" s="1">
        <v>193047.15</v>
      </c>
      <c r="N288" s="1">
        <v>38609.43</v>
      </c>
      <c r="O288" s="1">
        <v>154437.72</v>
      </c>
      <c r="P288" s="1">
        <v>120461.4216</v>
      </c>
      <c r="Q288" s="1">
        <v>33976.2984</v>
      </c>
      <c r="R288" s="1">
        <v>22</v>
      </c>
      <c r="S288" s="1" t="s">
        <v>33</v>
      </c>
    </row>
    <row r="289" spans="1:19" x14ac:dyDescent="0.35">
      <c r="A289" s="1" t="s">
        <v>557</v>
      </c>
      <c r="B289" s="3">
        <v>46010</v>
      </c>
      <c r="C289" s="1" t="s">
        <v>67</v>
      </c>
      <c r="D289" s="1">
        <v>12</v>
      </c>
      <c r="E289" s="1" t="s">
        <v>265</v>
      </c>
      <c r="F289" s="1" t="s">
        <v>52</v>
      </c>
      <c r="G289" s="1" t="s">
        <v>23</v>
      </c>
      <c r="H289" s="1" t="s">
        <v>99</v>
      </c>
      <c r="I289" s="1" t="s">
        <v>223</v>
      </c>
      <c r="J289" s="1">
        <v>7</v>
      </c>
      <c r="K289" s="1">
        <v>20558.18</v>
      </c>
      <c r="L289" s="1">
        <v>0.15</v>
      </c>
      <c r="M289" s="1">
        <v>143907.26</v>
      </c>
      <c r="N289" s="1">
        <v>21586.089</v>
      </c>
      <c r="O289" s="1">
        <v>122321.171</v>
      </c>
      <c r="P289" s="1">
        <v>83178.396280000001</v>
      </c>
      <c r="Q289" s="1">
        <v>39142.774720000001</v>
      </c>
      <c r="R289" s="1">
        <v>32</v>
      </c>
      <c r="S289" s="1" t="s">
        <v>60</v>
      </c>
    </row>
    <row r="290" spans="1:19" x14ac:dyDescent="0.35">
      <c r="A290" s="1" t="s">
        <v>558</v>
      </c>
      <c r="B290" s="3">
        <v>46001</v>
      </c>
      <c r="C290" s="1" t="s">
        <v>67</v>
      </c>
      <c r="D290" s="1">
        <v>12</v>
      </c>
      <c r="E290" s="1" t="s">
        <v>559</v>
      </c>
      <c r="F290" s="1" t="s">
        <v>22</v>
      </c>
      <c r="G290" s="1" t="s">
        <v>38</v>
      </c>
      <c r="H290" s="1" t="s">
        <v>31</v>
      </c>
      <c r="I290" s="1" t="s">
        <v>167</v>
      </c>
      <c r="J290" s="1">
        <v>1</v>
      </c>
      <c r="K290" s="1">
        <v>2236.3200000000002</v>
      </c>
      <c r="L290" s="1">
        <v>0</v>
      </c>
      <c r="M290" s="1">
        <v>2236.3200000000002</v>
      </c>
      <c r="N290" s="1">
        <v>0</v>
      </c>
      <c r="O290" s="1">
        <v>2236.3200000000002</v>
      </c>
      <c r="P290" s="1">
        <v>1162.8864000000001</v>
      </c>
      <c r="Q290" s="1">
        <v>1073.4336000000001</v>
      </c>
      <c r="R290" s="1">
        <v>48</v>
      </c>
      <c r="S290" s="1" t="s">
        <v>93</v>
      </c>
    </row>
    <row r="291" spans="1:19" x14ac:dyDescent="0.35">
      <c r="A291" s="1" t="s">
        <v>560</v>
      </c>
      <c r="B291" s="3">
        <v>45849</v>
      </c>
      <c r="C291" s="1" t="s">
        <v>62</v>
      </c>
      <c r="D291" s="1">
        <v>7</v>
      </c>
      <c r="E291" s="1" t="s">
        <v>561</v>
      </c>
      <c r="F291" s="1" t="s">
        <v>76</v>
      </c>
      <c r="G291" s="1" t="s">
        <v>38</v>
      </c>
      <c r="H291" s="1" t="s">
        <v>53</v>
      </c>
      <c r="I291" s="1" t="s">
        <v>72</v>
      </c>
      <c r="J291" s="1">
        <v>6</v>
      </c>
      <c r="K291" s="1">
        <v>2482.7600000000002</v>
      </c>
      <c r="L291" s="1">
        <v>0.05</v>
      </c>
      <c r="M291" s="1">
        <v>14896.56</v>
      </c>
      <c r="N291" s="1">
        <v>744.82800000000009</v>
      </c>
      <c r="O291" s="1">
        <v>14151.732</v>
      </c>
      <c r="P291" s="1">
        <v>8208.0045600000012</v>
      </c>
      <c r="Q291" s="1">
        <v>5943.7274400000006</v>
      </c>
      <c r="R291" s="1">
        <v>42</v>
      </c>
      <c r="S291" s="1" t="s">
        <v>93</v>
      </c>
    </row>
    <row r="292" spans="1:19" x14ac:dyDescent="0.35">
      <c r="A292" s="1" t="s">
        <v>562</v>
      </c>
      <c r="B292" s="3">
        <v>45766</v>
      </c>
      <c r="C292" s="1" t="s">
        <v>20</v>
      </c>
      <c r="D292" s="1">
        <v>4</v>
      </c>
      <c r="E292" s="1" t="s">
        <v>210</v>
      </c>
      <c r="F292" s="1" t="s">
        <v>37</v>
      </c>
      <c r="G292" s="1" t="s">
        <v>64</v>
      </c>
      <c r="H292" s="1" t="s">
        <v>24</v>
      </c>
      <c r="I292" s="1" t="s">
        <v>117</v>
      </c>
      <c r="J292" s="1">
        <v>5</v>
      </c>
      <c r="K292" s="1">
        <v>2201.5500000000002</v>
      </c>
      <c r="L292" s="1">
        <v>0.2</v>
      </c>
      <c r="M292" s="1">
        <v>11007.75</v>
      </c>
      <c r="N292" s="1">
        <v>2201.5500000000002</v>
      </c>
      <c r="O292" s="1">
        <v>8806.2000000000007</v>
      </c>
      <c r="P292" s="1">
        <v>4843.4100000000008</v>
      </c>
      <c r="Q292" s="1">
        <v>3962.79</v>
      </c>
      <c r="R292" s="1">
        <v>44.999999999999993</v>
      </c>
      <c r="S292" s="1" t="s">
        <v>26</v>
      </c>
    </row>
    <row r="293" spans="1:19" x14ac:dyDescent="0.35">
      <c r="A293" s="1" t="s">
        <v>563</v>
      </c>
      <c r="B293" s="3">
        <v>45831</v>
      </c>
      <c r="C293" s="1" t="s">
        <v>82</v>
      </c>
      <c r="D293" s="1">
        <v>6</v>
      </c>
      <c r="E293" s="1" t="s">
        <v>564</v>
      </c>
      <c r="F293" s="1" t="s">
        <v>47</v>
      </c>
      <c r="G293" s="1" t="s">
        <v>23</v>
      </c>
      <c r="H293" s="1" t="s">
        <v>77</v>
      </c>
      <c r="I293" s="1" t="s">
        <v>148</v>
      </c>
      <c r="J293" s="1">
        <v>5</v>
      </c>
      <c r="K293" s="1">
        <v>1004.03</v>
      </c>
      <c r="L293" s="1">
        <v>0</v>
      </c>
      <c r="M293" s="1">
        <v>5020.1499999999996</v>
      </c>
      <c r="N293" s="1">
        <v>0</v>
      </c>
      <c r="O293" s="1">
        <v>5020.1499999999996</v>
      </c>
      <c r="P293" s="1">
        <v>3614.5079999999998</v>
      </c>
      <c r="Q293" s="1">
        <v>1405.6420000000001</v>
      </c>
      <c r="R293" s="1">
        <v>28</v>
      </c>
      <c r="S293" s="1" t="s">
        <v>33</v>
      </c>
    </row>
    <row r="294" spans="1:19" x14ac:dyDescent="0.35">
      <c r="A294" s="1" t="s">
        <v>565</v>
      </c>
      <c r="B294" s="3">
        <v>45739</v>
      </c>
      <c r="C294" s="1" t="s">
        <v>28</v>
      </c>
      <c r="D294" s="1">
        <v>3</v>
      </c>
      <c r="E294" s="1" t="s">
        <v>225</v>
      </c>
      <c r="F294" s="1" t="s">
        <v>76</v>
      </c>
      <c r="G294" s="1" t="s">
        <v>23</v>
      </c>
      <c r="H294" s="1" t="s">
        <v>31</v>
      </c>
      <c r="I294" s="1" t="s">
        <v>190</v>
      </c>
      <c r="J294" s="1">
        <v>3</v>
      </c>
      <c r="K294" s="1">
        <v>2167.86</v>
      </c>
      <c r="L294" s="1">
        <v>0.1</v>
      </c>
      <c r="M294" s="1">
        <v>6503.58</v>
      </c>
      <c r="N294" s="1">
        <v>650.35800000000006</v>
      </c>
      <c r="O294" s="1">
        <v>5853.2219999999998</v>
      </c>
      <c r="P294" s="1">
        <v>3043.67544</v>
      </c>
      <c r="Q294" s="1">
        <v>2809.5465600000002</v>
      </c>
      <c r="R294" s="1">
        <v>48</v>
      </c>
      <c r="S294" s="1" t="s">
        <v>60</v>
      </c>
    </row>
    <row r="295" spans="1:19" x14ac:dyDescent="0.35">
      <c r="A295" s="1" t="s">
        <v>566</v>
      </c>
      <c r="B295" s="3">
        <v>45915</v>
      </c>
      <c r="C295" s="1" t="s">
        <v>50</v>
      </c>
      <c r="D295" s="1">
        <v>9</v>
      </c>
      <c r="E295" s="1" t="s">
        <v>475</v>
      </c>
      <c r="F295" s="1" t="s">
        <v>47</v>
      </c>
      <c r="G295" s="1" t="s">
        <v>38</v>
      </c>
      <c r="H295" s="1" t="s">
        <v>31</v>
      </c>
      <c r="I295" s="1" t="s">
        <v>167</v>
      </c>
      <c r="J295" s="1">
        <v>1</v>
      </c>
      <c r="K295" s="1">
        <v>2333.29</v>
      </c>
      <c r="L295" s="1">
        <v>0.25</v>
      </c>
      <c r="M295" s="1">
        <v>2333.29</v>
      </c>
      <c r="N295" s="1">
        <v>583.32249999999999</v>
      </c>
      <c r="O295" s="1">
        <v>1749.9675</v>
      </c>
      <c r="P295" s="1">
        <v>909.98310000000004</v>
      </c>
      <c r="Q295" s="1">
        <v>839.98439999999994</v>
      </c>
      <c r="R295" s="1">
        <v>48</v>
      </c>
      <c r="S295" s="1" t="s">
        <v>60</v>
      </c>
    </row>
    <row r="296" spans="1:19" x14ac:dyDescent="0.35">
      <c r="A296" s="1" t="s">
        <v>567</v>
      </c>
      <c r="B296" s="3">
        <v>45696</v>
      </c>
      <c r="C296" s="1" t="s">
        <v>42</v>
      </c>
      <c r="D296" s="1">
        <v>2</v>
      </c>
      <c r="E296" s="1" t="s">
        <v>51</v>
      </c>
      <c r="F296" s="1" t="s">
        <v>52</v>
      </c>
      <c r="G296" s="1" t="s">
        <v>38</v>
      </c>
      <c r="H296" s="1" t="s">
        <v>24</v>
      </c>
      <c r="I296" s="1" t="s">
        <v>44</v>
      </c>
      <c r="J296" s="1">
        <v>3</v>
      </c>
      <c r="K296" s="1">
        <v>4481.8500000000004</v>
      </c>
      <c r="L296" s="1">
        <v>0.05</v>
      </c>
      <c r="M296" s="1">
        <v>13445.55</v>
      </c>
      <c r="N296" s="1">
        <v>672.27750000000015</v>
      </c>
      <c r="O296" s="1">
        <v>12773.272499999999</v>
      </c>
      <c r="P296" s="1">
        <v>7025.2998750000024</v>
      </c>
      <c r="Q296" s="1">
        <v>5747.9726249999994</v>
      </c>
      <c r="R296" s="1">
        <v>44.999999999999993</v>
      </c>
      <c r="S296" s="1" t="s">
        <v>60</v>
      </c>
    </row>
    <row r="297" spans="1:19" x14ac:dyDescent="0.35">
      <c r="A297" s="1" t="s">
        <v>568</v>
      </c>
      <c r="B297" s="3">
        <v>45925</v>
      </c>
      <c r="C297" s="1" t="s">
        <v>50</v>
      </c>
      <c r="D297" s="1">
        <v>9</v>
      </c>
      <c r="E297" s="1" t="s">
        <v>189</v>
      </c>
      <c r="F297" s="1" t="s">
        <v>76</v>
      </c>
      <c r="G297" s="1" t="s">
        <v>38</v>
      </c>
      <c r="H297" s="1" t="s">
        <v>53</v>
      </c>
      <c r="I297" s="1" t="s">
        <v>185</v>
      </c>
      <c r="J297" s="1">
        <v>3</v>
      </c>
      <c r="K297" s="1">
        <v>1266.4000000000001</v>
      </c>
      <c r="L297" s="1">
        <v>0.15</v>
      </c>
      <c r="M297" s="1">
        <v>3799.2</v>
      </c>
      <c r="N297" s="1">
        <v>569.88</v>
      </c>
      <c r="O297" s="1">
        <v>3229.32</v>
      </c>
      <c r="P297" s="1">
        <v>1873.0056</v>
      </c>
      <c r="Q297" s="1">
        <v>1356.3144</v>
      </c>
      <c r="R297" s="1">
        <v>42.000000000000007</v>
      </c>
      <c r="S297" s="1" t="s">
        <v>60</v>
      </c>
    </row>
    <row r="298" spans="1:19" x14ac:dyDescent="0.35">
      <c r="A298" s="1" t="s">
        <v>569</v>
      </c>
      <c r="B298" s="3">
        <v>45951</v>
      </c>
      <c r="C298" s="1" t="s">
        <v>35</v>
      </c>
      <c r="D298" s="1">
        <v>10</v>
      </c>
      <c r="E298" s="1" t="s">
        <v>130</v>
      </c>
      <c r="F298" s="1" t="s">
        <v>22</v>
      </c>
      <c r="G298" s="1" t="s">
        <v>64</v>
      </c>
      <c r="H298" s="1" t="s">
        <v>24</v>
      </c>
      <c r="I298" s="1" t="s">
        <v>139</v>
      </c>
      <c r="J298" s="1">
        <v>5</v>
      </c>
      <c r="K298" s="1">
        <v>4308.71</v>
      </c>
      <c r="L298" s="1">
        <v>0.1</v>
      </c>
      <c r="M298" s="1">
        <v>21543.55</v>
      </c>
      <c r="N298" s="1">
        <v>2154.355</v>
      </c>
      <c r="O298" s="1">
        <v>19389.195</v>
      </c>
      <c r="P298" s="1">
        <v>10664.05725</v>
      </c>
      <c r="Q298" s="1">
        <v>8725.1377499999999</v>
      </c>
      <c r="R298" s="1">
        <v>45</v>
      </c>
      <c r="S298" s="1" t="s">
        <v>73</v>
      </c>
    </row>
    <row r="299" spans="1:19" x14ac:dyDescent="0.35">
      <c r="A299" s="1" t="s">
        <v>570</v>
      </c>
      <c r="B299" s="3">
        <v>45687</v>
      </c>
      <c r="C299" s="1" t="s">
        <v>193</v>
      </c>
      <c r="D299" s="1">
        <v>1</v>
      </c>
      <c r="E299" s="1" t="s">
        <v>571</v>
      </c>
      <c r="F299" s="1" t="s">
        <v>43</v>
      </c>
      <c r="G299" s="1" t="s">
        <v>38</v>
      </c>
      <c r="H299" s="1" t="s">
        <v>24</v>
      </c>
      <c r="I299" s="1" t="s">
        <v>25</v>
      </c>
      <c r="J299" s="1">
        <v>4</v>
      </c>
      <c r="K299" s="1">
        <v>4891.09</v>
      </c>
      <c r="L299" s="1">
        <v>0.2</v>
      </c>
      <c r="M299" s="1">
        <v>19564.36</v>
      </c>
      <c r="N299" s="1">
        <v>3912.8719999999998</v>
      </c>
      <c r="O299" s="1">
        <v>15651.487999999999</v>
      </c>
      <c r="P299" s="1">
        <v>8608.3184000000019</v>
      </c>
      <c r="Q299" s="1">
        <v>7043.1695999999993</v>
      </c>
      <c r="R299" s="1">
        <v>44.999999999999993</v>
      </c>
      <c r="S299" s="1" t="s">
        <v>73</v>
      </c>
    </row>
    <row r="300" spans="1:19" x14ac:dyDescent="0.35">
      <c r="A300" s="1" t="s">
        <v>572</v>
      </c>
      <c r="B300" s="3">
        <v>45970</v>
      </c>
      <c r="C300" s="1" t="s">
        <v>56</v>
      </c>
      <c r="D300" s="1">
        <v>11</v>
      </c>
      <c r="E300" s="1" t="s">
        <v>402</v>
      </c>
      <c r="F300" s="1" t="s">
        <v>30</v>
      </c>
      <c r="G300" s="1" t="s">
        <v>64</v>
      </c>
      <c r="H300" s="1" t="s">
        <v>77</v>
      </c>
      <c r="I300" s="1" t="s">
        <v>103</v>
      </c>
      <c r="J300" s="1">
        <v>4</v>
      </c>
      <c r="K300" s="1">
        <v>501.92</v>
      </c>
      <c r="L300" s="1">
        <v>0.1</v>
      </c>
      <c r="M300" s="1">
        <v>2007.68</v>
      </c>
      <c r="N300" s="1">
        <v>200.768</v>
      </c>
      <c r="O300" s="1">
        <v>1806.912</v>
      </c>
      <c r="P300" s="1">
        <v>1300.9766400000001</v>
      </c>
      <c r="Q300" s="1">
        <v>505.93535999999989</v>
      </c>
      <c r="R300" s="1">
        <v>28</v>
      </c>
      <c r="S300" s="1" t="s">
        <v>93</v>
      </c>
    </row>
    <row r="301" spans="1:19" x14ac:dyDescent="0.35">
      <c r="A301" s="1" t="s">
        <v>573</v>
      </c>
      <c r="B301" s="3">
        <v>45713</v>
      </c>
      <c r="C301" s="1" t="s">
        <v>42</v>
      </c>
      <c r="D301" s="1">
        <v>2</v>
      </c>
      <c r="E301" s="1" t="s">
        <v>57</v>
      </c>
      <c r="F301" s="1" t="s">
        <v>47</v>
      </c>
      <c r="G301" s="1" t="s">
        <v>38</v>
      </c>
      <c r="H301" s="1" t="s">
        <v>39</v>
      </c>
      <c r="I301" s="1" t="s">
        <v>40</v>
      </c>
      <c r="J301" s="1">
        <v>1</v>
      </c>
      <c r="K301" s="1">
        <v>61958.73</v>
      </c>
      <c r="L301" s="1">
        <v>0.1</v>
      </c>
      <c r="M301" s="1">
        <v>61958.73</v>
      </c>
      <c r="N301" s="1">
        <v>6195.8730000000014</v>
      </c>
      <c r="O301" s="1">
        <v>55762.857000000004</v>
      </c>
      <c r="P301" s="1">
        <v>43495.028460000001</v>
      </c>
      <c r="Q301" s="1">
        <v>12267.82854</v>
      </c>
      <c r="R301" s="1">
        <v>22</v>
      </c>
      <c r="S301" s="1" t="s">
        <v>26</v>
      </c>
    </row>
    <row r="302" spans="1:19" x14ac:dyDescent="0.35">
      <c r="A302" s="1" t="s">
        <v>574</v>
      </c>
      <c r="B302" s="3">
        <v>45783</v>
      </c>
      <c r="C302" s="1" t="s">
        <v>97</v>
      </c>
      <c r="D302" s="1">
        <v>5</v>
      </c>
      <c r="E302" s="1" t="s">
        <v>407</v>
      </c>
      <c r="F302" s="1" t="s">
        <v>58</v>
      </c>
      <c r="G302" s="1" t="s">
        <v>23</v>
      </c>
      <c r="H302" s="1" t="s">
        <v>53</v>
      </c>
      <c r="I302" s="1" t="s">
        <v>185</v>
      </c>
      <c r="J302" s="1">
        <v>1</v>
      </c>
      <c r="K302" s="1">
        <v>343.02</v>
      </c>
      <c r="L302" s="1">
        <v>0.2</v>
      </c>
      <c r="M302" s="1">
        <v>343.02</v>
      </c>
      <c r="N302" s="1">
        <v>68.603999999999999</v>
      </c>
      <c r="O302" s="1">
        <v>274.416</v>
      </c>
      <c r="P302" s="1">
        <v>159.16128</v>
      </c>
      <c r="Q302" s="1">
        <v>115.25472000000001</v>
      </c>
      <c r="R302" s="1">
        <v>42.000000000000007</v>
      </c>
      <c r="S302" s="1" t="s">
        <v>33</v>
      </c>
    </row>
    <row r="303" spans="1:19" x14ac:dyDescent="0.35">
      <c r="A303" s="1" t="s">
        <v>575</v>
      </c>
      <c r="B303" s="3">
        <v>45770</v>
      </c>
      <c r="C303" s="1" t="s">
        <v>20</v>
      </c>
      <c r="D303" s="1">
        <v>4</v>
      </c>
      <c r="E303" s="1" t="s">
        <v>576</v>
      </c>
      <c r="F303" s="1" t="s">
        <v>58</v>
      </c>
      <c r="G303" s="1" t="s">
        <v>23</v>
      </c>
      <c r="H303" s="1" t="s">
        <v>31</v>
      </c>
      <c r="I303" s="1" t="s">
        <v>190</v>
      </c>
      <c r="J303" s="1">
        <v>2</v>
      </c>
      <c r="K303" s="1">
        <v>1802.45</v>
      </c>
      <c r="L303" s="1">
        <v>0</v>
      </c>
      <c r="M303" s="1">
        <v>3604.9</v>
      </c>
      <c r="N303" s="1">
        <v>0</v>
      </c>
      <c r="O303" s="1">
        <v>3604.9</v>
      </c>
      <c r="P303" s="1">
        <v>1874.548</v>
      </c>
      <c r="Q303" s="1">
        <v>1730.3520000000001</v>
      </c>
      <c r="R303" s="1">
        <v>48.000000000000007</v>
      </c>
      <c r="S303" s="1" t="s">
        <v>26</v>
      </c>
    </row>
    <row r="304" spans="1:19" x14ac:dyDescent="0.35">
      <c r="A304" s="1" t="s">
        <v>577</v>
      </c>
      <c r="B304" s="3">
        <v>45891</v>
      </c>
      <c r="C304" s="1" t="s">
        <v>113</v>
      </c>
      <c r="D304" s="1">
        <v>8</v>
      </c>
      <c r="E304" s="1" t="s">
        <v>578</v>
      </c>
      <c r="F304" s="1" t="s">
        <v>37</v>
      </c>
      <c r="G304" s="1" t="s">
        <v>64</v>
      </c>
      <c r="H304" s="1" t="s">
        <v>53</v>
      </c>
      <c r="I304" s="1" t="s">
        <v>54</v>
      </c>
      <c r="J304" s="1">
        <v>2</v>
      </c>
      <c r="K304" s="1">
        <v>851.7</v>
      </c>
      <c r="L304" s="1">
        <v>0.05</v>
      </c>
      <c r="M304" s="1">
        <v>1703.4</v>
      </c>
      <c r="N304" s="1">
        <v>85.170000000000016</v>
      </c>
      <c r="O304" s="1">
        <v>1618.23</v>
      </c>
      <c r="P304" s="1">
        <v>938.57339999999999</v>
      </c>
      <c r="Q304" s="1">
        <v>679.65660000000003</v>
      </c>
      <c r="R304" s="1">
        <v>42</v>
      </c>
      <c r="S304" s="1" t="s">
        <v>93</v>
      </c>
    </row>
    <row r="305" spans="1:19" x14ac:dyDescent="0.35">
      <c r="A305" s="1" t="s">
        <v>579</v>
      </c>
      <c r="B305" s="3">
        <v>45694</v>
      </c>
      <c r="C305" s="1" t="s">
        <v>42</v>
      </c>
      <c r="D305" s="1">
        <v>2</v>
      </c>
      <c r="E305" s="1" t="s">
        <v>580</v>
      </c>
      <c r="F305" s="1" t="s">
        <v>47</v>
      </c>
      <c r="G305" s="1" t="s">
        <v>64</v>
      </c>
      <c r="H305" s="1" t="s">
        <v>99</v>
      </c>
      <c r="I305" s="1" t="s">
        <v>223</v>
      </c>
      <c r="J305" s="1">
        <v>4</v>
      </c>
      <c r="K305" s="1">
        <v>9564.25</v>
      </c>
      <c r="L305" s="1">
        <v>0.25</v>
      </c>
      <c r="M305" s="1">
        <v>38257</v>
      </c>
      <c r="N305" s="1">
        <v>9564.25</v>
      </c>
      <c r="O305" s="1">
        <v>28692.75</v>
      </c>
      <c r="P305" s="1">
        <v>19511.07</v>
      </c>
      <c r="Q305" s="1">
        <v>9181.68</v>
      </c>
      <c r="R305" s="1">
        <v>32</v>
      </c>
      <c r="S305" s="1" t="s">
        <v>93</v>
      </c>
    </row>
    <row r="306" spans="1:19" x14ac:dyDescent="0.35">
      <c r="A306" s="1" t="s">
        <v>581</v>
      </c>
      <c r="B306" s="3">
        <v>45734</v>
      </c>
      <c r="C306" s="1" t="s">
        <v>28</v>
      </c>
      <c r="D306" s="1">
        <v>3</v>
      </c>
      <c r="E306" s="1" t="s">
        <v>412</v>
      </c>
      <c r="F306" s="1" t="s">
        <v>52</v>
      </c>
      <c r="G306" s="1" t="s">
        <v>64</v>
      </c>
      <c r="H306" s="1" t="s">
        <v>53</v>
      </c>
      <c r="I306" s="1" t="s">
        <v>123</v>
      </c>
      <c r="J306" s="1">
        <v>7</v>
      </c>
      <c r="K306" s="1">
        <v>463.8</v>
      </c>
      <c r="L306" s="1">
        <v>0</v>
      </c>
      <c r="M306" s="1">
        <v>3246.6</v>
      </c>
      <c r="N306" s="1">
        <v>0</v>
      </c>
      <c r="O306" s="1">
        <v>3246.6</v>
      </c>
      <c r="P306" s="1">
        <v>1883.028</v>
      </c>
      <c r="Q306" s="1">
        <v>1363.5719999999999</v>
      </c>
      <c r="R306" s="1">
        <v>42.000000000000007</v>
      </c>
      <c r="S306" s="1" t="s">
        <v>60</v>
      </c>
    </row>
    <row r="307" spans="1:19" x14ac:dyDescent="0.35">
      <c r="A307" s="1" t="s">
        <v>582</v>
      </c>
      <c r="B307" s="3">
        <v>45962</v>
      </c>
      <c r="C307" s="1" t="s">
        <v>56</v>
      </c>
      <c r="D307" s="1">
        <v>11</v>
      </c>
      <c r="E307" s="1" t="s">
        <v>307</v>
      </c>
      <c r="F307" s="1" t="s">
        <v>47</v>
      </c>
      <c r="G307" s="1" t="s">
        <v>64</v>
      </c>
      <c r="H307" s="1" t="s">
        <v>31</v>
      </c>
      <c r="I307" s="1" t="s">
        <v>190</v>
      </c>
      <c r="J307" s="1">
        <v>2</v>
      </c>
      <c r="K307" s="1">
        <v>755.51</v>
      </c>
      <c r="L307" s="1">
        <v>0.05</v>
      </c>
      <c r="M307" s="1">
        <v>1511.02</v>
      </c>
      <c r="N307" s="1">
        <v>75.551000000000002</v>
      </c>
      <c r="O307" s="1">
        <v>1435.4690000000001</v>
      </c>
      <c r="P307" s="1">
        <v>746.44388000000004</v>
      </c>
      <c r="Q307" s="1">
        <v>689.02512000000002</v>
      </c>
      <c r="R307" s="1">
        <v>48</v>
      </c>
      <c r="S307" s="1" t="s">
        <v>73</v>
      </c>
    </row>
    <row r="308" spans="1:19" x14ac:dyDescent="0.35">
      <c r="A308" s="1" t="s">
        <v>583</v>
      </c>
      <c r="B308" s="3">
        <v>45998</v>
      </c>
      <c r="C308" s="1" t="s">
        <v>67</v>
      </c>
      <c r="D308" s="1">
        <v>12</v>
      </c>
      <c r="E308" s="1" t="s">
        <v>584</v>
      </c>
      <c r="F308" s="1" t="s">
        <v>30</v>
      </c>
      <c r="G308" s="1" t="s">
        <v>64</v>
      </c>
      <c r="H308" s="1" t="s">
        <v>77</v>
      </c>
      <c r="I308" s="1" t="s">
        <v>90</v>
      </c>
      <c r="J308" s="1">
        <v>7</v>
      </c>
      <c r="K308" s="1">
        <v>360.78</v>
      </c>
      <c r="L308" s="1">
        <v>0.3</v>
      </c>
      <c r="M308" s="1">
        <v>2525.46</v>
      </c>
      <c r="N308" s="1">
        <v>757.63800000000003</v>
      </c>
      <c r="O308" s="1">
        <v>1767.8219999999999</v>
      </c>
      <c r="P308" s="1">
        <v>1272.8318400000001</v>
      </c>
      <c r="Q308" s="1">
        <v>494.99016000000012</v>
      </c>
      <c r="R308" s="1">
        <v>28</v>
      </c>
      <c r="S308" s="1" t="s">
        <v>93</v>
      </c>
    </row>
    <row r="309" spans="1:19" x14ac:dyDescent="0.35">
      <c r="A309" s="1" t="s">
        <v>585</v>
      </c>
      <c r="B309" s="3">
        <v>45768</v>
      </c>
      <c r="C309" s="1" t="s">
        <v>20</v>
      </c>
      <c r="D309" s="1">
        <v>4</v>
      </c>
      <c r="E309" s="1" t="s">
        <v>130</v>
      </c>
      <c r="F309" s="1" t="s">
        <v>47</v>
      </c>
      <c r="G309" s="1" t="s">
        <v>23</v>
      </c>
      <c r="H309" s="1" t="s">
        <v>99</v>
      </c>
      <c r="I309" s="1" t="s">
        <v>223</v>
      </c>
      <c r="J309" s="1">
        <v>3</v>
      </c>
      <c r="K309" s="1">
        <v>7164.45</v>
      </c>
      <c r="L309" s="1">
        <v>0.2</v>
      </c>
      <c r="M309" s="1">
        <v>21493.35</v>
      </c>
      <c r="N309" s="1">
        <v>4298.67</v>
      </c>
      <c r="O309" s="1">
        <v>17194.68</v>
      </c>
      <c r="P309" s="1">
        <v>11692.3824</v>
      </c>
      <c r="Q309" s="1">
        <v>5502.2975999999999</v>
      </c>
      <c r="R309" s="1">
        <v>32</v>
      </c>
      <c r="S309" s="1" t="s">
        <v>73</v>
      </c>
    </row>
    <row r="310" spans="1:19" x14ac:dyDescent="0.35">
      <c r="A310" s="1" t="s">
        <v>586</v>
      </c>
      <c r="B310" s="3">
        <v>45932</v>
      </c>
      <c r="C310" s="1" t="s">
        <v>35</v>
      </c>
      <c r="D310" s="1">
        <v>10</v>
      </c>
      <c r="E310" s="1" t="s">
        <v>196</v>
      </c>
      <c r="F310" s="1" t="s">
        <v>111</v>
      </c>
      <c r="G310" s="1" t="s">
        <v>23</v>
      </c>
      <c r="H310" s="1" t="s">
        <v>31</v>
      </c>
      <c r="I310" s="1" t="s">
        <v>190</v>
      </c>
      <c r="J310" s="1">
        <v>7</v>
      </c>
      <c r="K310" s="1">
        <v>1503.95</v>
      </c>
      <c r="L310" s="1">
        <v>0</v>
      </c>
      <c r="M310" s="1">
        <v>10527.65</v>
      </c>
      <c r="N310" s="1">
        <v>0</v>
      </c>
      <c r="O310" s="1">
        <v>10527.65</v>
      </c>
      <c r="P310" s="1">
        <v>5474.3779999999997</v>
      </c>
      <c r="Q310" s="1">
        <v>5053.2719999999999</v>
      </c>
      <c r="R310" s="1">
        <v>48.000000000000007</v>
      </c>
      <c r="S310" s="1" t="s">
        <v>26</v>
      </c>
    </row>
    <row r="311" spans="1:19" x14ac:dyDescent="0.35">
      <c r="A311" s="1" t="s">
        <v>587</v>
      </c>
      <c r="B311" s="3">
        <v>45774</v>
      </c>
      <c r="C311" s="1" t="s">
        <v>20</v>
      </c>
      <c r="D311" s="1">
        <v>4</v>
      </c>
      <c r="E311" s="1" t="s">
        <v>157</v>
      </c>
      <c r="F311" s="1" t="s">
        <v>111</v>
      </c>
      <c r="G311" s="1" t="s">
        <v>23</v>
      </c>
      <c r="H311" s="1" t="s">
        <v>99</v>
      </c>
      <c r="I311" s="1" t="s">
        <v>100</v>
      </c>
      <c r="J311" s="1">
        <v>3</v>
      </c>
      <c r="K311" s="1">
        <v>10452.870000000001</v>
      </c>
      <c r="L311" s="1">
        <v>0.1</v>
      </c>
      <c r="M311" s="1">
        <v>31358.61</v>
      </c>
      <c r="N311" s="1">
        <v>3135.8609999999999</v>
      </c>
      <c r="O311" s="1">
        <v>28222.749</v>
      </c>
      <c r="P311" s="1">
        <v>19191.46932</v>
      </c>
      <c r="Q311" s="1">
        <v>9031.2796799999996</v>
      </c>
      <c r="R311" s="1">
        <v>32</v>
      </c>
      <c r="S311" s="1" t="s">
        <v>33</v>
      </c>
    </row>
    <row r="312" spans="1:19" x14ac:dyDescent="0.35">
      <c r="A312" s="1" t="s">
        <v>588</v>
      </c>
      <c r="B312" s="3">
        <v>45662</v>
      </c>
      <c r="C312" s="1" t="s">
        <v>193</v>
      </c>
      <c r="D312" s="1">
        <v>1</v>
      </c>
      <c r="E312" s="1" t="s">
        <v>431</v>
      </c>
      <c r="F312" s="1" t="s">
        <v>76</v>
      </c>
      <c r="G312" s="1" t="s">
        <v>38</v>
      </c>
      <c r="H312" s="1" t="s">
        <v>39</v>
      </c>
      <c r="I312" s="1" t="s">
        <v>40</v>
      </c>
      <c r="J312" s="1">
        <v>4</v>
      </c>
      <c r="K312" s="1">
        <v>34606.58</v>
      </c>
      <c r="L312" s="1">
        <v>0</v>
      </c>
      <c r="M312" s="1">
        <v>138426.32</v>
      </c>
      <c r="N312" s="1">
        <v>0</v>
      </c>
      <c r="O312" s="1">
        <v>138426.32</v>
      </c>
      <c r="P312" s="1">
        <v>107972.52959999999</v>
      </c>
      <c r="Q312" s="1">
        <v>30453.790400000002</v>
      </c>
      <c r="R312" s="1">
        <v>22</v>
      </c>
      <c r="S312" s="1" t="s">
        <v>73</v>
      </c>
    </row>
    <row r="313" spans="1:19" x14ac:dyDescent="0.35">
      <c r="A313" s="1" t="s">
        <v>589</v>
      </c>
      <c r="B313" s="3">
        <v>45961</v>
      </c>
      <c r="C313" s="1" t="s">
        <v>35</v>
      </c>
      <c r="D313" s="1">
        <v>10</v>
      </c>
      <c r="E313" s="1" t="s">
        <v>316</v>
      </c>
      <c r="F313" s="1" t="s">
        <v>37</v>
      </c>
      <c r="G313" s="1" t="s">
        <v>23</v>
      </c>
      <c r="H313" s="1" t="s">
        <v>24</v>
      </c>
      <c r="I313" s="1" t="s">
        <v>25</v>
      </c>
      <c r="J313" s="1">
        <v>4</v>
      </c>
      <c r="K313" s="1">
        <v>4650.42</v>
      </c>
      <c r="L313" s="1">
        <v>0.1</v>
      </c>
      <c r="M313" s="1">
        <v>18601.68</v>
      </c>
      <c r="N313" s="1">
        <v>1860.1679999999999</v>
      </c>
      <c r="O313" s="1">
        <v>16741.511999999999</v>
      </c>
      <c r="P313" s="1">
        <v>9207.8315999999995</v>
      </c>
      <c r="Q313" s="1">
        <v>7533.6803999999993</v>
      </c>
      <c r="R313" s="1">
        <v>45</v>
      </c>
      <c r="S313" s="1" t="s">
        <v>60</v>
      </c>
    </row>
    <row r="314" spans="1:19" x14ac:dyDescent="0.35">
      <c r="A314" s="1" t="s">
        <v>590</v>
      </c>
      <c r="B314" s="3">
        <v>45873</v>
      </c>
      <c r="C314" s="1" t="s">
        <v>113</v>
      </c>
      <c r="D314" s="1">
        <v>8</v>
      </c>
      <c r="E314" s="1" t="s">
        <v>256</v>
      </c>
      <c r="F314" s="1" t="s">
        <v>111</v>
      </c>
      <c r="G314" s="1" t="s">
        <v>23</v>
      </c>
      <c r="H314" s="1" t="s">
        <v>53</v>
      </c>
      <c r="I314" s="1" t="s">
        <v>128</v>
      </c>
      <c r="J314" s="1">
        <v>3</v>
      </c>
      <c r="K314" s="1">
        <v>2304.96</v>
      </c>
      <c r="L314" s="1">
        <v>0.1</v>
      </c>
      <c r="M314" s="1">
        <v>6914.88</v>
      </c>
      <c r="N314" s="1">
        <v>691.48800000000006</v>
      </c>
      <c r="O314" s="1">
        <v>6223.3919999999998</v>
      </c>
      <c r="P314" s="1">
        <v>3609.56736</v>
      </c>
      <c r="Q314" s="1">
        <v>2613.8246399999998</v>
      </c>
      <c r="R314" s="1">
        <v>42.000000000000007</v>
      </c>
      <c r="S314" s="1" t="s">
        <v>73</v>
      </c>
    </row>
    <row r="315" spans="1:19" x14ac:dyDescent="0.35">
      <c r="A315" s="1" t="s">
        <v>591</v>
      </c>
      <c r="B315" s="3">
        <v>45749</v>
      </c>
      <c r="C315" s="1" t="s">
        <v>20</v>
      </c>
      <c r="D315" s="1">
        <v>4</v>
      </c>
      <c r="E315" s="1" t="s">
        <v>346</v>
      </c>
      <c r="F315" s="1" t="s">
        <v>43</v>
      </c>
      <c r="G315" s="1" t="s">
        <v>64</v>
      </c>
      <c r="H315" s="1" t="s">
        <v>53</v>
      </c>
      <c r="I315" s="1" t="s">
        <v>185</v>
      </c>
      <c r="J315" s="1">
        <v>7</v>
      </c>
      <c r="K315" s="1">
        <v>1934.87</v>
      </c>
      <c r="L315" s="1">
        <v>0.15</v>
      </c>
      <c r="M315" s="1">
        <v>13544.09</v>
      </c>
      <c r="N315" s="1">
        <v>2031.6134999999999</v>
      </c>
      <c r="O315" s="1">
        <v>11512.476500000001</v>
      </c>
      <c r="P315" s="1">
        <v>6677.2363699999996</v>
      </c>
      <c r="Q315" s="1">
        <v>4835.240130000001</v>
      </c>
      <c r="R315" s="1">
        <v>42.000000000000007</v>
      </c>
      <c r="S315" s="1" t="s">
        <v>60</v>
      </c>
    </row>
    <row r="316" spans="1:19" x14ac:dyDescent="0.35">
      <c r="A316" s="1" t="s">
        <v>592</v>
      </c>
      <c r="B316" s="3">
        <v>45882</v>
      </c>
      <c r="C316" s="1" t="s">
        <v>113</v>
      </c>
      <c r="D316" s="1">
        <v>8</v>
      </c>
      <c r="E316" s="1" t="s">
        <v>231</v>
      </c>
      <c r="F316" s="1" t="s">
        <v>22</v>
      </c>
      <c r="G316" s="1" t="s">
        <v>23</v>
      </c>
      <c r="H316" s="1" t="s">
        <v>53</v>
      </c>
      <c r="I316" s="1" t="s">
        <v>123</v>
      </c>
      <c r="J316" s="1">
        <v>7</v>
      </c>
      <c r="K316" s="1">
        <v>2220.3200000000002</v>
      </c>
      <c r="L316" s="1">
        <v>0.1</v>
      </c>
      <c r="M316" s="1">
        <v>15542.24</v>
      </c>
      <c r="N316" s="1">
        <v>1554.2239999999999</v>
      </c>
      <c r="O316" s="1">
        <v>13988.016</v>
      </c>
      <c r="P316" s="1">
        <v>8113.0492800000002</v>
      </c>
      <c r="Q316" s="1">
        <v>5874.9667200000013</v>
      </c>
      <c r="R316" s="1">
        <v>42.000000000000007</v>
      </c>
      <c r="S316" s="1" t="s">
        <v>26</v>
      </c>
    </row>
    <row r="317" spans="1:19" x14ac:dyDescent="0.35">
      <c r="A317" s="1" t="s">
        <v>593</v>
      </c>
      <c r="B317" s="3">
        <v>45980</v>
      </c>
      <c r="C317" s="1" t="s">
        <v>56</v>
      </c>
      <c r="D317" s="1">
        <v>11</v>
      </c>
      <c r="E317" s="1" t="s">
        <v>154</v>
      </c>
      <c r="F317" s="1" t="s">
        <v>47</v>
      </c>
      <c r="G317" s="1" t="s">
        <v>64</v>
      </c>
      <c r="H317" s="1" t="s">
        <v>77</v>
      </c>
      <c r="I317" s="1" t="s">
        <v>90</v>
      </c>
      <c r="J317" s="1">
        <v>2</v>
      </c>
      <c r="K317" s="1">
        <v>204.6</v>
      </c>
      <c r="L317" s="1">
        <v>0.05</v>
      </c>
      <c r="M317" s="1">
        <v>409.2</v>
      </c>
      <c r="N317" s="1">
        <v>20.46</v>
      </c>
      <c r="O317" s="1">
        <v>388.74</v>
      </c>
      <c r="P317" s="1">
        <v>279.89280000000002</v>
      </c>
      <c r="Q317" s="1">
        <v>108.8472</v>
      </c>
      <c r="R317" s="1">
        <v>28</v>
      </c>
      <c r="S317" s="1" t="s">
        <v>60</v>
      </c>
    </row>
    <row r="318" spans="1:19" x14ac:dyDescent="0.35">
      <c r="A318" s="1" t="s">
        <v>594</v>
      </c>
      <c r="B318" s="3">
        <v>45879</v>
      </c>
      <c r="C318" s="1" t="s">
        <v>113</v>
      </c>
      <c r="D318" s="1">
        <v>8</v>
      </c>
      <c r="E318" s="1" t="s">
        <v>484</v>
      </c>
      <c r="F318" s="1" t="s">
        <v>22</v>
      </c>
      <c r="G318" s="1" t="s">
        <v>38</v>
      </c>
      <c r="H318" s="1" t="s">
        <v>53</v>
      </c>
      <c r="I318" s="1" t="s">
        <v>185</v>
      </c>
      <c r="J318" s="1">
        <v>3</v>
      </c>
      <c r="K318" s="1">
        <v>581.55999999999995</v>
      </c>
      <c r="L318" s="1">
        <v>0.3</v>
      </c>
      <c r="M318" s="1">
        <v>1744.68</v>
      </c>
      <c r="N318" s="1">
        <v>523.40399999999988</v>
      </c>
      <c r="O318" s="1">
        <v>1221.2760000000001</v>
      </c>
      <c r="P318" s="1">
        <v>708.34007999999983</v>
      </c>
      <c r="Q318" s="1">
        <v>512.93592000000001</v>
      </c>
      <c r="R318" s="1">
        <v>42.000000000000007</v>
      </c>
      <c r="S318" s="1" t="s">
        <v>33</v>
      </c>
    </row>
    <row r="319" spans="1:19" x14ac:dyDescent="0.35">
      <c r="A319" s="1" t="s">
        <v>595</v>
      </c>
      <c r="B319" s="3">
        <v>45682</v>
      </c>
      <c r="C319" s="1" t="s">
        <v>193</v>
      </c>
      <c r="D319" s="1">
        <v>1</v>
      </c>
      <c r="E319" s="1" t="s">
        <v>181</v>
      </c>
      <c r="F319" s="1" t="s">
        <v>111</v>
      </c>
      <c r="G319" s="1" t="s">
        <v>64</v>
      </c>
      <c r="H319" s="1" t="s">
        <v>31</v>
      </c>
      <c r="I319" s="1" t="s">
        <v>167</v>
      </c>
      <c r="J319" s="1">
        <v>1</v>
      </c>
      <c r="K319" s="1">
        <v>427.8</v>
      </c>
      <c r="L319" s="1">
        <v>0</v>
      </c>
      <c r="M319" s="1">
        <v>427.8</v>
      </c>
      <c r="N319" s="1">
        <v>0</v>
      </c>
      <c r="O319" s="1">
        <v>427.8</v>
      </c>
      <c r="P319" s="1">
        <v>222.45599999999999</v>
      </c>
      <c r="Q319" s="1">
        <v>205.34399999999999</v>
      </c>
      <c r="R319" s="1">
        <v>48</v>
      </c>
      <c r="S319" s="1" t="s">
        <v>33</v>
      </c>
    </row>
    <row r="320" spans="1:19" x14ac:dyDescent="0.35">
      <c r="A320" s="1" t="s">
        <v>596</v>
      </c>
      <c r="B320" s="3">
        <v>45692</v>
      </c>
      <c r="C320" s="1" t="s">
        <v>42</v>
      </c>
      <c r="D320" s="1">
        <v>2</v>
      </c>
      <c r="E320" s="1" t="s">
        <v>553</v>
      </c>
      <c r="F320" s="1" t="s">
        <v>52</v>
      </c>
      <c r="G320" s="1" t="s">
        <v>38</v>
      </c>
      <c r="H320" s="1" t="s">
        <v>99</v>
      </c>
      <c r="I320" s="1" t="s">
        <v>100</v>
      </c>
      <c r="J320" s="1">
        <v>7</v>
      </c>
      <c r="K320" s="1">
        <v>4493.6099999999997</v>
      </c>
      <c r="L320" s="1">
        <v>0.1</v>
      </c>
      <c r="M320" s="1">
        <v>31455.27</v>
      </c>
      <c r="N320" s="1">
        <v>3145.527</v>
      </c>
      <c r="O320" s="1">
        <v>28309.742999999991</v>
      </c>
      <c r="P320" s="1">
        <v>19250.625240000001</v>
      </c>
      <c r="Q320" s="1">
        <v>9059.1177599999974</v>
      </c>
      <c r="R320" s="1">
        <v>32</v>
      </c>
      <c r="S320" s="1" t="s">
        <v>26</v>
      </c>
    </row>
    <row r="321" spans="1:19" x14ac:dyDescent="0.35">
      <c r="A321" s="1" t="s">
        <v>597</v>
      </c>
      <c r="B321" s="3">
        <v>45845</v>
      </c>
      <c r="C321" s="1" t="s">
        <v>62</v>
      </c>
      <c r="D321" s="1">
        <v>7</v>
      </c>
      <c r="E321" s="1" t="s">
        <v>540</v>
      </c>
      <c r="F321" s="1" t="s">
        <v>52</v>
      </c>
      <c r="G321" s="1" t="s">
        <v>23</v>
      </c>
      <c r="H321" s="1" t="s">
        <v>31</v>
      </c>
      <c r="I321" s="1" t="s">
        <v>167</v>
      </c>
      <c r="J321" s="1">
        <v>5</v>
      </c>
      <c r="K321" s="1">
        <v>2502.6</v>
      </c>
      <c r="L321" s="1">
        <v>0</v>
      </c>
      <c r="M321" s="1">
        <v>12513</v>
      </c>
      <c r="N321" s="1">
        <v>0</v>
      </c>
      <c r="O321" s="1">
        <v>12513</v>
      </c>
      <c r="P321" s="1">
        <v>6506.76</v>
      </c>
      <c r="Q321" s="1">
        <v>6006.24</v>
      </c>
      <c r="R321" s="1">
        <v>48</v>
      </c>
      <c r="S321" s="1" t="s">
        <v>73</v>
      </c>
    </row>
    <row r="322" spans="1:19" x14ac:dyDescent="0.35">
      <c r="A322" s="1" t="s">
        <v>598</v>
      </c>
      <c r="B322" s="3">
        <v>45891</v>
      </c>
      <c r="C322" s="1" t="s">
        <v>113</v>
      </c>
      <c r="D322" s="1">
        <v>8</v>
      </c>
      <c r="E322" s="1" t="s">
        <v>231</v>
      </c>
      <c r="F322" s="1" t="s">
        <v>30</v>
      </c>
      <c r="G322" s="1" t="s">
        <v>38</v>
      </c>
      <c r="H322" s="1" t="s">
        <v>24</v>
      </c>
      <c r="I322" s="1" t="s">
        <v>48</v>
      </c>
      <c r="J322" s="1">
        <v>6</v>
      </c>
      <c r="K322" s="1">
        <v>776.24</v>
      </c>
      <c r="L322" s="1">
        <v>0</v>
      </c>
      <c r="M322" s="1">
        <v>4657.4400000000014</v>
      </c>
      <c r="N322" s="1">
        <v>0</v>
      </c>
      <c r="O322" s="1">
        <v>4657.4400000000014</v>
      </c>
      <c r="P322" s="1">
        <v>2561.592000000001</v>
      </c>
      <c r="Q322" s="1">
        <v>2095.848</v>
      </c>
      <c r="R322" s="1">
        <v>44.999999999999993</v>
      </c>
      <c r="S322" s="1" t="s">
        <v>73</v>
      </c>
    </row>
    <row r="323" spans="1:19" x14ac:dyDescent="0.35">
      <c r="A323" s="1" t="s">
        <v>599</v>
      </c>
      <c r="B323" s="3">
        <v>45952</v>
      </c>
      <c r="C323" s="1" t="s">
        <v>35</v>
      </c>
      <c r="D323" s="1">
        <v>10</v>
      </c>
      <c r="E323" s="1" t="s">
        <v>356</v>
      </c>
      <c r="F323" s="1" t="s">
        <v>52</v>
      </c>
      <c r="G323" s="1" t="s">
        <v>64</v>
      </c>
      <c r="H323" s="1" t="s">
        <v>53</v>
      </c>
      <c r="I323" s="1" t="s">
        <v>123</v>
      </c>
      <c r="J323" s="1">
        <v>7</v>
      </c>
      <c r="K323" s="1">
        <v>2330.15</v>
      </c>
      <c r="L323" s="1">
        <v>0.1</v>
      </c>
      <c r="M323" s="1">
        <v>16311.05</v>
      </c>
      <c r="N323" s="1">
        <v>1631.105</v>
      </c>
      <c r="O323" s="1">
        <v>14679.945</v>
      </c>
      <c r="P323" s="1">
        <v>8514.3680999999997</v>
      </c>
      <c r="Q323" s="1">
        <v>6165.5769000000018</v>
      </c>
      <c r="R323" s="1">
        <v>42.000000000000007</v>
      </c>
      <c r="S323" s="1" t="s">
        <v>60</v>
      </c>
    </row>
    <row r="324" spans="1:19" x14ac:dyDescent="0.35">
      <c r="A324" s="1" t="s">
        <v>600</v>
      </c>
      <c r="B324" s="3">
        <v>45890</v>
      </c>
      <c r="C324" s="1" t="s">
        <v>113</v>
      </c>
      <c r="D324" s="1">
        <v>8</v>
      </c>
      <c r="E324" s="1" t="s">
        <v>144</v>
      </c>
      <c r="F324" s="1" t="s">
        <v>43</v>
      </c>
      <c r="G324" s="1" t="s">
        <v>64</v>
      </c>
      <c r="H324" s="1" t="s">
        <v>77</v>
      </c>
      <c r="I324" s="1" t="s">
        <v>148</v>
      </c>
      <c r="J324" s="1">
        <v>5</v>
      </c>
      <c r="K324" s="1">
        <v>88.72</v>
      </c>
      <c r="L324" s="1">
        <v>0.05</v>
      </c>
      <c r="M324" s="1">
        <v>443.6</v>
      </c>
      <c r="N324" s="1">
        <v>22.18</v>
      </c>
      <c r="O324" s="1">
        <v>421.42</v>
      </c>
      <c r="P324" s="1">
        <v>303.42239999999998</v>
      </c>
      <c r="Q324" s="1">
        <v>117.99760000000001</v>
      </c>
      <c r="R324" s="1">
        <v>28.000000000000011</v>
      </c>
      <c r="S324" s="1" t="s">
        <v>73</v>
      </c>
    </row>
    <row r="325" spans="1:19" x14ac:dyDescent="0.35">
      <c r="A325" s="1" t="s">
        <v>601</v>
      </c>
      <c r="B325" s="3">
        <v>45667</v>
      </c>
      <c r="C325" s="1" t="s">
        <v>193</v>
      </c>
      <c r="D325" s="1">
        <v>1</v>
      </c>
      <c r="E325" s="1" t="s">
        <v>458</v>
      </c>
      <c r="F325" s="1" t="s">
        <v>47</v>
      </c>
      <c r="G325" s="1" t="s">
        <v>23</v>
      </c>
      <c r="H325" s="1" t="s">
        <v>24</v>
      </c>
      <c r="I325" s="1" t="s">
        <v>48</v>
      </c>
      <c r="J325" s="1">
        <v>6</v>
      </c>
      <c r="K325" s="1">
        <v>894.77</v>
      </c>
      <c r="L325" s="1">
        <v>0.15</v>
      </c>
      <c r="M325" s="1">
        <v>5368.62</v>
      </c>
      <c r="N325" s="1">
        <v>805.29300000000001</v>
      </c>
      <c r="O325" s="1">
        <v>4563.3270000000002</v>
      </c>
      <c r="P325" s="1">
        <v>2509.829850000001</v>
      </c>
      <c r="Q325" s="1">
        <v>2053.4971500000001</v>
      </c>
      <c r="R325" s="1">
        <v>44.999999999999993</v>
      </c>
      <c r="S325" s="1" t="s">
        <v>93</v>
      </c>
    </row>
    <row r="326" spans="1:19" x14ac:dyDescent="0.35">
      <c r="A326" s="1" t="s">
        <v>602</v>
      </c>
      <c r="B326" s="3">
        <v>45992</v>
      </c>
      <c r="C326" s="1" t="s">
        <v>67</v>
      </c>
      <c r="D326" s="1">
        <v>12</v>
      </c>
      <c r="E326" s="1" t="s">
        <v>392</v>
      </c>
      <c r="F326" s="1" t="s">
        <v>47</v>
      </c>
      <c r="G326" s="1" t="s">
        <v>38</v>
      </c>
      <c r="H326" s="1" t="s">
        <v>77</v>
      </c>
      <c r="I326" s="1" t="s">
        <v>201</v>
      </c>
      <c r="J326" s="1">
        <v>6</v>
      </c>
      <c r="K326" s="1">
        <v>648.20000000000005</v>
      </c>
      <c r="L326" s="1">
        <v>0.05</v>
      </c>
      <c r="M326" s="1">
        <v>3889.2</v>
      </c>
      <c r="N326" s="1">
        <v>194.46</v>
      </c>
      <c r="O326" s="1">
        <v>3694.74</v>
      </c>
      <c r="P326" s="1">
        <v>2660.2127999999998</v>
      </c>
      <c r="Q326" s="1">
        <v>1034.5272</v>
      </c>
      <c r="R326" s="1">
        <v>28</v>
      </c>
      <c r="S326" s="1" t="s">
        <v>73</v>
      </c>
    </row>
    <row r="327" spans="1:19" x14ac:dyDescent="0.35">
      <c r="A327" s="1" t="s">
        <v>603</v>
      </c>
      <c r="B327" s="3">
        <v>45905</v>
      </c>
      <c r="C327" s="1" t="s">
        <v>50</v>
      </c>
      <c r="D327" s="1">
        <v>9</v>
      </c>
      <c r="E327" s="1" t="s">
        <v>460</v>
      </c>
      <c r="F327" s="1" t="s">
        <v>43</v>
      </c>
      <c r="G327" s="1" t="s">
        <v>38</v>
      </c>
      <c r="H327" s="1" t="s">
        <v>99</v>
      </c>
      <c r="I327" s="1" t="s">
        <v>223</v>
      </c>
      <c r="J327" s="1">
        <v>7</v>
      </c>
      <c r="K327" s="1">
        <v>3722.47</v>
      </c>
      <c r="L327" s="1">
        <v>0.15</v>
      </c>
      <c r="M327" s="1">
        <v>26057.29</v>
      </c>
      <c r="N327" s="1">
        <v>3908.593499999999</v>
      </c>
      <c r="O327" s="1">
        <v>22148.696499999998</v>
      </c>
      <c r="P327" s="1">
        <v>15061.11362</v>
      </c>
      <c r="Q327" s="1">
        <v>7087.5828799999981</v>
      </c>
      <c r="R327" s="1">
        <v>32</v>
      </c>
      <c r="S327" s="1" t="s">
        <v>73</v>
      </c>
    </row>
    <row r="328" spans="1:19" x14ac:dyDescent="0.35">
      <c r="A328" s="1" t="s">
        <v>604</v>
      </c>
      <c r="B328" s="3">
        <v>46006</v>
      </c>
      <c r="C328" s="1" t="s">
        <v>67</v>
      </c>
      <c r="D328" s="1">
        <v>12</v>
      </c>
      <c r="E328" s="1" t="s">
        <v>605</v>
      </c>
      <c r="F328" s="1" t="s">
        <v>47</v>
      </c>
      <c r="G328" s="1" t="s">
        <v>64</v>
      </c>
      <c r="H328" s="1" t="s">
        <v>99</v>
      </c>
      <c r="I328" s="1" t="s">
        <v>120</v>
      </c>
      <c r="J328" s="1">
        <v>2</v>
      </c>
      <c r="K328" s="1">
        <v>8713.82</v>
      </c>
      <c r="L328" s="1">
        <v>0.15</v>
      </c>
      <c r="M328" s="1">
        <v>17427.64</v>
      </c>
      <c r="N328" s="1">
        <v>2614.1460000000002</v>
      </c>
      <c r="O328" s="1">
        <v>14813.494000000001</v>
      </c>
      <c r="P328" s="1">
        <v>10073.17592</v>
      </c>
      <c r="Q328" s="1">
        <v>4740.3180799999991</v>
      </c>
      <c r="R328" s="1">
        <v>32</v>
      </c>
      <c r="S328" s="1" t="s">
        <v>33</v>
      </c>
    </row>
    <row r="329" spans="1:19" x14ac:dyDescent="0.35">
      <c r="A329" s="1" t="s">
        <v>606</v>
      </c>
      <c r="B329" s="3">
        <v>45977</v>
      </c>
      <c r="C329" s="1" t="s">
        <v>56</v>
      </c>
      <c r="D329" s="1">
        <v>11</v>
      </c>
      <c r="E329" s="1" t="s">
        <v>105</v>
      </c>
      <c r="F329" s="1" t="s">
        <v>43</v>
      </c>
      <c r="G329" s="1" t="s">
        <v>38</v>
      </c>
      <c r="H329" s="1" t="s">
        <v>31</v>
      </c>
      <c r="I329" s="1" t="s">
        <v>32</v>
      </c>
      <c r="J329" s="1">
        <v>4</v>
      </c>
      <c r="K329" s="1">
        <v>536.24</v>
      </c>
      <c r="L329" s="1">
        <v>0.1</v>
      </c>
      <c r="M329" s="1">
        <v>2144.96</v>
      </c>
      <c r="N329" s="1">
        <v>214.49600000000001</v>
      </c>
      <c r="O329" s="1">
        <v>1930.4639999999999</v>
      </c>
      <c r="P329" s="1">
        <v>1003.84128</v>
      </c>
      <c r="Q329" s="1">
        <v>926.62271999999996</v>
      </c>
      <c r="R329" s="1">
        <v>48</v>
      </c>
      <c r="S329" s="1" t="s">
        <v>33</v>
      </c>
    </row>
    <row r="330" spans="1:19" x14ac:dyDescent="0.35">
      <c r="A330" s="1" t="s">
        <v>607</v>
      </c>
      <c r="B330" s="3">
        <v>45757</v>
      </c>
      <c r="C330" s="1" t="s">
        <v>20</v>
      </c>
      <c r="D330" s="1">
        <v>4</v>
      </c>
      <c r="E330" s="1" t="s">
        <v>608</v>
      </c>
      <c r="F330" s="1" t="s">
        <v>30</v>
      </c>
      <c r="G330" s="1" t="s">
        <v>38</v>
      </c>
      <c r="H330" s="1" t="s">
        <v>99</v>
      </c>
      <c r="I330" s="1" t="s">
        <v>120</v>
      </c>
      <c r="J330" s="1">
        <v>7</v>
      </c>
      <c r="K330" s="1">
        <v>23717.14</v>
      </c>
      <c r="L330" s="1">
        <v>0.1</v>
      </c>
      <c r="M330" s="1">
        <v>166019.98000000001</v>
      </c>
      <c r="N330" s="1">
        <v>16601.998</v>
      </c>
      <c r="O330" s="1">
        <v>149417.98199999999</v>
      </c>
      <c r="P330" s="1">
        <v>101604.22775999999</v>
      </c>
      <c r="Q330" s="1">
        <v>47813.754239999987</v>
      </c>
      <c r="R330" s="1">
        <v>32</v>
      </c>
      <c r="S330" s="1" t="s">
        <v>60</v>
      </c>
    </row>
    <row r="331" spans="1:19" x14ac:dyDescent="0.35">
      <c r="A331" s="1" t="s">
        <v>609</v>
      </c>
      <c r="B331" s="3">
        <v>45843</v>
      </c>
      <c r="C331" s="1" t="s">
        <v>62</v>
      </c>
      <c r="D331" s="1">
        <v>7</v>
      </c>
      <c r="E331" s="1" t="s">
        <v>394</v>
      </c>
      <c r="F331" s="1" t="s">
        <v>22</v>
      </c>
      <c r="G331" s="1" t="s">
        <v>23</v>
      </c>
      <c r="H331" s="1" t="s">
        <v>99</v>
      </c>
      <c r="I331" s="1" t="s">
        <v>120</v>
      </c>
      <c r="J331" s="1">
        <v>5</v>
      </c>
      <c r="K331" s="1">
        <v>11222.1</v>
      </c>
      <c r="L331" s="1">
        <v>0.15</v>
      </c>
      <c r="M331" s="1">
        <v>56110.5</v>
      </c>
      <c r="N331" s="1">
        <v>8416.5749999999989</v>
      </c>
      <c r="O331" s="1">
        <v>47693.925000000003</v>
      </c>
      <c r="P331" s="1">
        <v>32431.86900000001</v>
      </c>
      <c r="Q331" s="1">
        <v>15262.056</v>
      </c>
      <c r="R331" s="1">
        <v>31.999999999999989</v>
      </c>
      <c r="S331" s="1" t="s">
        <v>93</v>
      </c>
    </row>
    <row r="332" spans="1:19" x14ac:dyDescent="0.35">
      <c r="A332" s="1" t="s">
        <v>610</v>
      </c>
      <c r="B332" s="3">
        <v>45892</v>
      </c>
      <c r="C332" s="1" t="s">
        <v>113</v>
      </c>
      <c r="D332" s="1">
        <v>8</v>
      </c>
      <c r="E332" s="1" t="s">
        <v>171</v>
      </c>
      <c r="F332" s="1" t="s">
        <v>58</v>
      </c>
      <c r="G332" s="1" t="s">
        <v>38</v>
      </c>
      <c r="H332" s="1" t="s">
        <v>31</v>
      </c>
      <c r="I332" s="1" t="s">
        <v>167</v>
      </c>
      <c r="J332" s="1">
        <v>5</v>
      </c>
      <c r="K332" s="1">
        <v>3387.96</v>
      </c>
      <c r="L332" s="1">
        <v>0.2</v>
      </c>
      <c r="M332" s="1">
        <v>16939.8</v>
      </c>
      <c r="N332" s="1">
        <v>3387.96</v>
      </c>
      <c r="O332" s="1">
        <v>13551.84</v>
      </c>
      <c r="P332" s="1">
        <v>7046.9567999999999</v>
      </c>
      <c r="Q332" s="1">
        <v>6504.8832000000002</v>
      </c>
      <c r="R332" s="1">
        <v>48.000000000000007</v>
      </c>
      <c r="S332" s="1" t="s">
        <v>60</v>
      </c>
    </row>
    <row r="333" spans="1:19" x14ac:dyDescent="0.35">
      <c r="A333" s="1" t="s">
        <v>611</v>
      </c>
      <c r="B333" s="3">
        <v>45678</v>
      </c>
      <c r="C333" s="1" t="s">
        <v>193</v>
      </c>
      <c r="D333" s="1">
        <v>1</v>
      </c>
      <c r="E333" s="1" t="s">
        <v>445</v>
      </c>
      <c r="F333" s="1" t="s">
        <v>52</v>
      </c>
      <c r="G333" s="1" t="s">
        <v>38</v>
      </c>
      <c r="H333" s="1" t="s">
        <v>24</v>
      </c>
      <c r="I333" s="1" t="s">
        <v>48</v>
      </c>
      <c r="J333" s="1">
        <v>3</v>
      </c>
      <c r="K333" s="1">
        <v>3988.87</v>
      </c>
      <c r="L333" s="1">
        <v>0.3</v>
      </c>
      <c r="M333" s="1">
        <v>11966.61</v>
      </c>
      <c r="N333" s="1">
        <v>3589.9830000000002</v>
      </c>
      <c r="O333" s="1">
        <v>8376.6270000000004</v>
      </c>
      <c r="P333" s="1">
        <v>4607.1448500000006</v>
      </c>
      <c r="Q333" s="1">
        <v>3769.4821499999998</v>
      </c>
      <c r="R333" s="1">
        <v>44.999999999999993</v>
      </c>
      <c r="S333" s="1" t="s">
        <v>60</v>
      </c>
    </row>
    <row r="334" spans="1:19" x14ac:dyDescent="0.35">
      <c r="A334" s="1" t="s">
        <v>612</v>
      </c>
      <c r="B334" s="3">
        <v>46012</v>
      </c>
      <c r="C334" s="1" t="s">
        <v>67</v>
      </c>
      <c r="D334" s="1">
        <v>12</v>
      </c>
      <c r="E334" s="1" t="s">
        <v>231</v>
      </c>
      <c r="F334" s="1" t="s">
        <v>47</v>
      </c>
      <c r="G334" s="1" t="s">
        <v>64</v>
      </c>
      <c r="H334" s="1" t="s">
        <v>99</v>
      </c>
      <c r="I334" s="1" t="s">
        <v>120</v>
      </c>
      <c r="J334" s="1">
        <v>6</v>
      </c>
      <c r="K334" s="1">
        <v>19842.560000000001</v>
      </c>
      <c r="L334" s="1">
        <v>0</v>
      </c>
      <c r="M334" s="1">
        <v>119055.36</v>
      </c>
      <c r="N334" s="1">
        <v>0</v>
      </c>
      <c r="O334" s="1">
        <v>119055.36</v>
      </c>
      <c r="P334" s="1">
        <v>80957.644800000009</v>
      </c>
      <c r="Q334" s="1">
        <v>38097.715200000013</v>
      </c>
      <c r="R334" s="1">
        <v>32</v>
      </c>
      <c r="S334" s="1" t="s">
        <v>33</v>
      </c>
    </row>
    <row r="335" spans="1:19" x14ac:dyDescent="0.35">
      <c r="A335" s="1" t="s">
        <v>613</v>
      </c>
      <c r="B335" s="3">
        <v>45688</v>
      </c>
      <c r="C335" s="1" t="s">
        <v>193</v>
      </c>
      <c r="D335" s="1">
        <v>1</v>
      </c>
      <c r="E335" s="1" t="s">
        <v>614</v>
      </c>
      <c r="F335" s="1" t="s">
        <v>22</v>
      </c>
      <c r="G335" s="1" t="s">
        <v>64</v>
      </c>
      <c r="H335" s="1" t="s">
        <v>99</v>
      </c>
      <c r="I335" s="1" t="s">
        <v>120</v>
      </c>
      <c r="J335" s="1">
        <v>1</v>
      </c>
      <c r="K335" s="1">
        <v>17290.45</v>
      </c>
      <c r="L335" s="1">
        <v>0.1</v>
      </c>
      <c r="M335" s="1">
        <v>17290.45</v>
      </c>
      <c r="N335" s="1">
        <v>1729.0450000000001</v>
      </c>
      <c r="O335" s="1">
        <v>15561.405000000001</v>
      </c>
      <c r="P335" s="1">
        <v>10581.7554</v>
      </c>
      <c r="Q335" s="1">
        <v>4979.6495999999988</v>
      </c>
      <c r="R335" s="1">
        <v>31.999999999999989</v>
      </c>
      <c r="S335" s="1" t="s">
        <v>73</v>
      </c>
    </row>
    <row r="336" spans="1:19" x14ac:dyDescent="0.35">
      <c r="A336" s="1" t="s">
        <v>615</v>
      </c>
      <c r="B336" s="3">
        <v>45873</v>
      </c>
      <c r="C336" s="1" t="s">
        <v>113</v>
      </c>
      <c r="D336" s="1">
        <v>8</v>
      </c>
      <c r="E336" s="1" t="s">
        <v>269</v>
      </c>
      <c r="F336" s="1" t="s">
        <v>30</v>
      </c>
      <c r="G336" s="1" t="s">
        <v>23</v>
      </c>
      <c r="H336" s="1" t="s">
        <v>24</v>
      </c>
      <c r="I336" s="1" t="s">
        <v>117</v>
      </c>
      <c r="J336" s="1">
        <v>2</v>
      </c>
      <c r="K336" s="1">
        <v>4554.03</v>
      </c>
      <c r="L336" s="1">
        <v>0.3</v>
      </c>
      <c r="M336" s="1">
        <v>9108.06</v>
      </c>
      <c r="N336" s="1">
        <v>2732.4180000000001</v>
      </c>
      <c r="O336" s="1">
        <v>6375.6419999999998</v>
      </c>
      <c r="P336" s="1">
        <v>3506.6030999999998</v>
      </c>
      <c r="Q336" s="1">
        <v>2869.0389</v>
      </c>
      <c r="R336" s="1">
        <v>44.999999999999993</v>
      </c>
      <c r="S336" s="1" t="s">
        <v>33</v>
      </c>
    </row>
    <row r="337" spans="1:19" x14ac:dyDescent="0.35">
      <c r="A337" s="1" t="s">
        <v>616</v>
      </c>
      <c r="B337" s="3">
        <v>45678</v>
      </c>
      <c r="C337" s="1" t="s">
        <v>193</v>
      </c>
      <c r="D337" s="1">
        <v>1</v>
      </c>
      <c r="E337" s="1" t="s">
        <v>495</v>
      </c>
      <c r="F337" s="1" t="s">
        <v>52</v>
      </c>
      <c r="G337" s="1" t="s">
        <v>23</v>
      </c>
      <c r="H337" s="1" t="s">
        <v>24</v>
      </c>
      <c r="I337" s="1" t="s">
        <v>139</v>
      </c>
      <c r="J337" s="1">
        <v>3</v>
      </c>
      <c r="K337" s="1">
        <v>2522.8200000000002</v>
      </c>
      <c r="L337" s="1">
        <v>0</v>
      </c>
      <c r="M337" s="1">
        <v>7568.4600000000009</v>
      </c>
      <c r="N337" s="1">
        <v>0</v>
      </c>
      <c r="O337" s="1">
        <v>7568.4600000000009</v>
      </c>
      <c r="P337" s="1">
        <v>4162.6530000000012</v>
      </c>
      <c r="Q337" s="1">
        <v>3405.8069999999998</v>
      </c>
      <c r="R337" s="1">
        <v>44.999999999999993</v>
      </c>
      <c r="S337" s="1" t="s">
        <v>33</v>
      </c>
    </row>
    <row r="338" spans="1:19" x14ac:dyDescent="0.35">
      <c r="A338" s="1" t="s">
        <v>617</v>
      </c>
      <c r="B338" s="3">
        <v>45960</v>
      </c>
      <c r="C338" s="1" t="s">
        <v>35</v>
      </c>
      <c r="D338" s="1">
        <v>10</v>
      </c>
      <c r="E338" s="1" t="s">
        <v>291</v>
      </c>
      <c r="F338" s="1" t="s">
        <v>47</v>
      </c>
      <c r="G338" s="1" t="s">
        <v>23</v>
      </c>
      <c r="H338" s="1" t="s">
        <v>31</v>
      </c>
      <c r="I338" s="1" t="s">
        <v>167</v>
      </c>
      <c r="J338" s="1">
        <v>2</v>
      </c>
      <c r="K338" s="1">
        <v>248.49</v>
      </c>
      <c r="L338" s="1">
        <v>0.1</v>
      </c>
      <c r="M338" s="1">
        <v>496.98</v>
      </c>
      <c r="N338" s="1">
        <v>49.698000000000008</v>
      </c>
      <c r="O338" s="1">
        <v>447.28199999999998</v>
      </c>
      <c r="P338" s="1">
        <v>232.58663999999999</v>
      </c>
      <c r="Q338" s="1">
        <v>214.69535999999999</v>
      </c>
      <c r="R338" s="1">
        <v>48</v>
      </c>
      <c r="S338" s="1" t="s">
        <v>33</v>
      </c>
    </row>
    <row r="339" spans="1:19" x14ac:dyDescent="0.35">
      <c r="A339" s="1" t="s">
        <v>618</v>
      </c>
      <c r="B339" s="3">
        <v>45795</v>
      </c>
      <c r="C339" s="1" t="s">
        <v>97</v>
      </c>
      <c r="D339" s="1">
        <v>5</v>
      </c>
      <c r="E339" s="1" t="s">
        <v>299</v>
      </c>
      <c r="F339" s="1" t="s">
        <v>52</v>
      </c>
      <c r="G339" s="1" t="s">
        <v>64</v>
      </c>
      <c r="H339" s="1" t="s">
        <v>53</v>
      </c>
      <c r="I339" s="1" t="s">
        <v>128</v>
      </c>
      <c r="J339" s="1">
        <v>1</v>
      </c>
      <c r="K339" s="1">
        <v>1866.88</v>
      </c>
      <c r="L339" s="1">
        <v>0.1</v>
      </c>
      <c r="M339" s="1">
        <v>1866.88</v>
      </c>
      <c r="N339" s="1">
        <v>186.68799999999999</v>
      </c>
      <c r="O339" s="1">
        <v>1680.192</v>
      </c>
      <c r="P339" s="1">
        <v>974.51135999999997</v>
      </c>
      <c r="Q339" s="1">
        <v>705.68064000000004</v>
      </c>
      <c r="R339" s="1">
        <v>42.000000000000007</v>
      </c>
      <c r="S339" s="1" t="s">
        <v>60</v>
      </c>
    </row>
    <row r="340" spans="1:19" x14ac:dyDescent="0.35">
      <c r="A340" s="1" t="s">
        <v>619</v>
      </c>
      <c r="B340" s="3">
        <v>45885</v>
      </c>
      <c r="C340" s="1" t="s">
        <v>113</v>
      </c>
      <c r="D340" s="1">
        <v>8</v>
      </c>
      <c r="E340" s="1" t="s">
        <v>229</v>
      </c>
      <c r="F340" s="1" t="s">
        <v>76</v>
      </c>
      <c r="G340" s="1" t="s">
        <v>23</v>
      </c>
      <c r="H340" s="1" t="s">
        <v>99</v>
      </c>
      <c r="I340" s="1" t="s">
        <v>108</v>
      </c>
      <c r="J340" s="1">
        <v>4</v>
      </c>
      <c r="K340" s="1">
        <v>11447.07</v>
      </c>
      <c r="L340" s="1">
        <v>0.2</v>
      </c>
      <c r="M340" s="1">
        <v>45788.28</v>
      </c>
      <c r="N340" s="1">
        <v>9157.6560000000009</v>
      </c>
      <c r="O340" s="1">
        <v>36630.624000000003</v>
      </c>
      <c r="P340" s="1">
        <v>24908.82432</v>
      </c>
      <c r="Q340" s="1">
        <v>11721.79968</v>
      </c>
      <c r="R340" s="1">
        <v>32</v>
      </c>
      <c r="S340" s="1" t="s">
        <v>26</v>
      </c>
    </row>
    <row r="341" spans="1:19" x14ac:dyDescent="0.35">
      <c r="A341" s="1" t="s">
        <v>620</v>
      </c>
      <c r="B341" s="3">
        <v>45838</v>
      </c>
      <c r="C341" s="1" t="s">
        <v>82</v>
      </c>
      <c r="D341" s="1">
        <v>6</v>
      </c>
      <c r="E341" s="1" t="s">
        <v>85</v>
      </c>
      <c r="F341" s="1" t="s">
        <v>22</v>
      </c>
      <c r="G341" s="1" t="s">
        <v>64</v>
      </c>
      <c r="H341" s="1" t="s">
        <v>99</v>
      </c>
      <c r="I341" s="1" t="s">
        <v>223</v>
      </c>
      <c r="J341" s="1">
        <v>3</v>
      </c>
      <c r="K341" s="1">
        <v>11108.06</v>
      </c>
      <c r="L341" s="1">
        <v>0.1</v>
      </c>
      <c r="M341" s="1">
        <v>33324.18</v>
      </c>
      <c r="N341" s="1">
        <v>3332.4180000000001</v>
      </c>
      <c r="O341" s="1">
        <v>29991.761999999999</v>
      </c>
      <c r="P341" s="1">
        <v>20394.398160000001</v>
      </c>
      <c r="Q341" s="1">
        <v>9597.3638399999982</v>
      </c>
      <c r="R341" s="1">
        <v>32</v>
      </c>
      <c r="S341" s="1" t="s">
        <v>60</v>
      </c>
    </row>
    <row r="342" spans="1:19" x14ac:dyDescent="0.35">
      <c r="A342" s="1" t="s">
        <v>621</v>
      </c>
      <c r="B342" s="3">
        <v>45712</v>
      </c>
      <c r="C342" s="1" t="s">
        <v>42</v>
      </c>
      <c r="D342" s="1">
        <v>2</v>
      </c>
      <c r="E342" s="1" t="s">
        <v>622</v>
      </c>
      <c r="F342" s="1" t="s">
        <v>111</v>
      </c>
      <c r="G342" s="1" t="s">
        <v>64</v>
      </c>
      <c r="H342" s="1" t="s">
        <v>99</v>
      </c>
      <c r="I342" s="1" t="s">
        <v>108</v>
      </c>
      <c r="J342" s="1">
        <v>7</v>
      </c>
      <c r="K342" s="1">
        <v>10332.15</v>
      </c>
      <c r="L342" s="1">
        <v>0.1</v>
      </c>
      <c r="M342" s="1">
        <v>72325.05</v>
      </c>
      <c r="N342" s="1">
        <v>7232.505000000001</v>
      </c>
      <c r="O342" s="1">
        <v>65092.544999999998</v>
      </c>
      <c r="P342" s="1">
        <v>44262.9306</v>
      </c>
      <c r="Q342" s="1">
        <v>20829.614399999999</v>
      </c>
      <c r="R342" s="1">
        <v>32</v>
      </c>
      <c r="S342" s="1" t="s">
        <v>26</v>
      </c>
    </row>
    <row r="343" spans="1:19" x14ac:dyDescent="0.35">
      <c r="A343" s="1" t="s">
        <v>623</v>
      </c>
      <c r="B343" s="3">
        <v>45817</v>
      </c>
      <c r="C343" s="1" t="s">
        <v>82</v>
      </c>
      <c r="D343" s="1">
        <v>6</v>
      </c>
      <c r="E343" s="1" t="s">
        <v>624</v>
      </c>
      <c r="F343" s="1" t="s">
        <v>52</v>
      </c>
      <c r="G343" s="1" t="s">
        <v>38</v>
      </c>
      <c r="H343" s="1" t="s">
        <v>53</v>
      </c>
      <c r="I343" s="1" t="s">
        <v>72</v>
      </c>
      <c r="J343" s="1">
        <v>1</v>
      </c>
      <c r="K343" s="1">
        <v>1554.75</v>
      </c>
      <c r="L343" s="1">
        <v>0.05</v>
      </c>
      <c r="M343" s="1">
        <v>1554.75</v>
      </c>
      <c r="N343" s="1">
        <v>77.737500000000011</v>
      </c>
      <c r="O343" s="1">
        <v>1477.0125</v>
      </c>
      <c r="P343" s="1">
        <v>856.66724999999997</v>
      </c>
      <c r="Q343" s="1">
        <v>620.34525000000008</v>
      </c>
      <c r="R343" s="1">
        <v>42.000000000000007</v>
      </c>
      <c r="S343" s="1" t="s">
        <v>26</v>
      </c>
    </row>
    <row r="344" spans="1:19" x14ac:dyDescent="0.35">
      <c r="A344" s="1" t="s">
        <v>625</v>
      </c>
      <c r="B344" s="3">
        <v>45814</v>
      </c>
      <c r="C344" s="1" t="s">
        <v>82</v>
      </c>
      <c r="D344" s="1">
        <v>6</v>
      </c>
      <c r="E344" s="1" t="s">
        <v>626</v>
      </c>
      <c r="F344" s="1" t="s">
        <v>58</v>
      </c>
      <c r="G344" s="1" t="s">
        <v>23</v>
      </c>
      <c r="H344" s="1" t="s">
        <v>99</v>
      </c>
      <c r="I344" s="1" t="s">
        <v>223</v>
      </c>
      <c r="J344" s="1">
        <v>2</v>
      </c>
      <c r="K344" s="1">
        <v>13391.73</v>
      </c>
      <c r="L344" s="1">
        <v>0.15</v>
      </c>
      <c r="M344" s="1">
        <v>26783.46</v>
      </c>
      <c r="N344" s="1">
        <v>4017.5189999999998</v>
      </c>
      <c r="O344" s="1">
        <v>22765.940999999999</v>
      </c>
      <c r="P344" s="1">
        <v>15480.83988</v>
      </c>
      <c r="Q344" s="1">
        <v>7285.1011199999994</v>
      </c>
      <c r="R344" s="1">
        <v>32</v>
      </c>
      <c r="S344" s="1" t="s">
        <v>93</v>
      </c>
    </row>
    <row r="345" spans="1:19" x14ac:dyDescent="0.35">
      <c r="A345" s="1" t="s">
        <v>627</v>
      </c>
      <c r="B345" s="3">
        <v>45969</v>
      </c>
      <c r="C345" s="1" t="s">
        <v>56</v>
      </c>
      <c r="D345" s="1">
        <v>11</v>
      </c>
      <c r="E345" s="1" t="s">
        <v>628</v>
      </c>
      <c r="F345" s="1" t="s">
        <v>43</v>
      </c>
      <c r="G345" s="1" t="s">
        <v>64</v>
      </c>
      <c r="H345" s="1" t="s">
        <v>24</v>
      </c>
      <c r="I345" s="1" t="s">
        <v>25</v>
      </c>
      <c r="J345" s="1">
        <v>2</v>
      </c>
      <c r="K345" s="1">
        <v>4045.25</v>
      </c>
      <c r="L345" s="1">
        <v>0.15</v>
      </c>
      <c r="M345" s="1">
        <v>8090.5</v>
      </c>
      <c r="N345" s="1">
        <v>1213.575</v>
      </c>
      <c r="O345" s="1">
        <v>6876.9250000000002</v>
      </c>
      <c r="P345" s="1">
        <v>3782.3087500000011</v>
      </c>
      <c r="Q345" s="1">
        <v>3094.61625</v>
      </c>
      <c r="R345" s="1">
        <v>44.999999999999993</v>
      </c>
      <c r="S345" s="1" t="s">
        <v>73</v>
      </c>
    </row>
    <row r="346" spans="1:19" x14ac:dyDescent="0.35">
      <c r="A346" s="1" t="s">
        <v>629</v>
      </c>
      <c r="B346" s="3">
        <v>45856</v>
      </c>
      <c r="C346" s="1" t="s">
        <v>62</v>
      </c>
      <c r="D346" s="1">
        <v>7</v>
      </c>
      <c r="E346" s="1" t="s">
        <v>454</v>
      </c>
      <c r="F346" s="1" t="s">
        <v>111</v>
      </c>
      <c r="G346" s="1" t="s">
        <v>38</v>
      </c>
      <c r="H346" s="1" t="s">
        <v>99</v>
      </c>
      <c r="I346" s="1" t="s">
        <v>108</v>
      </c>
      <c r="J346" s="1">
        <v>1</v>
      </c>
      <c r="K346" s="1">
        <v>16504.310000000001</v>
      </c>
      <c r="L346" s="1">
        <v>0.2</v>
      </c>
      <c r="M346" s="1">
        <v>16504.310000000001</v>
      </c>
      <c r="N346" s="1">
        <v>3300.862000000001</v>
      </c>
      <c r="O346" s="1">
        <v>13203.448</v>
      </c>
      <c r="P346" s="1">
        <v>8978.3446400000012</v>
      </c>
      <c r="Q346" s="1">
        <v>4225.1033599999992</v>
      </c>
      <c r="R346" s="1">
        <v>32</v>
      </c>
      <c r="S346" s="1" t="s">
        <v>26</v>
      </c>
    </row>
    <row r="347" spans="1:19" x14ac:dyDescent="0.35">
      <c r="A347" s="1" t="s">
        <v>630</v>
      </c>
      <c r="B347" s="3">
        <v>45978</v>
      </c>
      <c r="C347" s="1" t="s">
        <v>56</v>
      </c>
      <c r="D347" s="1">
        <v>11</v>
      </c>
      <c r="E347" s="1" t="s">
        <v>373</v>
      </c>
      <c r="F347" s="1" t="s">
        <v>43</v>
      </c>
      <c r="G347" s="1" t="s">
        <v>38</v>
      </c>
      <c r="H347" s="1" t="s">
        <v>39</v>
      </c>
      <c r="I347" s="1" t="s">
        <v>87</v>
      </c>
      <c r="J347" s="1">
        <v>7</v>
      </c>
      <c r="K347" s="1">
        <v>60296.69</v>
      </c>
      <c r="L347" s="1">
        <v>0.05</v>
      </c>
      <c r="M347" s="1">
        <v>422076.83</v>
      </c>
      <c r="N347" s="1">
        <v>21103.841499999999</v>
      </c>
      <c r="O347" s="1">
        <v>400972.98849999998</v>
      </c>
      <c r="P347" s="1">
        <v>312758.93102999998</v>
      </c>
      <c r="Q347" s="1">
        <v>88214.05747</v>
      </c>
      <c r="R347" s="1">
        <v>22</v>
      </c>
      <c r="S347" s="1" t="s">
        <v>73</v>
      </c>
    </row>
    <row r="348" spans="1:19" x14ac:dyDescent="0.35">
      <c r="A348" s="1" t="s">
        <v>631</v>
      </c>
      <c r="B348" s="3">
        <v>45939</v>
      </c>
      <c r="C348" s="1" t="s">
        <v>35</v>
      </c>
      <c r="D348" s="1">
        <v>10</v>
      </c>
      <c r="E348" s="1" t="s">
        <v>518</v>
      </c>
      <c r="F348" s="1" t="s">
        <v>52</v>
      </c>
      <c r="G348" s="1" t="s">
        <v>64</v>
      </c>
      <c r="H348" s="1" t="s">
        <v>39</v>
      </c>
      <c r="I348" s="1" t="s">
        <v>214</v>
      </c>
      <c r="J348" s="1">
        <v>2</v>
      </c>
      <c r="K348" s="1">
        <v>8446.9699999999993</v>
      </c>
      <c r="L348" s="1">
        <v>0.15</v>
      </c>
      <c r="M348" s="1">
        <v>16893.939999999999</v>
      </c>
      <c r="N348" s="1">
        <v>2534.0909999999999</v>
      </c>
      <c r="O348" s="1">
        <v>14359.849</v>
      </c>
      <c r="P348" s="1">
        <v>11200.682220000001</v>
      </c>
      <c r="Q348" s="1">
        <v>3159.16678</v>
      </c>
      <c r="R348" s="1">
        <v>22</v>
      </c>
      <c r="S348" s="1" t="s">
        <v>26</v>
      </c>
    </row>
    <row r="349" spans="1:19" x14ac:dyDescent="0.35">
      <c r="A349" s="1" t="s">
        <v>632</v>
      </c>
      <c r="B349" s="3">
        <v>45883</v>
      </c>
      <c r="C349" s="1" t="s">
        <v>113</v>
      </c>
      <c r="D349" s="1">
        <v>8</v>
      </c>
      <c r="E349" s="1" t="s">
        <v>633</v>
      </c>
      <c r="F349" s="1" t="s">
        <v>52</v>
      </c>
      <c r="G349" s="1" t="s">
        <v>23</v>
      </c>
      <c r="H349" s="1" t="s">
        <v>31</v>
      </c>
      <c r="I349" s="1" t="s">
        <v>32</v>
      </c>
      <c r="J349" s="1">
        <v>2</v>
      </c>
      <c r="K349" s="1">
        <v>2442.75</v>
      </c>
      <c r="L349" s="1">
        <v>0</v>
      </c>
      <c r="M349" s="1">
        <v>4885.5</v>
      </c>
      <c r="N349" s="1">
        <v>0</v>
      </c>
      <c r="O349" s="1">
        <v>4885.5</v>
      </c>
      <c r="P349" s="1">
        <v>2540.46</v>
      </c>
      <c r="Q349" s="1">
        <v>2345.04</v>
      </c>
      <c r="R349" s="1">
        <v>48</v>
      </c>
      <c r="S349" s="1" t="s">
        <v>73</v>
      </c>
    </row>
    <row r="350" spans="1:19" x14ac:dyDescent="0.35">
      <c r="A350" s="1" t="s">
        <v>634</v>
      </c>
      <c r="B350" s="3">
        <v>45959</v>
      </c>
      <c r="C350" s="1" t="s">
        <v>35</v>
      </c>
      <c r="D350" s="1">
        <v>10</v>
      </c>
      <c r="E350" s="1" t="s">
        <v>218</v>
      </c>
      <c r="F350" s="1" t="s">
        <v>30</v>
      </c>
      <c r="G350" s="1" t="s">
        <v>64</v>
      </c>
      <c r="H350" s="1" t="s">
        <v>31</v>
      </c>
      <c r="I350" s="1" t="s">
        <v>190</v>
      </c>
      <c r="J350" s="1">
        <v>7</v>
      </c>
      <c r="K350" s="1">
        <v>344.87</v>
      </c>
      <c r="L350" s="1">
        <v>0.05</v>
      </c>
      <c r="M350" s="1">
        <v>2414.09</v>
      </c>
      <c r="N350" s="1">
        <v>120.7045</v>
      </c>
      <c r="O350" s="1">
        <v>2293.3854999999999</v>
      </c>
      <c r="P350" s="1">
        <v>1192.5604599999999</v>
      </c>
      <c r="Q350" s="1">
        <v>1100.8250399999999</v>
      </c>
      <c r="R350" s="1">
        <v>48</v>
      </c>
      <c r="S350" s="1" t="s">
        <v>33</v>
      </c>
    </row>
    <row r="351" spans="1:19" x14ac:dyDescent="0.35">
      <c r="A351" s="1" t="s">
        <v>635</v>
      </c>
      <c r="B351" s="3">
        <v>45818</v>
      </c>
      <c r="C351" s="1" t="s">
        <v>82</v>
      </c>
      <c r="D351" s="1">
        <v>6</v>
      </c>
      <c r="E351" s="1" t="s">
        <v>571</v>
      </c>
      <c r="F351" s="1" t="s">
        <v>52</v>
      </c>
      <c r="G351" s="1" t="s">
        <v>64</v>
      </c>
      <c r="H351" s="1" t="s">
        <v>39</v>
      </c>
      <c r="I351" s="1" t="s">
        <v>234</v>
      </c>
      <c r="J351" s="1">
        <v>3</v>
      </c>
      <c r="K351" s="1">
        <v>53209.14</v>
      </c>
      <c r="L351" s="1">
        <v>0.2</v>
      </c>
      <c r="M351" s="1">
        <v>159627.42000000001</v>
      </c>
      <c r="N351" s="1">
        <v>31925.484</v>
      </c>
      <c r="O351" s="1">
        <v>127701.936</v>
      </c>
      <c r="P351" s="1">
        <v>99607.510079999993</v>
      </c>
      <c r="Q351" s="1">
        <v>28094.425919999991</v>
      </c>
      <c r="R351" s="1">
        <v>22</v>
      </c>
      <c r="S351" s="1" t="s">
        <v>26</v>
      </c>
    </row>
    <row r="352" spans="1:19" x14ac:dyDescent="0.35">
      <c r="A352" s="1" t="s">
        <v>636</v>
      </c>
      <c r="B352" s="3">
        <v>45909</v>
      </c>
      <c r="C352" s="1" t="s">
        <v>50</v>
      </c>
      <c r="D352" s="1">
        <v>9</v>
      </c>
      <c r="E352" s="1" t="s">
        <v>312</v>
      </c>
      <c r="F352" s="1" t="s">
        <v>47</v>
      </c>
      <c r="G352" s="1" t="s">
        <v>38</v>
      </c>
      <c r="H352" s="1" t="s">
        <v>53</v>
      </c>
      <c r="I352" s="1" t="s">
        <v>54</v>
      </c>
      <c r="J352" s="1">
        <v>2</v>
      </c>
      <c r="K352" s="1">
        <v>1354.1</v>
      </c>
      <c r="L352" s="1">
        <v>0.05</v>
      </c>
      <c r="M352" s="1">
        <v>2708.2</v>
      </c>
      <c r="N352" s="1">
        <v>135.41</v>
      </c>
      <c r="O352" s="1">
        <v>2572.79</v>
      </c>
      <c r="P352" s="1">
        <v>1492.2182</v>
      </c>
      <c r="Q352" s="1">
        <v>1080.5717999999999</v>
      </c>
      <c r="R352" s="1">
        <v>42.000000000000007</v>
      </c>
      <c r="S352" s="1" t="s">
        <v>73</v>
      </c>
    </row>
    <row r="353" spans="1:19" x14ac:dyDescent="0.35">
      <c r="A353" s="1" t="s">
        <v>637</v>
      </c>
      <c r="B353" s="3">
        <v>45917</v>
      </c>
      <c r="C353" s="1" t="s">
        <v>50</v>
      </c>
      <c r="D353" s="1">
        <v>9</v>
      </c>
      <c r="E353" s="1" t="s">
        <v>171</v>
      </c>
      <c r="F353" s="1" t="s">
        <v>111</v>
      </c>
      <c r="G353" s="1" t="s">
        <v>23</v>
      </c>
      <c r="H353" s="1" t="s">
        <v>24</v>
      </c>
      <c r="I353" s="1" t="s">
        <v>44</v>
      </c>
      <c r="J353" s="1">
        <v>3</v>
      </c>
      <c r="K353" s="1">
        <v>4526.67</v>
      </c>
      <c r="L353" s="1">
        <v>0.1</v>
      </c>
      <c r="M353" s="1">
        <v>13580.01</v>
      </c>
      <c r="N353" s="1">
        <v>1358.001</v>
      </c>
      <c r="O353" s="1">
        <v>12222.009</v>
      </c>
      <c r="P353" s="1">
        <v>6722.1049500000008</v>
      </c>
      <c r="Q353" s="1">
        <v>5499.9040499999992</v>
      </c>
      <c r="R353" s="1">
        <v>44.999999999999993</v>
      </c>
      <c r="S353" s="1" t="s">
        <v>93</v>
      </c>
    </row>
    <row r="354" spans="1:19" x14ac:dyDescent="0.35">
      <c r="A354" s="1" t="s">
        <v>638</v>
      </c>
      <c r="B354" s="3">
        <v>46019</v>
      </c>
      <c r="C354" s="1" t="s">
        <v>67</v>
      </c>
      <c r="D354" s="1">
        <v>12</v>
      </c>
      <c r="E354" s="1" t="s">
        <v>399</v>
      </c>
      <c r="F354" s="1" t="s">
        <v>76</v>
      </c>
      <c r="G354" s="1" t="s">
        <v>38</v>
      </c>
      <c r="H354" s="1" t="s">
        <v>77</v>
      </c>
      <c r="I354" s="1" t="s">
        <v>103</v>
      </c>
      <c r="J354" s="1">
        <v>4</v>
      </c>
      <c r="K354" s="1">
        <v>334.44</v>
      </c>
      <c r="L354" s="1">
        <v>0.15</v>
      </c>
      <c r="M354" s="1">
        <v>1337.76</v>
      </c>
      <c r="N354" s="1">
        <v>200.66399999999999</v>
      </c>
      <c r="O354" s="1">
        <v>1137.096</v>
      </c>
      <c r="P354" s="1">
        <v>818.70911999999998</v>
      </c>
      <c r="Q354" s="1">
        <v>318.38688000000002</v>
      </c>
      <c r="R354" s="1">
        <v>28</v>
      </c>
      <c r="S354" s="1" t="s">
        <v>73</v>
      </c>
    </row>
    <row r="355" spans="1:19" x14ac:dyDescent="0.35">
      <c r="A355" s="1" t="s">
        <v>639</v>
      </c>
      <c r="B355" s="3">
        <v>45999</v>
      </c>
      <c r="C355" s="1" t="s">
        <v>67</v>
      </c>
      <c r="D355" s="1">
        <v>12</v>
      </c>
      <c r="E355" s="1" t="s">
        <v>136</v>
      </c>
      <c r="F355" s="1" t="s">
        <v>111</v>
      </c>
      <c r="G355" s="1" t="s">
        <v>23</v>
      </c>
      <c r="H355" s="1" t="s">
        <v>31</v>
      </c>
      <c r="I355" s="1" t="s">
        <v>190</v>
      </c>
      <c r="J355" s="1">
        <v>6</v>
      </c>
      <c r="K355" s="1">
        <v>2190.11</v>
      </c>
      <c r="L355" s="1">
        <v>0.2</v>
      </c>
      <c r="M355" s="1">
        <v>13140.66</v>
      </c>
      <c r="N355" s="1">
        <v>2628.1320000000001</v>
      </c>
      <c r="O355" s="1">
        <v>10512.528</v>
      </c>
      <c r="P355" s="1">
        <v>5466.5145600000014</v>
      </c>
      <c r="Q355" s="1">
        <v>5046.0134399999997</v>
      </c>
      <c r="R355" s="1">
        <v>48</v>
      </c>
      <c r="S355" s="1" t="s">
        <v>93</v>
      </c>
    </row>
    <row r="356" spans="1:19" x14ac:dyDescent="0.35">
      <c r="A356" s="1" t="s">
        <v>640</v>
      </c>
      <c r="B356" s="3">
        <v>45873</v>
      </c>
      <c r="C356" s="1" t="s">
        <v>113</v>
      </c>
      <c r="D356" s="1">
        <v>8</v>
      </c>
      <c r="E356" s="1" t="s">
        <v>641</v>
      </c>
      <c r="F356" s="1" t="s">
        <v>52</v>
      </c>
      <c r="G356" s="1" t="s">
        <v>64</v>
      </c>
      <c r="H356" s="1" t="s">
        <v>99</v>
      </c>
      <c r="I356" s="1" t="s">
        <v>100</v>
      </c>
      <c r="J356" s="1">
        <v>4</v>
      </c>
      <c r="K356" s="1">
        <v>6502.48</v>
      </c>
      <c r="L356" s="1">
        <v>0.1</v>
      </c>
      <c r="M356" s="1">
        <v>26009.919999999998</v>
      </c>
      <c r="N356" s="1">
        <v>2600.9920000000002</v>
      </c>
      <c r="O356" s="1">
        <v>23408.928</v>
      </c>
      <c r="P356" s="1">
        <v>15918.071040000001</v>
      </c>
      <c r="Q356" s="1">
        <v>7490.8569599999992</v>
      </c>
      <c r="R356" s="1">
        <v>32</v>
      </c>
      <c r="S356" s="1" t="s">
        <v>60</v>
      </c>
    </row>
    <row r="357" spans="1:19" x14ac:dyDescent="0.35">
      <c r="A357" s="1" t="s">
        <v>642</v>
      </c>
      <c r="B357" s="3">
        <v>46006</v>
      </c>
      <c r="C357" s="1" t="s">
        <v>67</v>
      </c>
      <c r="D357" s="1">
        <v>12</v>
      </c>
      <c r="E357" s="1" t="s">
        <v>414</v>
      </c>
      <c r="F357" s="1" t="s">
        <v>52</v>
      </c>
      <c r="G357" s="1" t="s">
        <v>38</v>
      </c>
      <c r="H357" s="1" t="s">
        <v>53</v>
      </c>
      <c r="I357" s="1" t="s">
        <v>128</v>
      </c>
      <c r="J357" s="1">
        <v>4</v>
      </c>
      <c r="K357" s="1">
        <v>1689.84</v>
      </c>
      <c r="L357" s="1">
        <v>0</v>
      </c>
      <c r="M357" s="1">
        <v>6759.36</v>
      </c>
      <c r="N357" s="1">
        <v>0</v>
      </c>
      <c r="O357" s="1">
        <v>6759.36</v>
      </c>
      <c r="P357" s="1">
        <v>3920.4288000000001</v>
      </c>
      <c r="Q357" s="1">
        <v>2838.9312</v>
      </c>
      <c r="R357" s="1">
        <v>42.000000000000007</v>
      </c>
      <c r="S357" s="1" t="s">
        <v>73</v>
      </c>
    </row>
    <row r="358" spans="1:19" x14ac:dyDescent="0.35">
      <c r="A358" s="1" t="s">
        <v>643</v>
      </c>
      <c r="B358" s="3">
        <v>45786</v>
      </c>
      <c r="C358" s="1" t="s">
        <v>97</v>
      </c>
      <c r="D358" s="1">
        <v>5</v>
      </c>
      <c r="E358" s="1" t="s">
        <v>187</v>
      </c>
      <c r="F358" s="1" t="s">
        <v>69</v>
      </c>
      <c r="G358" s="1" t="s">
        <v>38</v>
      </c>
      <c r="H358" s="1" t="s">
        <v>39</v>
      </c>
      <c r="I358" s="1" t="s">
        <v>87</v>
      </c>
      <c r="J358" s="1">
        <v>5</v>
      </c>
      <c r="K358" s="1">
        <v>35448.31</v>
      </c>
      <c r="L358" s="1">
        <v>0.15</v>
      </c>
      <c r="M358" s="1">
        <v>177241.55</v>
      </c>
      <c r="N358" s="1">
        <v>26586.232499999998</v>
      </c>
      <c r="O358" s="1">
        <v>150655.3175</v>
      </c>
      <c r="P358" s="1">
        <v>117511.14765</v>
      </c>
      <c r="Q358" s="1">
        <v>33144.169849999991</v>
      </c>
      <c r="R358" s="1">
        <v>21.999999999999989</v>
      </c>
      <c r="S358" s="1" t="s">
        <v>26</v>
      </c>
    </row>
    <row r="359" spans="1:19" x14ac:dyDescent="0.35">
      <c r="A359" s="1" t="s">
        <v>644</v>
      </c>
      <c r="B359" s="3">
        <v>46003</v>
      </c>
      <c r="C359" s="1" t="s">
        <v>67</v>
      </c>
      <c r="D359" s="1">
        <v>12</v>
      </c>
      <c r="E359" s="1" t="s">
        <v>341</v>
      </c>
      <c r="F359" s="1" t="s">
        <v>47</v>
      </c>
      <c r="G359" s="1" t="s">
        <v>64</v>
      </c>
      <c r="H359" s="1" t="s">
        <v>77</v>
      </c>
      <c r="I359" s="1" t="s">
        <v>201</v>
      </c>
      <c r="J359" s="1">
        <v>1</v>
      </c>
      <c r="K359" s="1">
        <v>955.68</v>
      </c>
      <c r="L359" s="1">
        <v>0.05</v>
      </c>
      <c r="M359" s="1">
        <v>955.68</v>
      </c>
      <c r="N359" s="1">
        <v>47.783999999999999</v>
      </c>
      <c r="O359" s="1">
        <v>907.89599999999996</v>
      </c>
      <c r="P359" s="1">
        <v>653.68511999999998</v>
      </c>
      <c r="Q359" s="1">
        <v>254.21088</v>
      </c>
      <c r="R359" s="1">
        <v>28</v>
      </c>
      <c r="S359" s="1" t="s">
        <v>60</v>
      </c>
    </row>
    <row r="360" spans="1:19" x14ac:dyDescent="0.35">
      <c r="A360" s="1" t="s">
        <v>645</v>
      </c>
      <c r="B360" s="3">
        <v>45715</v>
      </c>
      <c r="C360" s="1" t="s">
        <v>42</v>
      </c>
      <c r="D360" s="1">
        <v>2</v>
      </c>
      <c r="E360" s="1" t="s">
        <v>646</v>
      </c>
      <c r="F360" s="1" t="s">
        <v>43</v>
      </c>
      <c r="G360" s="1" t="s">
        <v>64</v>
      </c>
      <c r="H360" s="1" t="s">
        <v>99</v>
      </c>
      <c r="I360" s="1" t="s">
        <v>120</v>
      </c>
      <c r="J360" s="1">
        <v>5</v>
      </c>
      <c r="K360" s="1">
        <v>24423.38</v>
      </c>
      <c r="L360" s="1">
        <v>0</v>
      </c>
      <c r="M360" s="1">
        <v>122116.9</v>
      </c>
      <c r="N360" s="1">
        <v>0</v>
      </c>
      <c r="O360" s="1">
        <v>122116.9</v>
      </c>
      <c r="P360" s="1">
        <v>83039.492000000013</v>
      </c>
      <c r="Q360" s="1">
        <v>39077.408000000003</v>
      </c>
      <c r="R360" s="1">
        <v>32</v>
      </c>
      <c r="S360" s="1" t="s">
        <v>73</v>
      </c>
    </row>
    <row r="361" spans="1:19" x14ac:dyDescent="0.35">
      <c r="A361" s="1" t="s">
        <v>647</v>
      </c>
      <c r="B361" s="3">
        <v>45850</v>
      </c>
      <c r="C361" s="1" t="s">
        <v>62</v>
      </c>
      <c r="D361" s="1">
        <v>7</v>
      </c>
      <c r="E361" s="1" t="s">
        <v>648</v>
      </c>
      <c r="F361" s="1" t="s">
        <v>58</v>
      </c>
      <c r="G361" s="1" t="s">
        <v>64</v>
      </c>
      <c r="H361" s="1" t="s">
        <v>39</v>
      </c>
      <c r="I361" s="1" t="s">
        <v>40</v>
      </c>
      <c r="J361" s="1">
        <v>6</v>
      </c>
      <c r="K361" s="1">
        <v>57405.91</v>
      </c>
      <c r="L361" s="1">
        <v>0.05</v>
      </c>
      <c r="M361" s="1">
        <v>344435.46</v>
      </c>
      <c r="N361" s="1">
        <v>17221.773000000001</v>
      </c>
      <c r="O361" s="1">
        <v>327213.68699999998</v>
      </c>
      <c r="P361" s="1">
        <v>255226.67585999999</v>
      </c>
      <c r="Q361" s="1">
        <v>71987.011139999988</v>
      </c>
      <c r="R361" s="1">
        <v>21.999999999999989</v>
      </c>
      <c r="S361" s="1" t="s">
        <v>26</v>
      </c>
    </row>
    <row r="362" spans="1:19" x14ac:dyDescent="0.35">
      <c r="A362" s="1" t="s">
        <v>649</v>
      </c>
      <c r="B362" s="3">
        <v>45806</v>
      </c>
      <c r="C362" s="1" t="s">
        <v>97</v>
      </c>
      <c r="D362" s="1">
        <v>5</v>
      </c>
      <c r="E362" s="1" t="s">
        <v>373</v>
      </c>
      <c r="F362" s="1" t="s">
        <v>22</v>
      </c>
      <c r="G362" s="1" t="s">
        <v>38</v>
      </c>
      <c r="H362" s="1" t="s">
        <v>53</v>
      </c>
      <c r="I362" s="1" t="s">
        <v>54</v>
      </c>
      <c r="J362" s="1">
        <v>4</v>
      </c>
      <c r="K362" s="1">
        <v>1921.06</v>
      </c>
      <c r="L362" s="1">
        <v>0.05</v>
      </c>
      <c r="M362" s="1">
        <v>7684.24</v>
      </c>
      <c r="N362" s="1">
        <v>384.21199999999999</v>
      </c>
      <c r="O362" s="1">
        <v>7300.0280000000002</v>
      </c>
      <c r="P362" s="1">
        <v>4234.0162399999999</v>
      </c>
      <c r="Q362" s="1">
        <v>3066.0117599999999</v>
      </c>
      <c r="R362" s="1">
        <v>42.000000000000007</v>
      </c>
      <c r="S362" s="1" t="s">
        <v>93</v>
      </c>
    </row>
    <row r="363" spans="1:19" x14ac:dyDescent="0.35">
      <c r="A363" s="1" t="s">
        <v>650</v>
      </c>
      <c r="B363" s="3">
        <v>45789</v>
      </c>
      <c r="C363" s="1" t="s">
        <v>97</v>
      </c>
      <c r="D363" s="1">
        <v>5</v>
      </c>
      <c r="E363" s="1" t="s">
        <v>648</v>
      </c>
      <c r="F363" s="1" t="s">
        <v>30</v>
      </c>
      <c r="G363" s="1" t="s">
        <v>64</v>
      </c>
      <c r="H363" s="1" t="s">
        <v>99</v>
      </c>
      <c r="I363" s="1" t="s">
        <v>100</v>
      </c>
      <c r="J363" s="1">
        <v>4</v>
      </c>
      <c r="K363" s="1">
        <v>13694.65</v>
      </c>
      <c r="L363" s="1">
        <v>0.05</v>
      </c>
      <c r="M363" s="1">
        <v>54778.6</v>
      </c>
      <c r="N363" s="1">
        <v>2738.93</v>
      </c>
      <c r="O363" s="1">
        <v>52039.67</v>
      </c>
      <c r="P363" s="1">
        <v>35386.975599999998</v>
      </c>
      <c r="Q363" s="1">
        <v>16652.6944</v>
      </c>
      <c r="R363" s="1">
        <v>32</v>
      </c>
      <c r="S363" s="1" t="s">
        <v>33</v>
      </c>
    </row>
    <row r="364" spans="1:19" x14ac:dyDescent="0.35">
      <c r="A364" s="1" t="s">
        <v>651</v>
      </c>
      <c r="B364" s="3">
        <v>45981</v>
      </c>
      <c r="C364" s="1" t="s">
        <v>56</v>
      </c>
      <c r="D364" s="1">
        <v>11</v>
      </c>
      <c r="E364" s="1" t="s">
        <v>291</v>
      </c>
      <c r="F364" s="1" t="s">
        <v>30</v>
      </c>
      <c r="G364" s="1" t="s">
        <v>38</v>
      </c>
      <c r="H364" s="1" t="s">
        <v>99</v>
      </c>
      <c r="I364" s="1" t="s">
        <v>120</v>
      </c>
      <c r="J364" s="1">
        <v>7</v>
      </c>
      <c r="K364" s="1">
        <v>22288.67</v>
      </c>
      <c r="L364" s="1">
        <v>0.1</v>
      </c>
      <c r="M364" s="1">
        <v>156020.69</v>
      </c>
      <c r="N364" s="1">
        <v>15602.069</v>
      </c>
      <c r="O364" s="1">
        <v>140418.62100000001</v>
      </c>
      <c r="P364" s="1">
        <v>95484.662280000019</v>
      </c>
      <c r="Q364" s="1">
        <v>44933.958720000002</v>
      </c>
      <c r="R364" s="1">
        <v>32</v>
      </c>
      <c r="S364" s="1" t="s">
        <v>33</v>
      </c>
    </row>
    <row r="365" spans="1:19" x14ac:dyDescent="0.35">
      <c r="A365" s="1" t="s">
        <v>652</v>
      </c>
      <c r="B365" s="3">
        <v>45681</v>
      </c>
      <c r="C365" s="1" t="s">
        <v>193</v>
      </c>
      <c r="D365" s="1">
        <v>1</v>
      </c>
      <c r="E365" s="1" t="s">
        <v>341</v>
      </c>
      <c r="F365" s="1" t="s">
        <v>30</v>
      </c>
      <c r="G365" s="1" t="s">
        <v>38</v>
      </c>
      <c r="H365" s="1" t="s">
        <v>99</v>
      </c>
      <c r="I365" s="1" t="s">
        <v>120</v>
      </c>
      <c r="J365" s="1">
        <v>4</v>
      </c>
      <c r="K365" s="1">
        <v>5910.89</v>
      </c>
      <c r="L365" s="1">
        <v>0.25</v>
      </c>
      <c r="M365" s="1">
        <v>23643.56</v>
      </c>
      <c r="N365" s="1">
        <v>5910.89</v>
      </c>
      <c r="O365" s="1">
        <v>17732.669999999998</v>
      </c>
      <c r="P365" s="1">
        <v>12058.2156</v>
      </c>
      <c r="Q365" s="1">
        <v>5674.4544000000014</v>
      </c>
      <c r="R365" s="1">
        <v>32</v>
      </c>
      <c r="S365" s="1" t="s">
        <v>93</v>
      </c>
    </row>
    <row r="366" spans="1:19" x14ac:dyDescent="0.35">
      <c r="A366" s="1" t="s">
        <v>653</v>
      </c>
      <c r="B366" s="3">
        <v>46008</v>
      </c>
      <c r="C366" s="1" t="s">
        <v>67</v>
      </c>
      <c r="D366" s="1">
        <v>12</v>
      </c>
      <c r="E366" s="1" t="s">
        <v>212</v>
      </c>
      <c r="F366" s="1" t="s">
        <v>52</v>
      </c>
      <c r="G366" s="1" t="s">
        <v>23</v>
      </c>
      <c r="H366" s="1" t="s">
        <v>77</v>
      </c>
      <c r="I366" s="1" t="s">
        <v>78</v>
      </c>
      <c r="J366" s="1">
        <v>5</v>
      </c>
      <c r="K366" s="1">
        <v>930.38</v>
      </c>
      <c r="L366" s="1">
        <v>0</v>
      </c>
      <c r="M366" s="1">
        <v>4651.8999999999996</v>
      </c>
      <c r="N366" s="1">
        <v>0</v>
      </c>
      <c r="O366" s="1">
        <v>4651.8999999999996</v>
      </c>
      <c r="P366" s="1">
        <v>3349.367999999999</v>
      </c>
      <c r="Q366" s="1">
        <v>1302.5319999999999</v>
      </c>
      <c r="R366" s="1">
        <v>28.000000000000011</v>
      </c>
      <c r="S366" s="1" t="s">
        <v>60</v>
      </c>
    </row>
    <row r="367" spans="1:19" x14ac:dyDescent="0.35">
      <c r="A367" s="1" t="s">
        <v>654</v>
      </c>
      <c r="B367" s="3">
        <v>45795</v>
      </c>
      <c r="C367" s="1" t="s">
        <v>97</v>
      </c>
      <c r="D367" s="1">
        <v>5</v>
      </c>
      <c r="E367" s="1" t="s">
        <v>256</v>
      </c>
      <c r="F367" s="1" t="s">
        <v>52</v>
      </c>
      <c r="G367" s="1" t="s">
        <v>38</v>
      </c>
      <c r="H367" s="1" t="s">
        <v>77</v>
      </c>
      <c r="I367" s="1" t="s">
        <v>103</v>
      </c>
      <c r="J367" s="1">
        <v>5</v>
      </c>
      <c r="K367" s="1">
        <v>399.53</v>
      </c>
      <c r="L367" s="1">
        <v>0.05</v>
      </c>
      <c r="M367" s="1">
        <v>1997.65</v>
      </c>
      <c r="N367" s="1">
        <v>99.882499999999993</v>
      </c>
      <c r="O367" s="1">
        <v>1897.7674999999999</v>
      </c>
      <c r="P367" s="1">
        <v>1366.3925999999999</v>
      </c>
      <c r="Q367" s="1">
        <v>531.37490000000003</v>
      </c>
      <c r="R367" s="1">
        <v>28</v>
      </c>
      <c r="S367" s="1" t="s">
        <v>33</v>
      </c>
    </row>
    <row r="368" spans="1:19" x14ac:dyDescent="0.35">
      <c r="A368" s="1" t="s">
        <v>655</v>
      </c>
      <c r="B368" s="3">
        <v>45989</v>
      </c>
      <c r="C368" s="1" t="s">
        <v>56</v>
      </c>
      <c r="D368" s="1">
        <v>11</v>
      </c>
      <c r="E368" s="1" t="s">
        <v>484</v>
      </c>
      <c r="F368" s="1" t="s">
        <v>111</v>
      </c>
      <c r="G368" s="1" t="s">
        <v>64</v>
      </c>
      <c r="H368" s="1" t="s">
        <v>77</v>
      </c>
      <c r="I368" s="1" t="s">
        <v>90</v>
      </c>
      <c r="J368" s="1">
        <v>3</v>
      </c>
      <c r="K368" s="1">
        <v>812.5</v>
      </c>
      <c r="L368" s="1">
        <v>0.15</v>
      </c>
      <c r="M368" s="1">
        <v>2437.5</v>
      </c>
      <c r="N368" s="1">
        <v>365.625</v>
      </c>
      <c r="O368" s="1">
        <v>2071.875</v>
      </c>
      <c r="P368" s="1">
        <v>1491.75</v>
      </c>
      <c r="Q368" s="1">
        <v>580.125</v>
      </c>
      <c r="R368" s="1">
        <v>28</v>
      </c>
      <c r="S368" s="1" t="s">
        <v>26</v>
      </c>
    </row>
    <row r="369" spans="1:19" x14ac:dyDescent="0.35">
      <c r="A369" s="1" t="s">
        <v>656</v>
      </c>
      <c r="B369" s="3">
        <v>45863</v>
      </c>
      <c r="C369" s="1" t="s">
        <v>62</v>
      </c>
      <c r="D369" s="1">
        <v>7</v>
      </c>
      <c r="E369" s="1" t="s">
        <v>657</v>
      </c>
      <c r="F369" s="1" t="s">
        <v>22</v>
      </c>
      <c r="G369" s="1" t="s">
        <v>23</v>
      </c>
      <c r="H369" s="1" t="s">
        <v>39</v>
      </c>
      <c r="I369" s="1" t="s">
        <v>155</v>
      </c>
      <c r="J369" s="1">
        <v>6</v>
      </c>
      <c r="K369" s="1">
        <v>27206.99</v>
      </c>
      <c r="L369" s="1">
        <v>0.3</v>
      </c>
      <c r="M369" s="1">
        <v>163241.94</v>
      </c>
      <c r="N369" s="1">
        <v>48972.582000000002</v>
      </c>
      <c r="O369" s="1">
        <v>114269.35799999999</v>
      </c>
      <c r="P369" s="1">
        <v>89130.09924000001</v>
      </c>
      <c r="Q369" s="1">
        <v>25139.258760000001</v>
      </c>
      <c r="R369" s="1">
        <v>21.999999999999989</v>
      </c>
      <c r="S369" s="1" t="s">
        <v>93</v>
      </c>
    </row>
    <row r="370" spans="1:19" x14ac:dyDescent="0.35">
      <c r="A370" s="1" t="s">
        <v>658</v>
      </c>
      <c r="B370" s="3">
        <v>45898</v>
      </c>
      <c r="C370" s="1" t="s">
        <v>113</v>
      </c>
      <c r="D370" s="1">
        <v>8</v>
      </c>
      <c r="E370" s="1" t="s">
        <v>281</v>
      </c>
      <c r="F370" s="1" t="s">
        <v>43</v>
      </c>
      <c r="G370" s="1" t="s">
        <v>64</v>
      </c>
      <c r="H370" s="1" t="s">
        <v>53</v>
      </c>
      <c r="I370" s="1" t="s">
        <v>128</v>
      </c>
      <c r="J370" s="1">
        <v>7</v>
      </c>
      <c r="K370" s="1">
        <v>1406.79</v>
      </c>
      <c r="L370" s="1">
        <v>0.15</v>
      </c>
      <c r="M370" s="1">
        <v>9847.5299999999988</v>
      </c>
      <c r="N370" s="1">
        <v>1477.1295</v>
      </c>
      <c r="O370" s="1">
        <v>8370.4004999999997</v>
      </c>
      <c r="P370" s="1">
        <v>4854.8322899999994</v>
      </c>
      <c r="Q370" s="1">
        <v>3515.5682099999999</v>
      </c>
      <c r="R370" s="1">
        <v>42.000000000000007</v>
      </c>
      <c r="S370" s="1" t="s">
        <v>73</v>
      </c>
    </row>
    <row r="371" spans="1:19" x14ac:dyDescent="0.35">
      <c r="A371" s="1" t="s">
        <v>659</v>
      </c>
      <c r="B371" s="3">
        <v>45871</v>
      </c>
      <c r="C371" s="1" t="s">
        <v>113</v>
      </c>
      <c r="D371" s="1">
        <v>8</v>
      </c>
      <c r="E371" s="1" t="s">
        <v>254</v>
      </c>
      <c r="F371" s="1" t="s">
        <v>111</v>
      </c>
      <c r="G371" s="1" t="s">
        <v>64</v>
      </c>
      <c r="H371" s="1" t="s">
        <v>39</v>
      </c>
      <c r="I371" s="1" t="s">
        <v>87</v>
      </c>
      <c r="J371" s="1">
        <v>1</v>
      </c>
      <c r="K371" s="1">
        <v>42288.57</v>
      </c>
      <c r="L371" s="1">
        <v>0.05</v>
      </c>
      <c r="M371" s="1">
        <v>42288.57</v>
      </c>
      <c r="N371" s="1">
        <v>2114.4285</v>
      </c>
      <c r="O371" s="1">
        <v>40174.141499999998</v>
      </c>
      <c r="P371" s="1">
        <v>31335.83037</v>
      </c>
      <c r="Q371" s="1">
        <v>8838.3111299999982</v>
      </c>
      <c r="R371" s="1">
        <v>22</v>
      </c>
      <c r="S371" s="1" t="s">
        <v>60</v>
      </c>
    </row>
    <row r="372" spans="1:19" x14ac:dyDescent="0.35">
      <c r="A372" s="1" t="s">
        <v>660</v>
      </c>
      <c r="B372" s="3">
        <v>45848</v>
      </c>
      <c r="C372" s="1" t="s">
        <v>62</v>
      </c>
      <c r="D372" s="1">
        <v>7</v>
      </c>
      <c r="E372" s="1" t="s">
        <v>605</v>
      </c>
      <c r="F372" s="1" t="s">
        <v>47</v>
      </c>
      <c r="G372" s="1" t="s">
        <v>38</v>
      </c>
      <c r="H372" s="1" t="s">
        <v>39</v>
      </c>
      <c r="I372" s="1" t="s">
        <v>40</v>
      </c>
      <c r="J372" s="1">
        <v>3</v>
      </c>
      <c r="K372" s="1">
        <v>29049</v>
      </c>
      <c r="L372" s="1">
        <v>0.25</v>
      </c>
      <c r="M372" s="1">
        <v>87147</v>
      </c>
      <c r="N372" s="1">
        <v>21786.75</v>
      </c>
      <c r="O372" s="1">
        <v>65360.25</v>
      </c>
      <c r="P372" s="1">
        <v>50980.995000000003</v>
      </c>
      <c r="Q372" s="1">
        <v>14379.254999999999</v>
      </c>
      <c r="R372" s="1">
        <v>22</v>
      </c>
      <c r="S372" s="1" t="s">
        <v>60</v>
      </c>
    </row>
    <row r="373" spans="1:19" x14ac:dyDescent="0.35">
      <c r="A373" s="1" t="s">
        <v>661</v>
      </c>
      <c r="B373" s="3">
        <v>45824</v>
      </c>
      <c r="C373" s="1" t="s">
        <v>82</v>
      </c>
      <c r="D373" s="1">
        <v>6</v>
      </c>
      <c r="E373" s="1" t="s">
        <v>662</v>
      </c>
      <c r="F373" s="1" t="s">
        <v>43</v>
      </c>
      <c r="G373" s="1" t="s">
        <v>64</v>
      </c>
      <c r="H373" s="1" t="s">
        <v>31</v>
      </c>
      <c r="I373" s="1" t="s">
        <v>59</v>
      </c>
      <c r="J373" s="1">
        <v>6</v>
      </c>
      <c r="K373" s="1">
        <v>1337.19</v>
      </c>
      <c r="L373" s="1">
        <v>0</v>
      </c>
      <c r="M373" s="1">
        <v>8023.14</v>
      </c>
      <c r="N373" s="1">
        <v>0</v>
      </c>
      <c r="O373" s="1">
        <v>8023.14</v>
      </c>
      <c r="P373" s="1">
        <v>4172.0328</v>
      </c>
      <c r="Q373" s="1">
        <v>3851.1071999999999</v>
      </c>
      <c r="R373" s="1">
        <v>48.000000000000007</v>
      </c>
      <c r="S373" s="1" t="s">
        <v>33</v>
      </c>
    </row>
    <row r="374" spans="1:19" x14ac:dyDescent="0.35">
      <c r="A374" s="1" t="s">
        <v>663</v>
      </c>
      <c r="B374" s="3">
        <v>45902</v>
      </c>
      <c r="C374" s="1" t="s">
        <v>50</v>
      </c>
      <c r="D374" s="1">
        <v>9</v>
      </c>
      <c r="E374" s="1" t="s">
        <v>664</v>
      </c>
      <c r="F374" s="1" t="s">
        <v>22</v>
      </c>
      <c r="G374" s="1" t="s">
        <v>64</v>
      </c>
      <c r="H374" s="1" t="s">
        <v>53</v>
      </c>
      <c r="I374" s="1" t="s">
        <v>185</v>
      </c>
      <c r="J374" s="1">
        <v>1</v>
      </c>
      <c r="K374" s="1">
        <v>1782.81</v>
      </c>
      <c r="L374" s="1">
        <v>0.15</v>
      </c>
      <c r="M374" s="1">
        <v>1782.81</v>
      </c>
      <c r="N374" s="1">
        <v>267.42149999999998</v>
      </c>
      <c r="O374" s="1">
        <v>1515.3885</v>
      </c>
      <c r="P374" s="1">
        <v>878.92532999999992</v>
      </c>
      <c r="Q374" s="1">
        <v>636.4631700000001</v>
      </c>
      <c r="R374" s="1">
        <v>42.000000000000007</v>
      </c>
      <c r="S374" s="1" t="s">
        <v>26</v>
      </c>
    </row>
    <row r="375" spans="1:19" x14ac:dyDescent="0.35">
      <c r="A375" s="1" t="s">
        <v>665</v>
      </c>
      <c r="B375" s="3">
        <v>45928</v>
      </c>
      <c r="C375" s="1" t="s">
        <v>50</v>
      </c>
      <c r="D375" s="1">
        <v>9</v>
      </c>
      <c r="E375" s="1" t="s">
        <v>666</v>
      </c>
      <c r="F375" s="1" t="s">
        <v>37</v>
      </c>
      <c r="G375" s="1" t="s">
        <v>64</v>
      </c>
      <c r="H375" s="1" t="s">
        <v>24</v>
      </c>
      <c r="I375" s="1" t="s">
        <v>44</v>
      </c>
      <c r="J375" s="1">
        <v>4</v>
      </c>
      <c r="K375" s="1">
        <v>2613.9499999999998</v>
      </c>
      <c r="L375" s="1">
        <v>0</v>
      </c>
      <c r="M375" s="1">
        <v>10455.799999999999</v>
      </c>
      <c r="N375" s="1">
        <v>0</v>
      </c>
      <c r="O375" s="1">
        <v>10455.799999999999</v>
      </c>
      <c r="P375" s="1">
        <v>5750.6900000000014</v>
      </c>
      <c r="Q375" s="1">
        <v>4705.1099999999988</v>
      </c>
      <c r="R375" s="1">
        <v>44.999999999999993</v>
      </c>
      <c r="S375" s="1" t="s">
        <v>93</v>
      </c>
    </row>
    <row r="376" spans="1:19" x14ac:dyDescent="0.35">
      <c r="A376" s="1" t="s">
        <v>667</v>
      </c>
      <c r="B376" s="3">
        <v>45904</v>
      </c>
      <c r="C376" s="1" t="s">
        <v>50</v>
      </c>
      <c r="D376" s="1">
        <v>9</v>
      </c>
      <c r="E376" s="1" t="s">
        <v>668</v>
      </c>
      <c r="F376" s="1" t="s">
        <v>69</v>
      </c>
      <c r="G376" s="1" t="s">
        <v>64</v>
      </c>
      <c r="H376" s="1" t="s">
        <v>24</v>
      </c>
      <c r="I376" s="1" t="s">
        <v>117</v>
      </c>
      <c r="J376" s="1">
        <v>3</v>
      </c>
      <c r="K376" s="1">
        <v>3255.98</v>
      </c>
      <c r="L376" s="1">
        <v>0.15</v>
      </c>
      <c r="M376" s="1">
        <v>9767.94</v>
      </c>
      <c r="N376" s="1">
        <v>1465.191</v>
      </c>
      <c r="O376" s="1">
        <v>8302.7489999999998</v>
      </c>
      <c r="P376" s="1">
        <v>4566.5119500000001</v>
      </c>
      <c r="Q376" s="1">
        <v>3736.2370500000002</v>
      </c>
      <c r="R376" s="1">
        <v>44.999999999999993</v>
      </c>
      <c r="S376" s="1" t="s">
        <v>93</v>
      </c>
    </row>
    <row r="377" spans="1:19" x14ac:dyDescent="0.35">
      <c r="A377" s="1" t="s">
        <v>669</v>
      </c>
      <c r="B377" s="3">
        <v>45940</v>
      </c>
      <c r="C377" s="1" t="s">
        <v>35</v>
      </c>
      <c r="D377" s="1">
        <v>10</v>
      </c>
      <c r="E377" s="1" t="s">
        <v>105</v>
      </c>
      <c r="F377" s="1" t="s">
        <v>37</v>
      </c>
      <c r="G377" s="1" t="s">
        <v>64</v>
      </c>
      <c r="H377" s="1" t="s">
        <v>77</v>
      </c>
      <c r="I377" s="1" t="s">
        <v>103</v>
      </c>
      <c r="J377" s="1">
        <v>5</v>
      </c>
      <c r="K377" s="1">
        <v>1155.74</v>
      </c>
      <c r="L377" s="1">
        <v>0.15</v>
      </c>
      <c r="M377" s="1">
        <v>5778.7</v>
      </c>
      <c r="N377" s="1">
        <v>866.80499999999995</v>
      </c>
      <c r="O377" s="1">
        <v>4911.8950000000004</v>
      </c>
      <c r="P377" s="1">
        <v>3536.5644000000002</v>
      </c>
      <c r="Q377" s="1">
        <v>1375.3306</v>
      </c>
      <c r="R377" s="1">
        <v>28</v>
      </c>
      <c r="S377" s="1" t="s">
        <v>33</v>
      </c>
    </row>
    <row r="378" spans="1:19" x14ac:dyDescent="0.35">
      <c r="A378" s="1" t="s">
        <v>670</v>
      </c>
      <c r="B378" s="3">
        <v>45808</v>
      </c>
      <c r="C378" s="1" t="s">
        <v>97</v>
      </c>
      <c r="D378" s="1">
        <v>5</v>
      </c>
      <c r="E378" s="1" t="s">
        <v>227</v>
      </c>
      <c r="F378" s="1" t="s">
        <v>30</v>
      </c>
      <c r="G378" s="1" t="s">
        <v>38</v>
      </c>
      <c r="H378" s="1" t="s">
        <v>99</v>
      </c>
      <c r="I378" s="1" t="s">
        <v>100</v>
      </c>
      <c r="J378" s="1">
        <v>6</v>
      </c>
      <c r="K378" s="1">
        <v>17635.82</v>
      </c>
      <c r="L378" s="1">
        <v>0.2</v>
      </c>
      <c r="M378" s="1">
        <v>105814.92</v>
      </c>
      <c r="N378" s="1">
        <v>21162.984</v>
      </c>
      <c r="O378" s="1">
        <v>84651.936000000002</v>
      </c>
      <c r="P378" s="1">
        <v>57563.316480000009</v>
      </c>
      <c r="Q378" s="1">
        <v>27088.619519999989</v>
      </c>
      <c r="R378" s="1">
        <v>31.999999999999989</v>
      </c>
      <c r="S378" s="1" t="s">
        <v>73</v>
      </c>
    </row>
    <row r="379" spans="1:19" x14ac:dyDescent="0.35">
      <c r="A379" s="1" t="s">
        <v>671</v>
      </c>
      <c r="B379" s="3">
        <v>45929</v>
      </c>
      <c r="C379" s="1" t="s">
        <v>50</v>
      </c>
      <c r="D379" s="1">
        <v>9</v>
      </c>
      <c r="E379" s="1" t="s">
        <v>336</v>
      </c>
      <c r="F379" s="1" t="s">
        <v>76</v>
      </c>
      <c r="G379" s="1" t="s">
        <v>64</v>
      </c>
      <c r="H379" s="1" t="s">
        <v>53</v>
      </c>
      <c r="I379" s="1" t="s">
        <v>72</v>
      </c>
      <c r="J379" s="1">
        <v>3</v>
      </c>
      <c r="K379" s="1">
        <v>129.18</v>
      </c>
      <c r="L379" s="1">
        <v>0.15</v>
      </c>
      <c r="M379" s="1">
        <v>387.54</v>
      </c>
      <c r="N379" s="1">
        <v>58.131</v>
      </c>
      <c r="O379" s="1">
        <v>329.40899999999999</v>
      </c>
      <c r="P379" s="1">
        <v>191.05722</v>
      </c>
      <c r="Q379" s="1">
        <v>138.35177999999999</v>
      </c>
      <c r="R379" s="1">
        <v>42.000000000000007</v>
      </c>
      <c r="S379" s="1" t="s">
        <v>93</v>
      </c>
    </row>
    <row r="380" spans="1:19" x14ac:dyDescent="0.35">
      <c r="A380" s="1" t="s">
        <v>672</v>
      </c>
      <c r="B380" s="3">
        <v>45988</v>
      </c>
      <c r="C380" s="1" t="s">
        <v>56</v>
      </c>
      <c r="D380" s="1">
        <v>11</v>
      </c>
      <c r="E380" s="1" t="s">
        <v>673</v>
      </c>
      <c r="F380" s="1" t="s">
        <v>43</v>
      </c>
      <c r="G380" s="1" t="s">
        <v>23</v>
      </c>
      <c r="H380" s="1" t="s">
        <v>31</v>
      </c>
      <c r="I380" s="1" t="s">
        <v>65</v>
      </c>
      <c r="J380" s="1">
        <v>3</v>
      </c>
      <c r="K380" s="1">
        <v>1558.46</v>
      </c>
      <c r="L380" s="1">
        <v>0.25</v>
      </c>
      <c r="M380" s="1">
        <v>4675.38</v>
      </c>
      <c r="N380" s="1">
        <v>1168.845</v>
      </c>
      <c r="O380" s="1">
        <v>3506.5349999999999</v>
      </c>
      <c r="P380" s="1">
        <v>1823.3982000000001</v>
      </c>
      <c r="Q380" s="1">
        <v>1683.1368</v>
      </c>
      <c r="R380" s="1">
        <v>47.999999999999993</v>
      </c>
      <c r="S380" s="1" t="s">
        <v>26</v>
      </c>
    </row>
    <row r="381" spans="1:19" x14ac:dyDescent="0.35">
      <c r="A381" s="1" t="s">
        <v>674</v>
      </c>
      <c r="B381" s="3">
        <v>45690</v>
      </c>
      <c r="C381" s="1" t="s">
        <v>42</v>
      </c>
      <c r="D381" s="1">
        <v>2</v>
      </c>
      <c r="E381" s="1" t="s">
        <v>675</v>
      </c>
      <c r="F381" s="1" t="s">
        <v>47</v>
      </c>
      <c r="G381" s="1" t="s">
        <v>23</v>
      </c>
      <c r="H381" s="1" t="s">
        <v>77</v>
      </c>
      <c r="I381" s="1" t="s">
        <v>103</v>
      </c>
      <c r="J381" s="1">
        <v>2</v>
      </c>
      <c r="K381" s="1">
        <v>547.67999999999995</v>
      </c>
      <c r="L381" s="1">
        <v>0.15</v>
      </c>
      <c r="M381" s="1">
        <v>1095.3599999999999</v>
      </c>
      <c r="N381" s="1">
        <v>164.304</v>
      </c>
      <c r="O381" s="1">
        <v>931.05599999999993</v>
      </c>
      <c r="P381" s="1">
        <v>670.36031999999989</v>
      </c>
      <c r="Q381" s="1">
        <v>260.69567999999998</v>
      </c>
      <c r="R381" s="1">
        <v>28.000000000000011</v>
      </c>
      <c r="S381" s="1" t="s">
        <v>60</v>
      </c>
    </row>
    <row r="382" spans="1:19" x14ac:dyDescent="0.35">
      <c r="A382" s="1" t="s">
        <v>676</v>
      </c>
      <c r="B382" s="3">
        <v>45798</v>
      </c>
      <c r="C382" s="1" t="s">
        <v>97</v>
      </c>
      <c r="D382" s="1">
        <v>5</v>
      </c>
      <c r="E382" s="1" t="s">
        <v>435</v>
      </c>
      <c r="F382" s="1" t="s">
        <v>69</v>
      </c>
      <c r="G382" s="1" t="s">
        <v>23</v>
      </c>
      <c r="H382" s="1" t="s">
        <v>24</v>
      </c>
      <c r="I382" s="1" t="s">
        <v>139</v>
      </c>
      <c r="J382" s="1">
        <v>6</v>
      </c>
      <c r="K382" s="1">
        <v>4534.18</v>
      </c>
      <c r="L382" s="1">
        <v>0</v>
      </c>
      <c r="M382" s="1">
        <v>27205.08</v>
      </c>
      <c r="N382" s="1">
        <v>0</v>
      </c>
      <c r="O382" s="1">
        <v>27205.08</v>
      </c>
      <c r="P382" s="1">
        <v>14962.794</v>
      </c>
      <c r="Q382" s="1">
        <v>12242.286</v>
      </c>
      <c r="R382" s="1">
        <v>44.999999999999993</v>
      </c>
      <c r="S382" s="1" t="s">
        <v>33</v>
      </c>
    </row>
    <row r="383" spans="1:19" x14ac:dyDescent="0.35">
      <c r="A383" s="1" t="s">
        <v>677</v>
      </c>
      <c r="B383" s="3">
        <v>45686</v>
      </c>
      <c r="C383" s="1" t="s">
        <v>193</v>
      </c>
      <c r="D383" s="1">
        <v>1</v>
      </c>
      <c r="E383" s="1" t="s">
        <v>626</v>
      </c>
      <c r="F383" s="1" t="s">
        <v>37</v>
      </c>
      <c r="G383" s="1" t="s">
        <v>64</v>
      </c>
      <c r="H383" s="1" t="s">
        <v>99</v>
      </c>
      <c r="I383" s="1" t="s">
        <v>145</v>
      </c>
      <c r="J383" s="1">
        <v>7</v>
      </c>
      <c r="K383" s="1">
        <v>12220.43</v>
      </c>
      <c r="L383" s="1">
        <v>0.3</v>
      </c>
      <c r="M383" s="1">
        <v>85543.010000000009</v>
      </c>
      <c r="N383" s="1">
        <v>25662.902999999998</v>
      </c>
      <c r="O383" s="1">
        <v>59880.107000000004</v>
      </c>
      <c r="P383" s="1">
        <v>40718.472759999997</v>
      </c>
      <c r="Q383" s="1">
        <v>19161.634239999999</v>
      </c>
      <c r="R383" s="1">
        <v>32</v>
      </c>
      <c r="S383" s="1" t="s">
        <v>73</v>
      </c>
    </row>
    <row r="384" spans="1:19" x14ac:dyDescent="0.35">
      <c r="A384" s="1" t="s">
        <v>678</v>
      </c>
      <c r="B384" s="3">
        <v>45982</v>
      </c>
      <c r="C384" s="1" t="s">
        <v>56</v>
      </c>
      <c r="D384" s="1">
        <v>11</v>
      </c>
      <c r="E384" s="1" t="s">
        <v>679</v>
      </c>
      <c r="F384" s="1" t="s">
        <v>76</v>
      </c>
      <c r="G384" s="1" t="s">
        <v>38</v>
      </c>
      <c r="H384" s="1" t="s">
        <v>24</v>
      </c>
      <c r="I384" s="1" t="s">
        <v>25</v>
      </c>
      <c r="J384" s="1">
        <v>6</v>
      </c>
      <c r="K384" s="1">
        <v>3555.22</v>
      </c>
      <c r="L384" s="1">
        <v>0.05</v>
      </c>
      <c r="M384" s="1">
        <v>21331.32</v>
      </c>
      <c r="N384" s="1">
        <v>1066.566</v>
      </c>
      <c r="O384" s="1">
        <v>20264.754000000001</v>
      </c>
      <c r="P384" s="1">
        <v>11145.6147</v>
      </c>
      <c r="Q384" s="1">
        <v>9119.1392999999989</v>
      </c>
      <c r="R384" s="1">
        <v>44.999999999999993</v>
      </c>
      <c r="S384" s="1" t="s">
        <v>26</v>
      </c>
    </row>
    <row r="385" spans="1:19" x14ac:dyDescent="0.35">
      <c r="A385" s="1" t="s">
        <v>680</v>
      </c>
      <c r="B385" s="3">
        <v>45923</v>
      </c>
      <c r="C385" s="1" t="s">
        <v>50</v>
      </c>
      <c r="D385" s="1">
        <v>9</v>
      </c>
      <c r="E385" s="1" t="s">
        <v>291</v>
      </c>
      <c r="F385" s="1" t="s">
        <v>37</v>
      </c>
      <c r="G385" s="1" t="s">
        <v>23</v>
      </c>
      <c r="H385" s="1" t="s">
        <v>99</v>
      </c>
      <c r="I385" s="1" t="s">
        <v>145</v>
      </c>
      <c r="J385" s="1">
        <v>1</v>
      </c>
      <c r="K385" s="1">
        <v>19153.63</v>
      </c>
      <c r="L385" s="1">
        <v>0.15</v>
      </c>
      <c r="M385" s="1">
        <v>19153.63</v>
      </c>
      <c r="N385" s="1">
        <v>2873.0445</v>
      </c>
      <c r="O385" s="1">
        <v>16280.585499999999</v>
      </c>
      <c r="P385" s="1">
        <v>11070.798140000001</v>
      </c>
      <c r="Q385" s="1">
        <v>5209.7873600000003</v>
      </c>
      <c r="R385" s="1">
        <v>32</v>
      </c>
      <c r="S385" s="1" t="s">
        <v>26</v>
      </c>
    </row>
    <row r="386" spans="1:19" x14ac:dyDescent="0.35">
      <c r="A386" s="1" t="s">
        <v>681</v>
      </c>
      <c r="B386" s="3">
        <v>45952</v>
      </c>
      <c r="C386" s="1" t="s">
        <v>35</v>
      </c>
      <c r="D386" s="1">
        <v>10</v>
      </c>
      <c r="E386" s="1" t="s">
        <v>387</v>
      </c>
      <c r="F386" s="1" t="s">
        <v>52</v>
      </c>
      <c r="G386" s="1" t="s">
        <v>38</v>
      </c>
      <c r="H386" s="1" t="s">
        <v>53</v>
      </c>
      <c r="I386" s="1" t="s">
        <v>72</v>
      </c>
      <c r="J386" s="1">
        <v>5</v>
      </c>
      <c r="K386" s="1">
        <v>2321.25</v>
      </c>
      <c r="L386" s="1">
        <v>0</v>
      </c>
      <c r="M386" s="1">
        <v>11606.25</v>
      </c>
      <c r="N386" s="1">
        <v>0</v>
      </c>
      <c r="O386" s="1">
        <v>11606.25</v>
      </c>
      <c r="P386" s="1">
        <v>6731.6249999999991</v>
      </c>
      <c r="Q386" s="1">
        <v>4874.6250000000009</v>
      </c>
      <c r="R386" s="1">
        <v>42.000000000000007</v>
      </c>
      <c r="S386" s="1" t="s">
        <v>26</v>
      </c>
    </row>
    <row r="387" spans="1:19" x14ac:dyDescent="0.35">
      <c r="A387" s="1" t="s">
        <v>682</v>
      </c>
      <c r="B387" s="3">
        <v>45979</v>
      </c>
      <c r="C387" s="1" t="s">
        <v>56</v>
      </c>
      <c r="D387" s="1">
        <v>11</v>
      </c>
      <c r="E387" s="1" t="s">
        <v>378</v>
      </c>
      <c r="F387" s="1" t="s">
        <v>37</v>
      </c>
      <c r="G387" s="1" t="s">
        <v>64</v>
      </c>
      <c r="H387" s="1" t="s">
        <v>77</v>
      </c>
      <c r="I387" s="1" t="s">
        <v>148</v>
      </c>
      <c r="J387" s="1">
        <v>5</v>
      </c>
      <c r="K387" s="1">
        <v>67.38</v>
      </c>
      <c r="L387" s="1">
        <v>0.3</v>
      </c>
      <c r="M387" s="1">
        <v>336.9</v>
      </c>
      <c r="N387" s="1">
        <v>101.07</v>
      </c>
      <c r="O387" s="1">
        <v>235.83</v>
      </c>
      <c r="P387" s="1">
        <v>169.79759999999999</v>
      </c>
      <c r="Q387" s="1">
        <v>66.032399999999996</v>
      </c>
      <c r="R387" s="1">
        <v>28</v>
      </c>
      <c r="S387" s="1" t="s">
        <v>60</v>
      </c>
    </row>
    <row r="388" spans="1:19" x14ac:dyDescent="0.35">
      <c r="A388" s="1" t="s">
        <v>683</v>
      </c>
      <c r="B388" s="3">
        <v>45757</v>
      </c>
      <c r="C388" s="1" t="s">
        <v>20</v>
      </c>
      <c r="D388" s="1">
        <v>4</v>
      </c>
      <c r="E388" s="1" t="s">
        <v>540</v>
      </c>
      <c r="F388" s="1" t="s">
        <v>37</v>
      </c>
      <c r="G388" s="1" t="s">
        <v>64</v>
      </c>
      <c r="H388" s="1" t="s">
        <v>53</v>
      </c>
      <c r="I388" s="1" t="s">
        <v>54</v>
      </c>
      <c r="J388" s="1">
        <v>4</v>
      </c>
      <c r="K388" s="1">
        <v>104.84</v>
      </c>
      <c r="L388" s="1">
        <v>0.05</v>
      </c>
      <c r="M388" s="1">
        <v>419.36</v>
      </c>
      <c r="N388" s="1">
        <v>20.968</v>
      </c>
      <c r="O388" s="1">
        <v>398.392</v>
      </c>
      <c r="P388" s="1">
        <v>231.06736000000001</v>
      </c>
      <c r="Q388" s="1">
        <v>167.32463999999999</v>
      </c>
      <c r="R388" s="1">
        <v>42.000000000000007</v>
      </c>
      <c r="S388" s="1" t="s">
        <v>93</v>
      </c>
    </row>
    <row r="389" spans="1:19" x14ac:dyDescent="0.35">
      <c r="A389" s="1" t="s">
        <v>684</v>
      </c>
      <c r="B389" s="3">
        <v>45736</v>
      </c>
      <c r="C389" s="1" t="s">
        <v>28</v>
      </c>
      <c r="D389" s="1">
        <v>3</v>
      </c>
      <c r="E389" s="1" t="s">
        <v>518</v>
      </c>
      <c r="F389" s="1" t="s">
        <v>52</v>
      </c>
      <c r="G389" s="1" t="s">
        <v>23</v>
      </c>
      <c r="H389" s="1" t="s">
        <v>53</v>
      </c>
      <c r="I389" s="1" t="s">
        <v>185</v>
      </c>
      <c r="J389" s="1">
        <v>6</v>
      </c>
      <c r="K389" s="1">
        <v>2353.7399999999998</v>
      </c>
      <c r="L389" s="1">
        <v>0</v>
      </c>
      <c r="M389" s="1">
        <v>14122.44</v>
      </c>
      <c r="N389" s="1">
        <v>0</v>
      </c>
      <c r="O389" s="1">
        <v>14122.44</v>
      </c>
      <c r="P389" s="1">
        <v>8191.0151999999989</v>
      </c>
      <c r="Q389" s="1">
        <v>5931.4247999999998</v>
      </c>
      <c r="R389" s="1">
        <v>42.000000000000007</v>
      </c>
      <c r="S389" s="1" t="s">
        <v>93</v>
      </c>
    </row>
    <row r="390" spans="1:19" x14ac:dyDescent="0.35">
      <c r="A390" s="1" t="s">
        <v>685</v>
      </c>
      <c r="B390" s="3">
        <v>45941</v>
      </c>
      <c r="C390" s="1" t="s">
        <v>35</v>
      </c>
      <c r="D390" s="1">
        <v>10</v>
      </c>
      <c r="E390" s="1" t="s">
        <v>248</v>
      </c>
      <c r="F390" s="1" t="s">
        <v>58</v>
      </c>
      <c r="G390" s="1" t="s">
        <v>38</v>
      </c>
      <c r="H390" s="1" t="s">
        <v>39</v>
      </c>
      <c r="I390" s="1" t="s">
        <v>87</v>
      </c>
      <c r="J390" s="1">
        <v>1</v>
      </c>
      <c r="K390" s="1">
        <v>29979.97</v>
      </c>
      <c r="L390" s="1">
        <v>0.25</v>
      </c>
      <c r="M390" s="1">
        <v>29979.97</v>
      </c>
      <c r="N390" s="1">
        <v>7494.9925000000003</v>
      </c>
      <c r="O390" s="1">
        <v>22484.977500000001</v>
      </c>
      <c r="P390" s="1">
        <v>17538.282449999999</v>
      </c>
      <c r="Q390" s="1">
        <v>4946.6950499999984</v>
      </c>
      <c r="R390" s="1">
        <v>21.999999999999989</v>
      </c>
      <c r="S390" s="1" t="s">
        <v>73</v>
      </c>
    </row>
    <row r="391" spans="1:19" x14ac:dyDescent="0.35">
      <c r="A391" s="1" t="s">
        <v>686</v>
      </c>
      <c r="B391" s="3">
        <v>45730</v>
      </c>
      <c r="C391" s="1" t="s">
        <v>28</v>
      </c>
      <c r="D391" s="1">
        <v>3</v>
      </c>
      <c r="E391" s="1" t="s">
        <v>407</v>
      </c>
      <c r="F391" s="1" t="s">
        <v>52</v>
      </c>
      <c r="G391" s="1" t="s">
        <v>64</v>
      </c>
      <c r="H391" s="1" t="s">
        <v>31</v>
      </c>
      <c r="I391" s="1" t="s">
        <v>32</v>
      </c>
      <c r="J391" s="1">
        <v>6</v>
      </c>
      <c r="K391" s="1">
        <v>822.18</v>
      </c>
      <c r="L391" s="1">
        <v>0.15</v>
      </c>
      <c r="M391" s="1">
        <v>4933.08</v>
      </c>
      <c r="N391" s="1">
        <v>739.96199999999999</v>
      </c>
      <c r="O391" s="1">
        <v>4193.1180000000004</v>
      </c>
      <c r="P391" s="1">
        <v>2180.4213599999998</v>
      </c>
      <c r="Q391" s="1">
        <v>2012.6966399999999</v>
      </c>
      <c r="R391" s="1">
        <v>48</v>
      </c>
      <c r="S391" s="1" t="s">
        <v>73</v>
      </c>
    </row>
    <row r="392" spans="1:19" x14ac:dyDescent="0.35">
      <c r="A392" s="1" t="s">
        <v>687</v>
      </c>
      <c r="B392" s="3">
        <v>45940</v>
      </c>
      <c r="C392" s="1" t="s">
        <v>35</v>
      </c>
      <c r="D392" s="1">
        <v>10</v>
      </c>
      <c r="E392" s="1" t="s">
        <v>688</v>
      </c>
      <c r="F392" s="1" t="s">
        <v>43</v>
      </c>
      <c r="G392" s="1" t="s">
        <v>38</v>
      </c>
      <c r="H392" s="1" t="s">
        <v>77</v>
      </c>
      <c r="I392" s="1" t="s">
        <v>103</v>
      </c>
      <c r="J392" s="1">
        <v>2</v>
      </c>
      <c r="K392" s="1">
        <v>156.52000000000001</v>
      </c>
      <c r="L392" s="1">
        <v>0.15</v>
      </c>
      <c r="M392" s="1">
        <v>313.04000000000002</v>
      </c>
      <c r="N392" s="1">
        <v>46.956000000000003</v>
      </c>
      <c r="O392" s="1">
        <v>266.084</v>
      </c>
      <c r="P392" s="1">
        <v>191.58047999999999</v>
      </c>
      <c r="Q392" s="1">
        <v>74.503520000000009</v>
      </c>
      <c r="R392" s="1">
        <v>28</v>
      </c>
      <c r="S392" s="1" t="s">
        <v>93</v>
      </c>
    </row>
    <row r="393" spans="1:19" x14ac:dyDescent="0.35">
      <c r="A393" s="1" t="s">
        <v>689</v>
      </c>
      <c r="B393" s="3">
        <v>45730</v>
      </c>
      <c r="C393" s="1" t="s">
        <v>28</v>
      </c>
      <c r="D393" s="1">
        <v>3</v>
      </c>
      <c r="E393" s="1" t="s">
        <v>163</v>
      </c>
      <c r="F393" s="1" t="s">
        <v>43</v>
      </c>
      <c r="G393" s="1" t="s">
        <v>64</v>
      </c>
      <c r="H393" s="1" t="s">
        <v>53</v>
      </c>
      <c r="I393" s="1" t="s">
        <v>54</v>
      </c>
      <c r="J393" s="1">
        <v>2</v>
      </c>
      <c r="K393" s="1">
        <v>2491.0300000000002</v>
      </c>
      <c r="L393" s="1">
        <v>0.05</v>
      </c>
      <c r="M393" s="1">
        <v>4982.0600000000004</v>
      </c>
      <c r="N393" s="1">
        <v>249.10300000000001</v>
      </c>
      <c r="O393" s="1">
        <v>4732.9570000000003</v>
      </c>
      <c r="P393" s="1">
        <v>2745.1150600000001</v>
      </c>
      <c r="Q393" s="1">
        <v>1987.84194</v>
      </c>
      <c r="R393" s="1">
        <v>42.000000000000007</v>
      </c>
      <c r="S393" s="1" t="s">
        <v>73</v>
      </c>
    </row>
    <row r="394" spans="1:19" x14ac:dyDescent="0.35">
      <c r="A394" s="1" t="s">
        <v>690</v>
      </c>
      <c r="B394" s="3">
        <v>45869</v>
      </c>
      <c r="C394" s="1" t="s">
        <v>62</v>
      </c>
      <c r="D394" s="1">
        <v>7</v>
      </c>
      <c r="E394" s="1" t="s">
        <v>142</v>
      </c>
      <c r="F394" s="1" t="s">
        <v>76</v>
      </c>
      <c r="G394" s="1" t="s">
        <v>64</v>
      </c>
      <c r="H394" s="1" t="s">
        <v>31</v>
      </c>
      <c r="I394" s="1" t="s">
        <v>65</v>
      </c>
      <c r="J394" s="1">
        <v>7</v>
      </c>
      <c r="K394" s="1">
        <v>857.59</v>
      </c>
      <c r="L394" s="1">
        <v>0.25</v>
      </c>
      <c r="M394" s="1">
        <v>6003.13</v>
      </c>
      <c r="N394" s="1">
        <v>1500.7825</v>
      </c>
      <c r="O394" s="1">
        <v>4502.3474999999999</v>
      </c>
      <c r="P394" s="1">
        <v>2341.2206999999999</v>
      </c>
      <c r="Q394" s="1">
        <v>2161.1268</v>
      </c>
      <c r="R394" s="1">
        <v>48.000000000000007</v>
      </c>
      <c r="S394" s="1" t="s">
        <v>26</v>
      </c>
    </row>
    <row r="395" spans="1:19" x14ac:dyDescent="0.35">
      <c r="A395" s="1" t="s">
        <v>691</v>
      </c>
      <c r="B395" s="3">
        <v>45947</v>
      </c>
      <c r="C395" s="1" t="s">
        <v>35</v>
      </c>
      <c r="D395" s="1">
        <v>10</v>
      </c>
      <c r="E395" s="1" t="s">
        <v>119</v>
      </c>
      <c r="F395" s="1" t="s">
        <v>47</v>
      </c>
      <c r="G395" s="1" t="s">
        <v>23</v>
      </c>
      <c r="H395" s="1" t="s">
        <v>53</v>
      </c>
      <c r="I395" s="1" t="s">
        <v>54</v>
      </c>
      <c r="J395" s="1">
        <v>5</v>
      </c>
      <c r="K395" s="1">
        <v>1119.45</v>
      </c>
      <c r="L395" s="1">
        <v>0.05</v>
      </c>
      <c r="M395" s="1">
        <v>5597.25</v>
      </c>
      <c r="N395" s="1">
        <v>279.86250000000001</v>
      </c>
      <c r="O395" s="1">
        <v>5317.3874999999998</v>
      </c>
      <c r="P395" s="1">
        <v>3084.08475</v>
      </c>
      <c r="Q395" s="1">
        <v>2233.3027499999998</v>
      </c>
      <c r="R395" s="1">
        <v>42.000000000000007</v>
      </c>
      <c r="S395" s="1" t="s">
        <v>73</v>
      </c>
    </row>
    <row r="396" spans="1:19" x14ac:dyDescent="0.35">
      <c r="A396" s="1" t="s">
        <v>692</v>
      </c>
      <c r="B396" s="3">
        <v>45695</v>
      </c>
      <c r="C396" s="1" t="s">
        <v>42</v>
      </c>
      <c r="D396" s="1">
        <v>2</v>
      </c>
      <c r="E396" s="1" t="s">
        <v>693</v>
      </c>
      <c r="F396" s="1" t="s">
        <v>69</v>
      </c>
      <c r="G396" s="1" t="s">
        <v>23</v>
      </c>
      <c r="H396" s="1" t="s">
        <v>53</v>
      </c>
      <c r="I396" s="1" t="s">
        <v>185</v>
      </c>
      <c r="J396" s="1">
        <v>4</v>
      </c>
      <c r="K396" s="1">
        <v>2338.5100000000002</v>
      </c>
      <c r="L396" s="1">
        <v>0.1</v>
      </c>
      <c r="M396" s="1">
        <v>9354.0400000000009</v>
      </c>
      <c r="N396" s="1">
        <v>935.40400000000011</v>
      </c>
      <c r="O396" s="1">
        <v>8418.6360000000004</v>
      </c>
      <c r="P396" s="1">
        <v>4882.8088799999996</v>
      </c>
      <c r="Q396" s="1">
        <v>3535.8271200000008</v>
      </c>
      <c r="R396" s="1">
        <v>42.000000000000007</v>
      </c>
      <c r="S396" s="1" t="s">
        <v>26</v>
      </c>
    </row>
    <row r="397" spans="1:19" x14ac:dyDescent="0.35">
      <c r="A397" s="1" t="s">
        <v>694</v>
      </c>
      <c r="B397" s="3">
        <v>45895</v>
      </c>
      <c r="C397" s="1" t="s">
        <v>113</v>
      </c>
      <c r="D397" s="1">
        <v>8</v>
      </c>
      <c r="E397" s="1" t="s">
        <v>328</v>
      </c>
      <c r="F397" s="1" t="s">
        <v>43</v>
      </c>
      <c r="G397" s="1" t="s">
        <v>38</v>
      </c>
      <c r="H397" s="1" t="s">
        <v>53</v>
      </c>
      <c r="I397" s="1" t="s">
        <v>185</v>
      </c>
      <c r="J397" s="1">
        <v>6</v>
      </c>
      <c r="K397" s="1">
        <v>990.67</v>
      </c>
      <c r="L397" s="1">
        <v>0.25</v>
      </c>
      <c r="M397" s="1">
        <v>5944.02</v>
      </c>
      <c r="N397" s="1">
        <v>1486.0050000000001</v>
      </c>
      <c r="O397" s="1">
        <v>4458.0149999999994</v>
      </c>
      <c r="P397" s="1">
        <v>2585.6486999999988</v>
      </c>
      <c r="Q397" s="1">
        <v>1872.3662999999999</v>
      </c>
      <c r="R397" s="1">
        <v>42.000000000000007</v>
      </c>
      <c r="S397" s="1" t="s">
        <v>33</v>
      </c>
    </row>
    <row r="398" spans="1:19" x14ac:dyDescent="0.35">
      <c r="A398" s="1" t="s">
        <v>695</v>
      </c>
      <c r="B398" s="3">
        <v>45941</v>
      </c>
      <c r="C398" s="1" t="s">
        <v>35</v>
      </c>
      <c r="D398" s="1">
        <v>10</v>
      </c>
      <c r="E398" s="1" t="s">
        <v>696</v>
      </c>
      <c r="F398" s="1" t="s">
        <v>111</v>
      </c>
      <c r="G398" s="1" t="s">
        <v>23</v>
      </c>
      <c r="H398" s="1" t="s">
        <v>39</v>
      </c>
      <c r="I398" s="1" t="s">
        <v>155</v>
      </c>
      <c r="J398" s="1">
        <v>6</v>
      </c>
      <c r="K398" s="1">
        <v>57009.96</v>
      </c>
      <c r="L398" s="1">
        <v>0</v>
      </c>
      <c r="M398" s="1">
        <v>342059.76</v>
      </c>
      <c r="N398" s="1">
        <v>0</v>
      </c>
      <c r="O398" s="1">
        <v>342059.76</v>
      </c>
      <c r="P398" s="1">
        <v>266806.6128</v>
      </c>
      <c r="Q398" s="1">
        <v>75253.147200000007</v>
      </c>
      <c r="R398" s="1">
        <v>22</v>
      </c>
      <c r="S398" s="1" t="s">
        <v>73</v>
      </c>
    </row>
    <row r="399" spans="1:19" x14ac:dyDescent="0.35">
      <c r="A399" s="1" t="s">
        <v>697</v>
      </c>
      <c r="B399" s="3">
        <v>46020</v>
      </c>
      <c r="C399" s="1" t="s">
        <v>67</v>
      </c>
      <c r="D399" s="1">
        <v>12</v>
      </c>
      <c r="E399" s="1" t="s">
        <v>338</v>
      </c>
      <c r="F399" s="1" t="s">
        <v>111</v>
      </c>
      <c r="G399" s="1" t="s">
        <v>38</v>
      </c>
      <c r="H399" s="1" t="s">
        <v>53</v>
      </c>
      <c r="I399" s="1" t="s">
        <v>72</v>
      </c>
      <c r="J399" s="1">
        <v>4</v>
      </c>
      <c r="K399" s="1">
        <v>2100.7399999999998</v>
      </c>
      <c r="L399" s="1">
        <v>0.1</v>
      </c>
      <c r="M399" s="1">
        <v>8402.9599999999991</v>
      </c>
      <c r="N399" s="1">
        <v>840.29599999999994</v>
      </c>
      <c r="O399" s="1">
        <v>7562.6639999999989</v>
      </c>
      <c r="P399" s="1">
        <v>4386.345119999999</v>
      </c>
      <c r="Q399" s="1">
        <v>3176.3188799999998</v>
      </c>
      <c r="R399" s="1">
        <v>42.000000000000007</v>
      </c>
      <c r="S399" s="1" t="s">
        <v>73</v>
      </c>
    </row>
    <row r="400" spans="1:19" x14ac:dyDescent="0.35">
      <c r="A400" s="1" t="s">
        <v>698</v>
      </c>
      <c r="B400" s="3">
        <v>46011</v>
      </c>
      <c r="C400" s="1" t="s">
        <v>67</v>
      </c>
      <c r="D400" s="1">
        <v>12</v>
      </c>
      <c r="E400" s="1" t="s">
        <v>363</v>
      </c>
      <c r="F400" s="1" t="s">
        <v>22</v>
      </c>
      <c r="G400" s="1" t="s">
        <v>64</v>
      </c>
      <c r="H400" s="1" t="s">
        <v>77</v>
      </c>
      <c r="I400" s="1" t="s">
        <v>90</v>
      </c>
      <c r="J400" s="1">
        <v>3</v>
      </c>
      <c r="K400" s="1">
        <v>738.67</v>
      </c>
      <c r="L400" s="1">
        <v>0.05</v>
      </c>
      <c r="M400" s="1">
        <v>2216.0100000000002</v>
      </c>
      <c r="N400" s="1">
        <v>110.8005</v>
      </c>
      <c r="O400" s="1">
        <v>2105.2094999999999</v>
      </c>
      <c r="P400" s="1">
        <v>1515.7508399999999</v>
      </c>
      <c r="Q400" s="1">
        <v>589.45866000000001</v>
      </c>
      <c r="R400" s="1">
        <v>28</v>
      </c>
      <c r="S400" s="1" t="s">
        <v>33</v>
      </c>
    </row>
    <row r="401" spans="1:19" x14ac:dyDescent="0.35">
      <c r="A401" s="1" t="s">
        <v>699</v>
      </c>
      <c r="B401" s="3">
        <v>45864</v>
      </c>
      <c r="C401" s="1" t="s">
        <v>62</v>
      </c>
      <c r="D401" s="1">
        <v>7</v>
      </c>
      <c r="E401" s="1" t="s">
        <v>439</v>
      </c>
      <c r="F401" s="1" t="s">
        <v>76</v>
      </c>
      <c r="G401" s="1" t="s">
        <v>23</v>
      </c>
      <c r="H401" s="1" t="s">
        <v>39</v>
      </c>
      <c r="I401" s="1" t="s">
        <v>155</v>
      </c>
      <c r="J401" s="1">
        <v>7</v>
      </c>
      <c r="K401" s="1">
        <v>48638.720000000001</v>
      </c>
      <c r="L401" s="1">
        <v>0</v>
      </c>
      <c r="M401" s="1">
        <v>340471.03999999998</v>
      </c>
      <c r="N401" s="1">
        <v>0</v>
      </c>
      <c r="O401" s="1">
        <v>340471.03999999998</v>
      </c>
      <c r="P401" s="1">
        <v>265567.41119999997</v>
      </c>
      <c r="Q401" s="1">
        <v>74903.628800000006</v>
      </c>
      <c r="R401" s="1">
        <v>22</v>
      </c>
      <c r="S401" s="1" t="s">
        <v>93</v>
      </c>
    </row>
    <row r="402" spans="1:19" x14ac:dyDescent="0.35">
      <c r="A402" s="1" t="s">
        <v>700</v>
      </c>
      <c r="B402" s="3">
        <v>45790</v>
      </c>
      <c r="C402" s="1" t="s">
        <v>97</v>
      </c>
      <c r="D402" s="1">
        <v>5</v>
      </c>
      <c r="E402" s="1" t="s">
        <v>701</v>
      </c>
      <c r="F402" s="1" t="s">
        <v>58</v>
      </c>
      <c r="G402" s="1" t="s">
        <v>38</v>
      </c>
      <c r="H402" s="1" t="s">
        <v>39</v>
      </c>
      <c r="I402" s="1" t="s">
        <v>40</v>
      </c>
      <c r="J402" s="1">
        <v>2</v>
      </c>
      <c r="K402" s="1">
        <v>61724.28</v>
      </c>
      <c r="L402" s="1">
        <v>0.15</v>
      </c>
      <c r="M402" s="1">
        <v>123448.56</v>
      </c>
      <c r="N402" s="1">
        <v>18517.284</v>
      </c>
      <c r="O402" s="1">
        <v>104931.276</v>
      </c>
      <c r="P402" s="1">
        <v>81846.395279999997</v>
      </c>
      <c r="Q402" s="1">
        <v>23084.880720000001</v>
      </c>
      <c r="R402" s="1">
        <v>22</v>
      </c>
      <c r="S402" s="1" t="s">
        <v>33</v>
      </c>
    </row>
    <row r="403" spans="1:19" x14ac:dyDescent="0.35">
      <c r="A403" s="1" t="s">
        <v>702</v>
      </c>
      <c r="B403" s="3">
        <v>45726</v>
      </c>
      <c r="C403" s="1" t="s">
        <v>28</v>
      </c>
      <c r="D403" s="1">
        <v>3</v>
      </c>
      <c r="E403" s="1" t="s">
        <v>89</v>
      </c>
      <c r="F403" s="1" t="s">
        <v>22</v>
      </c>
      <c r="G403" s="1" t="s">
        <v>64</v>
      </c>
      <c r="H403" s="1" t="s">
        <v>39</v>
      </c>
      <c r="I403" s="1" t="s">
        <v>155</v>
      </c>
      <c r="J403" s="1">
        <v>4</v>
      </c>
      <c r="K403" s="1">
        <v>60699.98</v>
      </c>
      <c r="L403" s="1">
        <v>0.1</v>
      </c>
      <c r="M403" s="1">
        <v>242799.92</v>
      </c>
      <c r="N403" s="1">
        <v>24279.991999999998</v>
      </c>
      <c r="O403" s="1">
        <v>218519.92800000001</v>
      </c>
      <c r="P403" s="1">
        <v>170445.54384</v>
      </c>
      <c r="Q403" s="1">
        <v>48074.384159999987</v>
      </c>
      <c r="R403" s="1">
        <v>21.999999999999989</v>
      </c>
      <c r="S403" s="1" t="s">
        <v>93</v>
      </c>
    </row>
    <row r="404" spans="1:19" x14ac:dyDescent="0.35">
      <c r="A404" s="1" t="s">
        <v>703</v>
      </c>
      <c r="B404" s="3">
        <v>45976</v>
      </c>
      <c r="C404" s="1" t="s">
        <v>56</v>
      </c>
      <c r="D404" s="1">
        <v>11</v>
      </c>
      <c r="E404" s="1" t="s">
        <v>515</v>
      </c>
      <c r="F404" s="1" t="s">
        <v>22</v>
      </c>
      <c r="G404" s="1" t="s">
        <v>64</v>
      </c>
      <c r="H404" s="1" t="s">
        <v>99</v>
      </c>
      <c r="I404" s="1" t="s">
        <v>108</v>
      </c>
      <c r="J404" s="1">
        <v>4</v>
      </c>
      <c r="K404" s="1">
        <v>22134.31</v>
      </c>
      <c r="L404" s="1">
        <v>0.2</v>
      </c>
      <c r="M404" s="1">
        <v>88537.24</v>
      </c>
      <c r="N404" s="1">
        <v>17707.448</v>
      </c>
      <c r="O404" s="1">
        <v>70829.792000000001</v>
      </c>
      <c r="P404" s="1">
        <v>48164.258560000002</v>
      </c>
      <c r="Q404" s="1">
        <v>22665.533439999999</v>
      </c>
      <c r="R404" s="1">
        <v>32</v>
      </c>
      <c r="S404" s="1" t="s">
        <v>73</v>
      </c>
    </row>
    <row r="405" spans="1:19" x14ac:dyDescent="0.35">
      <c r="A405" s="1" t="s">
        <v>704</v>
      </c>
      <c r="B405" s="3">
        <v>45834</v>
      </c>
      <c r="C405" s="1" t="s">
        <v>82</v>
      </c>
      <c r="D405" s="1">
        <v>6</v>
      </c>
      <c r="E405" s="1" t="s">
        <v>189</v>
      </c>
      <c r="F405" s="1" t="s">
        <v>43</v>
      </c>
      <c r="G405" s="1" t="s">
        <v>23</v>
      </c>
      <c r="H405" s="1" t="s">
        <v>99</v>
      </c>
      <c r="I405" s="1" t="s">
        <v>100</v>
      </c>
      <c r="J405" s="1">
        <v>2</v>
      </c>
      <c r="K405" s="1">
        <v>23675.22</v>
      </c>
      <c r="L405" s="1">
        <v>0.25</v>
      </c>
      <c r="M405" s="1">
        <v>47350.44</v>
      </c>
      <c r="N405" s="1">
        <v>11837.61</v>
      </c>
      <c r="O405" s="1">
        <v>35512.83</v>
      </c>
      <c r="P405" s="1">
        <v>24148.724399999999</v>
      </c>
      <c r="Q405" s="1">
        <v>11364.105600000001</v>
      </c>
      <c r="R405" s="1">
        <v>32</v>
      </c>
      <c r="S405" s="1" t="s">
        <v>93</v>
      </c>
    </row>
    <row r="406" spans="1:19" x14ac:dyDescent="0.35">
      <c r="A406" s="1" t="s">
        <v>705</v>
      </c>
      <c r="B406" s="3">
        <v>45692</v>
      </c>
      <c r="C406" s="1" t="s">
        <v>42</v>
      </c>
      <c r="D406" s="1">
        <v>2</v>
      </c>
      <c r="E406" s="1" t="s">
        <v>297</v>
      </c>
      <c r="F406" s="1" t="s">
        <v>22</v>
      </c>
      <c r="G406" s="1" t="s">
        <v>38</v>
      </c>
      <c r="H406" s="1" t="s">
        <v>77</v>
      </c>
      <c r="I406" s="1" t="s">
        <v>148</v>
      </c>
      <c r="J406" s="1">
        <v>1</v>
      </c>
      <c r="K406" s="1">
        <v>1037.6400000000001</v>
      </c>
      <c r="L406" s="1">
        <v>0.15</v>
      </c>
      <c r="M406" s="1">
        <v>1037.6400000000001</v>
      </c>
      <c r="N406" s="1">
        <v>155.64599999999999</v>
      </c>
      <c r="O406" s="1">
        <v>881.99400000000014</v>
      </c>
      <c r="P406" s="1">
        <v>635.03568000000007</v>
      </c>
      <c r="Q406" s="1">
        <v>246.9583200000001</v>
      </c>
      <c r="R406" s="1">
        <v>28</v>
      </c>
      <c r="S406" s="1" t="s">
        <v>60</v>
      </c>
    </row>
    <row r="407" spans="1:19" x14ac:dyDescent="0.35">
      <c r="A407" s="1" t="s">
        <v>706</v>
      </c>
      <c r="B407" s="3">
        <v>45942</v>
      </c>
      <c r="C407" s="1" t="s">
        <v>35</v>
      </c>
      <c r="D407" s="1">
        <v>10</v>
      </c>
      <c r="E407" s="1" t="s">
        <v>116</v>
      </c>
      <c r="F407" s="1" t="s">
        <v>22</v>
      </c>
      <c r="G407" s="1" t="s">
        <v>64</v>
      </c>
      <c r="H407" s="1" t="s">
        <v>31</v>
      </c>
      <c r="I407" s="1" t="s">
        <v>167</v>
      </c>
      <c r="J407" s="1">
        <v>7</v>
      </c>
      <c r="K407" s="1">
        <v>791.54</v>
      </c>
      <c r="L407" s="1">
        <v>0.15</v>
      </c>
      <c r="M407" s="1">
        <v>5540.78</v>
      </c>
      <c r="N407" s="1">
        <v>831.11699999999996</v>
      </c>
      <c r="O407" s="1">
        <v>4709.6629999999996</v>
      </c>
      <c r="P407" s="1">
        <v>2449.0247599999998</v>
      </c>
      <c r="Q407" s="1">
        <v>2260.6382400000002</v>
      </c>
      <c r="R407" s="1">
        <v>48</v>
      </c>
      <c r="S407" s="1" t="s">
        <v>93</v>
      </c>
    </row>
    <row r="408" spans="1:19" x14ac:dyDescent="0.35">
      <c r="A408" s="1" t="s">
        <v>707</v>
      </c>
      <c r="B408" s="3">
        <v>45791</v>
      </c>
      <c r="C408" s="1" t="s">
        <v>97</v>
      </c>
      <c r="D408" s="1">
        <v>5</v>
      </c>
      <c r="E408" s="1" t="s">
        <v>708</v>
      </c>
      <c r="F408" s="1" t="s">
        <v>37</v>
      </c>
      <c r="G408" s="1" t="s">
        <v>38</v>
      </c>
      <c r="H408" s="1" t="s">
        <v>24</v>
      </c>
      <c r="I408" s="1" t="s">
        <v>44</v>
      </c>
      <c r="J408" s="1">
        <v>2</v>
      </c>
      <c r="K408" s="1">
        <v>2132.33</v>
      </c>
      <c r="L408" s="1">
        <v>0.1</v>
      </c>
      <c r="M408" s="1">
        <v>4264.66</v>
      </c>
      <c r="N408" s="1">
        <v>426.46600000000001</v>
      </c>
      <c r="O408" s="1">
        <v>3838.194</v>
      </c>
      <c r="P408" s="1">
        <v>2111.0066999999999</v>
      </c>
      <c r="Q408" s="1">
        <v>1727.1873000000001</v>
      </c>
      <c r="R408" s="1">
        <v>44.999999999999993</v>
      </c>
      <c r="S408" s="1" t="s">
        <v>73</v>
      </c>
    </row>
    <row r="409" spans="1:19" x14ac:dyDescent="0.35">
      <c r="A409" s="1" t="s">
        <v>709</v>
      </c>
      <c r="B409" s="3">
        <v>45772</v>
      </c>
      <c r="C409" s="1" t="s">
        <v>20</v>
      </c>
      <c r="D409" s="1">
        <v>4</v>
      </c>
      <c r="E409" s="1" t="s">
        <v>710</v>
      </c>
      <c r="F409" s="1" t="s">
        <v>22</v>
      </c>
      <c r="G409" s="1" t="s">
        <v>38</v>
      </c>
      <c r="H409" s="1" t="s">
        <v>24</v>
      </c>
      <c r="I409" s="1" t="s">
        <v>25</v>
      </c>
      <c r="J409" s="1">
        <v>2</v>
      </c>
      <c r="K409" s="1">
        <v>3355.74</v>
      </c>
      <c r="L409" s="1">
        <v>0.15</v>
      </c>
      <c r="M409" s="1">
        <v>6711.48</v>
      </c>
      <c r="N409" s="1">
        <v>1006.722</v>
      </c>
      <c r="O409" s="1">
        <v>5704.7579999999998</v>
      </c>
      <c r="P409" s="1">
        <v>3137.6169</v>
      </c>
      <c r="Q409" s="1">
        <v>2567.1410999999998</v>
      </c>
      <c r="R409" s="1">
        <v>45</v>
      </c>
      <c r="S409" s="1" t="s">
        <v>33</v>
      </c>
    </row>
    <row r="410" spans="1:19" x14ac:dyDescent="0.35">
      <c r="A410" s="1" t="s">
        <v>711</v>
      </c>
      <c r="B410" s="3">
        <v>45809</v>
      </c>
      <c r="C410" s="1" t="s">
        <v>82</v>
      </c>
      <c r="D410" s="1">
        <v>6</v>
      </c>
      <c r="E410" s="1" t="s">
        <v>409</v>
      </c>
      <c r="F410" s="1" t="s">
        <v>69</v>
      </c>
      <c r="G410" s="1" t="s">
        <v>23</v>
      </c>
      <c r="H410" s="1" t="s">
        <v>53</v>
      </c>
      <c r="I410" s="1" t="s">
        <v>54</v>
      </c>
      <c r="J410" s="1">
        <v>5</v>
      </c>
      <c r="K410" s="1">
        <v>1095.3699999999999</v>
      </c>
      <c r="L410" s="1">
        <v>0.2</v>
      </c>
      <c r="M410" s="1">
        <v>5476.8499999999995</v>
      </c>
      <c r="N410" s="1">
        <v>1095.3699999999999</v>
      </c>
      <c r="O410" s="1">
        <v>4381.4799999999996</v>
      </c>
      <c r="P410" s="1">
        <v>2541.2584000000002</v>
      </c>
      <c r="Q410" s="1">
        <v>1840.2216000000001</v>
      </c>
      <c r="R410" s="1">
        <v>42</v>
      </c>
      <c r="S410" s="1" t="s">
        <v>60</v>
      </c>
    </row>
    <row r="411" spans="1:19" x14ac:dyDescent="0.35">
      <c r="A411" s="1" t="s">
        <v>712</v>
      </c>
      <c r="B411" s="3">
        <v>46011</v>
      </c>
      <c r="C411" s="1" t="s">
        <v>67</v>
      </c>
      <c r="D411" s="1">
        <v>12</v>
      </c>
      <c r="E411" s="1" t="s">
        <v>321</v>
      </c>
      <c r="F411" s="1" t="s">
        <v>76</v>
      </c>
      <c r="G411" s="1" t="s">
        <v>64</v>
      </c>
      <c r="H411" s="1" t="s">
        <v>53</v>
      </c>
      <c r="I411" s="1" t="s">
        <v>123</v>
      </c>
      <c r="J411" s="1">
        <v>5</v>
      </c>
      <c r="K411" s="1">
        <v>2189.2600000000002</v>
      </c>
      <c r="L411" s="1">
        <v>0.15</v>
      </c>
      <c r="M411" s="1">
        <v>10946.3</v>
      </c>
      <c r="N411" s="1">
        <v>1641.9449999999999</v>
      </c>
      <c r="O411" s="1">
        <v>9304.3550000000014</v>
      </c>
      <c r="P411" s="1">
        <v>5396.5259000000005</v>
      </c>
      <c r="Q411" s="1">
        <v>3907.8291000000008</v>
      </c>
      <c r="R411" s="1">
        <v>42.000000000000007</v>
      </c>
      <c r="S411" s="1" t="s">
        <v>93</v>
      </c>
    </row>
    <row r="412" spans="1:19" x14ac:dyDescent="0.35">
      <c r="A412" s="1" t="s">
        <v>713</v>
      </c>
      <c r="B412" s="3">
        <v>45952</v>
      </c>
      <c r="C412" s="1" t="s">
        <v>35</v>
      </c>
      <c r="D412" s="1">
        <v>10</v>
      </c>
      <c r="E412" s="1" t="s">
        <v>227</v>
      </c>
      <c r="F412" s="1" t="s">
        <v>37</v>
      </c>
      <c r="G412" s="1" t="s">
        <v>64</v>
      </c>
      <c r="H412" s="1" t="s">
        <v>99</v>
      </c>
      <c r="I412" s="1" t="s">
        <v>120</v>
      </c>
      <c r="J412" s="1">
        <v>1</v>
      </c>
      <c r="K412" s="1">
        <v>7140.67</v>
      </c>
      <c r="L412" s="1">
        <v>0.1</v>
      </c>
      <c r="M412" s="1">
        <v>7140.67</v>
      </c>
      <c r="N412" s="1">
        <v>714.06700000000001</v>
      </c>
      <c r="O412" s="1">
        <v>6426.6030000000001</v>
      </c>
      <c r="P412" s="1">
        <v>4370.09004</v>
      </c>
      <c r="Q412" s="1">
        <v>2056.51296</v>
      </c>
      <c r="R412" s="1">
        <v>32</v>
      </c>
      <c r="S412" s="1" t="s">
        <v>60</v>
      </c>
    </row>
    <row r="413" spans="1:19" x14ac:dyDescent="0.35">
      <c r="A413" s="1" t="s">
        <v>714</v>
      </c>
      <c r="B413" s="3">
        <v>45898</v>
      </c>
      <c r="C413" s="1" t="s">
        <v>113</v>
      </c>
      <c r="D413" s="1">
        <v>8</v>
      </c>
      <c r="E413" s="1" t="s">
        <v>378</v>
      </c>
      <c r="F413" s="1" t="s">
        <v>111</v>
      </c>
      <c r="G413" s="1" t="s">
        <v>38</v>
      </c>
      <c r="H413" s="1" t="s">
        <v>77</v>
      </c>
      <c r="I413" s="1" t="s">
        <v>201</v>
      </c>
      <c r="J413" s="1">
        <v>1</v>
      </c>
      <c r="K413" s="1">
        <v>1035.9100000000001</v>
      </c>
      <c r="L413" s="1">
        <v>0.15</v>
      </c>
      <c r="M413" s="1">
        <v>1035.9100000000001</v>
      </c>
      <c r="N413" s="1">
        <v>155.38650000000001</v>
      </c>
      <c r="O413" s="1">
        <v>880.52350000000001</v>
      </c>
      <c r="P413" s="1">
        <v>633.97691999999995</v>
      </c>
      <c r="Q413" s="1">
        <v>246.54658000000009</v>
      </c>
      <c r="R413" s="1">
        <v>28.000000000000011</v>
      </c>
      <c r="S413" s="1" t="s">
        <v>33</v>
      </c>
    </row>
    <row r="414" spans="1:19" x14ac:dyDescent="0.35">
      <c r="A414" s="1" t="s">
        <v>715</v>
      </c>
      <c r="B414" s="3">
        <v>45801</v>
      </c>
      <c r="C414" s="1" t="s">
        <v>97</v>
      </c>
      <c r="D414" s="1">
        <v>5</v>
      </c>
      <c r="E414" s="1" t="s">
        <v>218</v>
      </c>
      <c r="F414" s="1" t="s">
        <v>43</v>
      </c>
      <c r="G414" s="1" t="s">
        <v>23</v>
      </c>
      <c r="H414" s="1" t="s">
        <v>39</v>
      </c>
      <c r="I414" s="1" t="s">
        <v>87</v>
      </c>
      <c r="J414" s="1">
        <v>6</v>
      </c>
      <c r="K414" s="1">
        <v>49236.29</v>
      </c>
      <c r="L414" s="1">
        <v>0.1</v>
      </c>
      <c r="M414" s="1">
        <v>295417.74</v>
      </c>
      <c r="N414" s="1">
        <v>29541.774000000001</v>
      </c>
      <c r="O414" s="1">
        <v>265875.96600000001</v>
      </c>
      <c r="P414" s="1">
        <v>207383.25348000001</v>
      </c>
      <c r="Q414" s="1">
        <v>58492.712520000001</v>
      </c>
      <c r="R414" s="1">
        <v>22</v>
      </c>
      <c r="S414" s="1" t="s">
        <v>26</v>
      </c>
    </row>
    <row r="415" spans="1:19" x14ac:dyDescent="0.35">
      <c r="A415" s="1" t="s">
        <v>716</v>
      </c>
      <c r="B415" s="3">
        <v>46021</v>
      </c>
      <c r="C415" s="1" t="s">
        <v>67</v>
      </c>
      <c r="D415" s="1">
        <v>12</v>
      </c>
      <c r="E415" s="1" t="s">
        <v>105</v>
      </c>
      <c r="F415" s="1" t="s">
        <v>47</v>
      </c>
      <c r="G415" s="1" t="s">
        <v>64</v>
      </c>
      <c r="H415" s="1" t="s">
        <v>53</v>
      </c>
      <c r="I415" s="1" t="s">
        <v>123</v>
      </c>
      <c r="J415" s="1">
        <v>6</v>
      </c>
      <c r="K415" s="1">
        <v>1999.74</v>
      </c>
      <c r="L415" s="1">
        <v>0.1</v>
      </c>
      <c r="M415" s="1">
        <v>11998.44</v>
      </c>
      <c r="N415" s="1">
        <v>1199.8440000000001</v>
      </c>
      <c r="O415" s="1">
        <v>10798.596</v>
      </c>
      <c r="P415" s="1">
        <v>6263.1856800000014</v>
      </c>
      <c r="Q415" s="1">
        <v>4535.4103200000009</v>
      </c>
      <c r="R415" s="1">
        <v>42.000000000000007</v>
      </c>
      <c r="S415" s="1" t="s">
        <v>26</v>
      </c>
    </row>
    <row r="416" spans="1:19" x14ac:dyDescent="0.35">
      <c r="A416" s="1" t="s">
        <v>717</v>
      </c>
      <c r="B416" s="3">
        <v>45796</v>
      </c>
      <c r="C416" s="1" t="s">
        <v>97</v>
      </c>
      <c r="D416" s="1">
        <v>5</v>
      </c>
      <c r="E416" s="1" t="s">
        <v>465</v>
      </c>
      <c r="F416" s="1" t="s">
        <v>47</v>
      </c>
      <c r="G416" s="1" t="s">
        <v>23</v>
      </c>
      <c r="H416" s="1" t="s">
        <v>31</v>
      </c>
      <c r="I416" s="1" t="s">
        <v>59</v>
      </c>
      <c r="J416" s="1">
        <v>6</v>
      </c>
      <c r="K416" s="1">
        <v>1479.83</v>
      </c>
      <c r="L416" s="1">
        <v>0.2</v>
      </c>
      <c r="M416" s="1">
        <v>8878.98</v>
      </c>
      <c r="N416" s="1">
        <v>1775.796</v>
      </c>
      <c r="O416" s="1">
        <v>7103.1839999999993</v>
      </c>
      <c r="P416" s="1">
        <v>3693.6556799999998</v>
      </c>
      <c r="Q416" s="1">
        <v>3409.528319999999</v>
      </c>
      <c r="R416" s="1">
        <v>48</v>
      </c>
      <c r="S416" s="1" t="s">
        <v>60</v>
      </c>
    </row>
    <row r="417" spans="1:19" x14ac:dyDescent="0.35">
      <c r="A417" s="1" t="s">
        <v>718</v>
      </c>
      <c r="B417" s="3">
        <v>46017</v>
      </c>
      <c r="C417" s="1" t="s">
        <v>67</v>
      </c>
      <c r="D417" s="1">
        <v>12</v>
      </c>
      <c r="E417" s="1" t="s">
        <v>719</v>
      </c>
      <c r="F417" s="1" t="s">
        <v>47</v>
      </c>
      <c r="G417" s="1" t="s">
        <v>23</v>
      </c>
      <c r="H417" s="1" t="s">
        <v>24</v>
      </c>
      <c r="I417" s="1" t="s">
        <v>139</v>
      </c>
      <c r="J417" s="1">
        <v>7</v>
      </c>
      <c r="K417" s="1">
        <v>866.11</v>
      </c>
      <c r="L417" s="1">
        <v>0.15</v>
      </c>
      <c r="M417" s="1">
        <v>6062.77</v>
      </c>
      <c r="N417" s="1">
        <v>909.41550000000007</v>
      </c>
      <c r="O417" s="1">
        <v>5153.3545000000004</v>
      </c>
      <c r="P417" s="1">
        <v>2834.344975</v>
      </c>
      <c r="Q417" s="1">
        <v>2319.0095249999999</v>
      </c>
      <c r="R417" s="1">
        <v>44.999999999999993</v>
      </c>
      <c r="S417" s="1" t="s">
        <v>93</v>
      </c>
    </row>
    <row r="418" spans="1:19" x14ac:dyDescent="0.35">
      <c r="A418" s="1" t="s">
        <v>720</v>
      </c>
      <c r="B418" s="3">
        <v>45992</v>
      </c>
      <c r="C418" s="1" t="s">
        <v>67</v>
      </c>
      <c r="D418" s="1">
        <v>12</v>
      </c>
      <c r="E418" s="1" t="s">
        <v>721</v>
      </c>
      <c r="F418" s="1" t="s">
        <v>52</v>
      </c>
      <c r="G418" s="1" t="s">
        <v>23</v>
      </c>
      <c r="H418" s="1" t="s">
        <v>24</v>
      </c>
      <c r="I418" s="1" t="s">
        <v>25</v>
      </c>
      <c r="J418" s="1">
        <v>5</v>
      </c>
      <c r="K418" s="1">
        <v>3574.83</v>
      </c>
      <c r="L418" s="1">
        <v>0.1</v>
      </c>
      <c r="M418" s="1">
        <v>17874.150000000001</v>
      </c>
      <c r="N418" s="1">
        <v>1787.415</v>
      </c>
      <c r="O418" s="1">
        <v>16086.735000000001</v>
      </c>
      <c r="P418" s="1">
        <v>8847.7042500000007</v>
      </c>
      <c r="Q418" s="1">
        <v>7239.0307499999999</v>
      </c>
      <c r="R418" s="1">
        <v>44.999999999999993</v>
      </c>
      <c r="S418" s="1" t="s">
        <v>33</v>
      </c>
    </row>
    <row r="419" spans="1:19" x14ac:dyDescent="0.35">
      <c r="A419" s="1" t="s">
        <v>722</v>
      </c>
      <c r="B419" s="3">
        <v>45717</v>
      </c>
      <c r="C419" s="1" t="s">
        <v>28</v>
      </c>
      <c r="D419" s="1">
        <v>3</v>
      </c>
      <c r="E419" s="1" t="s">
        <v>723</v>
      </c>
      <c r="F419" s="1" t="s">
        <v>47</v>
      </c>
      <c r="G419" s="1" t="s">
        <v>23</v>
      </c>
      <c r="H419" s="1" t="s">
        <v>24</v>
      </c>
      <c r="I419" s="1" t="s">
        <v>117</v>
      </c>
      <c r="J419" s="1">
        <v>3</v>
      </c>
      <c r="K419" s="1">
        <v>4112.01</v>
      </c>
      <c r="L419" s="1">
        <v>0.15</v>
      </c>
      <c r="M419" s="1">
        <v>12336.03</v>
      </c>
      <c r="N419" s="1">
        <v>1850.4045000000001</v>
      </c>
      <c r="O419" s="1">
        <v>10485.6255</v>
      </c>
      <c r="P419" s="1">
        <v>5767.0940250000003</v>
      </c>
      <c r="Q419" s="1">
        <v>4718.5314749999998</v>
      </c>
      <c r="R419" s="1">
        <v>44.999999999999993</v>
      </c>
      <c r="S419" s="1" t="s">
        <v>60</v>
      </c>
    </row>
    <row r="420" spans="1:19" x14ac:dyDescent="0.35">
      <c r="A420" s="1" t="s">
        <v>724</v>
      </c>
      <c r="B420" s="3">
        <v>46005</v>
      </c>
      <c r="C420" s="1" t="s">
        <v>67</v>
      </c>
      <c r="D420" s="1">
        <v>12</v>
      </c>
      <c r="E420" s="1" t="s">
        <v>181</v>
      </c>
      <c r="F420" s="1" t="s">
        <v>43</v>
      </c>
      <c r="G420" s="1" t="s">
        <v>23</v>
      </c>
      <c r="H420" s="1" t="s">
        <v>24</v>
      </c>
      <c r="I420" s="1" t="s">
        <v>44</v>
      </c>
      <c r="J420" s="1">
        <v>2</v>
      </c>
      <c r="K420" s="1">
        <v>4750.45</v>
      </c>
      <c r="L420" s="1">
        <v>0.1</v>
      </c>
      <c r="M420" s="1">
        <v>9500.9</v>
      </c>
      <c r="N420" s="1">
        <v>950.09</v>
      </c>
      <c r="O420" s="1">
        <v>8550.81</v>
      </c>
      <c r="P420" s="1">
        <v>4702.9454999999998</v>
      </c>
      <c r="Q420" s="1">
        <v>3847.8645000000001</v>
      </c>
      <c r="R420" s="1">
        <v>45</v>
      </c>
      <c r="S420" s="1" t="s">
        <v>93</v>
      </c>
    </row>
    <row r="421" spans="1:19" x14ac:dyDescent="0.35">
      <c r="A421" s="1" t="s">
        <v>725</v>
      </c>
      <c r="B421" s="3">
        <v>45975</v>
      </c>
      <c r="C421" s="1" t="s">
        <v>56</v>
      </c>
      <c r="D421" s="1">
        <v>11</v>
      </c>
      <c r="E421" s="1" t="s">
        <v>726</v>
      </c>
      <c r="F421" s="1" t="s">
        <v>22</v>
      </c>
      <c r="G421" s="1" t="s">
        <v>64</v>
      </c>
      <c r="H421" s="1" t="s">
        <v>99</v>
      </c>
      <c r="I421" s="1" t="s">
        <v>108</v>
      </c>
      <c r="J421" s="1">
        <v>4</v>
      </c>
      <c r="K421" s="1">
        <v>5657.3</v>
      </c>
      <c r="L421" s="1">
        <v>0.15</v>
      </c>
      <c r="M421" s="1">
        <v>22629.200000000001</v>
      </c>
      <c r="N421" s="1">
        <v>3394.38</v>
      </c>
      <c r="O421" s="1">
        <v>19234.82</v>
      </c>
      <c r="P421" s="1">
        <v>13079.677600000001</v>
      </c>
      <c r="Q421" s="1">
        <v>6155.1423999999988</v>
      </c>
      <c r="R421" s="1">
        <v>32</v>
      </c>
      <c r="S421" s="1" t="s">
        <v>93</v>
      </c>
    </row>
    <row r="422" spans="1:19" x14ac:dyDescent="0.35">
      <c r="A422" s="1" t="s">
        <v>727</v>
      </c>
      <c r="B422" s="3">
        <v>45872</v>
      </c>
      <c r="C422" s="1" t="s">
        <v>113</v>
      </c>
      <c r="D422" s="1">
        <v>8</v>
      </c>
      <c r="E422" s="1" t="s">
        <v>578</v>
      </c>
      <c r="F422" s="1" t="s">
        <v>52</v>
      </c>
      <c r="G422" s="1" t="s">
        <v>23</v>
      </c>
      <c r="H422" s="1" t="s">
        <v>53</v>
      </c>
      <c r="I422" s="1" t="s">
        <v>54</v>
      </c>
      <c r="J422" s="1">
        <v>5</v>
      </c>
      <c r="K422" s="1">
        <v>1669.92</v>
      </c>
      <c r="L422" s="1">
        <v>0.25</v>
      </c>
      <c r="M422" s="1">
        <v>8349.6</v>
      </c>
      <c r="N422" s="1">
        <v>2087.4</v>
      </c>
      <c r="O422" s="1">
        <v>6262.2000000000007</v>
      </c>
      <c r="P422" s="1">
        <v>3632.076</v>
      </c>
      <c r="Q422" s="1">
        <v>2630.1240000000012</v>
      </c>
      <c r="R422" s="1">
        <v>42.000000000000007</v>
      </c>
      <c r="S422" s="1" t="s">
        <v>33</v>
      </c>
    </row>
    <row r="423" spans="1:19" x14ac:dyDescent="0.35">
      <c r="A423" s="1" t="s">
        <v>728</v>
      </c>
      <c r="B423" s="3">
        <v>45827</v>
      </c>
      <c r="C423" s="1" t="s">
        <v>82</v>
      </c>
      <c r="D423" s="1">
        <v>6</v>
      </c>
      <c r="E423" s="1" t="s">
        <v>729</v>
      </c>
      <c r="F423" s="1" t="s">
        <v>43</v>
      </c>
      <c r="G423" s="1" t="s">
        <v>64</v>
      </c>
      <c r="H423" s="1" t="s">
        <v>31</v>
      </c>
      <c r="I423" s="1" t="s">
        <v>190</v>
      </c>
      <c r="J423" s="1">
        <v>5</v>
      </c>
      <c r="K423" s="1">
        <v>2552.17</v>
      </c>
      <c r="L423" s="1">
        <v>0.1</v>
      </c>
      <c r="M423" s="1">
        <v>12760.85</v>
      </c>
      <c r="N423" s="1">
        <v>1276.085</v>
      </c>
      <c r="O423" s="1">
        <v>11484.764999999999</v>
      </c>
      <c r="P423" s="1">
        <v>5972.0778</v>
      </c>
      <c r="Q423" s="1">
        <v>5512.6871999999994</v>
      </c>
      <c r="R423" s="1">
        <v>48</v>
      </c>
      <c r="S423" s="1" t="s">
        <v>73</v>
      </c>
    </row>
    <row r="424" spans="1:19" x14ac:dyDescent="0.35">
      <c r="A424" s="1" t="s">
        <v>730</v>
      </c>
      <c r="B424" s="3">
        <v>45751</v>
      </c>
      <c r="C424" s="1" t="s">
        <v>20</v>
      </c>
      <c r="D424" s="1">
        <v>4</v>
      </c>
      <c r="E424" s="1" t="s">
        <v>731</v>
      </c>
      <c r="F424" s="1" t="s">
        <v>37</v>
      </c>
      <c r="G424" s="1" t="s">
        <v>23</v>
      </c>
      <c r="H424" s="1" t="s">
        <v>77</v>
      </c>
      <c r="I424" s="1" t="s">
        <v>201</v>
      </c>
      <c r="J424" s="1">
        <v>4</v>
      </c>
      <c r="K424" s="1">
        <v>883</v>
      </c>
      <c r="L424" s="1">
        <v>0.15</v>
      </c>
      <c r="M424" s="1">
        <v>3532</v>
      </c>
      <c r="N424" s="1">
        <v>529.79999999999995</v>
      </c>
      <c r="O424" s="1">
        <v>3002.2</v>
      </c>
      <c r="P424" s="1">
        <v>2161.5839999999998</v>
      </c>
      <c r="Q424" s="1">
        <v>840.61599999999999</v>
      </c>
      <c r="R424" s="1">
        <v>28</v>
      </c>
      <c r="S424" s="1" t="s">
        <v>33</v>
      </c>
    </row>
    <row r="425" spans="1:19" x14ac:dyDescent="0.35">
      <c r="A425" s="1" t="s">
        <v>732</v>
      </c>
      <c r="B425" s="3">
        <v>46003</v>
      </c>
      <c r="C425" s="1" t="s">
        <v>67</v>
      </c>
      <c r="D425" s="1">
        <v>12</v>
      </c>
      <c r="E425" s="1" t="s">
        <v>633</v>
      </c>
      <c r="F425" s="1" t="s">
        <v>43</v>
      </c>
      <c r="G425" s="1" t="s">
        <v>38</v>
      </c>
      <c r="H425" s="1" t="s">
        <v>99</v>
      </c>
      <c r="I425" s="1" t="s">
        <v>100</v>
      </c>
      <c r="J425" s="1">
        <v>6</v>
      </c>
      <c r="K425" s="1">
        <v>20415.43</v>
      </c>
      <c r="L425" s="1">
        <v>0.05</v>
      </c>
      <c r="M425" s="1">
        <v>122492.58</v>
      </c>
      <c r="N425" s="1">
        <v>6124.6290000000008</v>
      </c>
      <c r="O425" s="1">
        <v>116367.951</v>
      </c>
      <c r="P425" s="1">
        <v>79130.206680000003</v>
      </c>
      <c r="Q425" s="1">
        <v>37237.744319999998</v>
      </c>
      <c r="R425" s="1">
        <v>32</v>
      </c>
      <c r="S425" s="1" t="s">
        <v>26</v>
      </c>
    </row>
    <row r="426" spans="1:19" x14ac:dyDescent="0.35">
      <c r="A426" s="1" t="s">
        <v>733</v>
      </c>
      <c r="B426" s="3">
        <v>45879</v>
      </c>
      <c r="C426" s="1" t="s">
        <v>113</v>
      </c>
      <c r="D426" s="1">
        <v>8</v>
      </c>
      <c r="E426" s="1" t="s">
        <v>450</v>
      </c>
      <c r="F426" s="1" t="s">
        <v>58</v>
      </c>
      <c r="G426" s="1" t="s">
        <v>38</v>
      </c>
      <c r="H426" s="1" t="s">
        <v>31</v>
      </c>
      <c r="I426" s="1" t="s">
        <v>32</v>
      </c>
      <c r="J426" s="1">
        <v>1</v>
      </c>
      <c r="K426" s="1">
        <v>1944.79</v>
      </c>
      <c r="L426" s="1">
        <v>0.2</v>
      </c>
      <c r="M426" s="1">
        <v>1944.79</v>
      </c>
      <c r="N426" s="1">
        <v>388.95800000000003</v>
      </c>
      <c r="O426" s="1">
        <v>1555.8320000000001</v>
      </c>
      <c r="P426" s="1">
        <v>809.03264000000001</v>
      </c>
      <c r="Q426" s="1">
        <v>746.79935999999987</v>
      </c>
      <c r="R426" s="1">
        <v>47.999999999999993</v>
      </c>
      <c r="S426" s="1" t="s">
        <v>93</v>
      </c>
    </row>
    <row r="427" spans="1:19" x14ac:dyDescent="0.35">
      <c r="A427" s="1" t="s">
        <v>734</v>
      </c>
      <c r="B427" s="3">
        <v>45864</v>
      </c>
      <c r="C427" s="1" t="s">
        <v>62</v>
      </c>
      <c r="D427" s="1">
        <v>7</v>
      </c>
      <c r="E427" s="1" t="s">
        <v>154</v>
      </c>
      <c r="F427" s="1" t="s">
        <v>76</v>
      </c>
      <c r="G427" s="1" t="s">
        <v>64</v>
      </c>
      <c r="H427" s="1" t="s">
        <v>24</v>
      </c>
      <c r="I427" s="1" t="s">
        <v>139</v>
      </c>
      <c r="J427" s="1">
        <v>7</v>
      </c>
      <c r="K427" s="1">
        <v>5908.18</v>
      </c>
      <c r="L427" s="1">
        <v>0.2</v>
      </c>
      <c r="M427" s="1">
        <v>41357.26</v>
      </c>
      <c r="N427" s="1">
        <v>8271.4520000000011</v>
      </c>
      <c r="O427" s="1">
        <v>33085.807999999997</v>
      </c>
      <c r="P427" s="1">
        <v>18197.1944</v>
      </c>
      <c r="Q427" s="1">
        <v>14888.613600000001</v>
      </c>
      <c r="R427" s="1">
        <v>44.999999999999993</v>
      </c>
      <c r="S427" s="1" t="s">
        <v>93</v>
      </c>
    </row>
    <row r="428" spans="1:19" x14ac:dyDescent="0.35">
      <c r="A428" s="1" t="s">
        <v>735</v>
      </c>
      <c r="B428" s="3">
        <v>45753</v>
      </c>
      <c r="C428" s="1" t="s">
        <v>20</v>
      </c>
      <c r="D428" s="1">
        <v>4</v>
      </c>
      <c r="E428" s="1" t="s">
        <v>331</v>
      </c>
      <c r="F428" s="1" t="s">
        <v>52</v>
      </c>
      <c r="G428" s="1" t="s">
        <v>64</v>
      </c>
      <c r="H428" s="1" t="s">
        <v>53</v>
      </c>
      <c r="I428" s="1" t="s">
        <v>128</v>
      </c>
      <c r="J428" s="1">
        <v>7</v>
      </c>
      <c r="K428" s="1">
        <v>1437.61</v>
      </c>
      <c r="L428" s="1">
        <v>0</v>
      </c>
      <c r="M428" s="1">
        <v>10063.27</v>
      </c>
      <c r="N428" s="1">
        <v>0</v>
      </c>
      <c r="O428" s="1">
        <v>10063.27</v>
      </c>
      <c r="P428" s="1">
        <v>5836.6965999999984</v>
      </c>
      <c r="Q428" s="1">
        <v>4226.5734000000002</v>
      </c>
      <c r="R428" s="1">
        <v>42.000000000000007</v>
      </c>
      <c r="S428" s="1" t="s">
        <v>93</v>
      </c>
    </row>
    <row r="429" spans="1:19" x14ac:dyDescent="0.35">
      <c r="A429" s="1" t="s">
        <v>736</v>
      </c>
      <c r="B429" s="3">
        <v>45761</v>
      </c>
      <c r="C429" s="1" t="s">
        <v>20</v>
      </c>
      <c r="D429" s="1">
        <v>4</v>
      </c>
      <c r="E429" s="1" t="s">
        <v>272</v>
      </c>
      <c r="F429" s="1" t="s">
        <v>52</v>
      </c>
      <c r="G429" s="1" t="s">
        <v>38</v>
      </c>
      <c r="H429" s="1" t="s">
        <v>31</v>
      </c>
      <c r="I429" s="1" t="s">
        <v>59</v>
      </c>
      <c r="J429" s="1">
        <v>6</v>
      </c>
      <c r="K429" s="1">
        <v>511.28</v>
      </c>
      <c r="L429" s="1">
        <v>0.15</v>
      </c>
      <c r="M429" s="1">
        <v>3067.68</v>
      </c>
      <c r="N429" s="1">
        <v>460.15199999999999</v>
      </c>
      <c r="O429" s="1">
        <v>2607.5279999999998</v>
      </c>
      <c r="P429" s="1">
        <v>1355.9145599999999</v>
      </c>
      <c r="Q429" s="1">
        <v>1251.6134400000001</v>
      </c>
      <c r="R429" s="1">
        <v>48</v>
      </c>
      <c r="S429" s="1" t="s">
        <v>33</v>
      </c>
    </row>
    <row r="430" spans="1:19" x14ac:dyDescent="0.35">
      <c r="A430" s="1" t="s">
        <v>737</v>
      </c>
      <c r="B430" s="3">
        <v>45956</v>
      </c>
      <c r="C430" s="1" t="s">
        <v>35</v>
      </c>
      <c r="D430" s="1">
        <v>10</v>
      </c>
      <c r="E430" s="1" t="s">
        <v>346</v>
      </c>
      <c r="F430" s="1" t="s">
        <v>76</v>
      </c>
      <c r="G430" s="1" t="s">
        <v>38</v>
      </c>
      <c r="H430" s="1" t="s">
        <v>31</v>
      </c>
      <c r="I430" s="1" t="s">
        <v>59</v>
      </c>
      <c r="J430" s="1">
        <v>7</v>
      </c>
      <c r="K430" s="1">
        <v>2844.45</v>
      </c>
      <c r="L430" s="1">
        <v>0.15</v>
      </c>
      <c r="M430" s="1">
        <v>19911.150000000001</v>
      </c>
      <c r="N430" s="1">
        <v>2986.6725000000001</v>
      </c>
      <c r="O430" s="1">
        <v>16924.477500000001</v>
      </c>
      <c r="P430" s="1">
        <v>8800.7282999999989</v>
      </c>
      <c r="Q430" s="1">
        <v>8123.7491999999984</v>
      </c>
      <c r="R430" s="1">
        <v>48</v>
      </c>
      <c r="S430" s="1" t="s">
        <v>26</v>
      </c>
    </row>
    <row r="431" spans="1:19" x14ac:dyDescent="0.35">
      <c r="A431" s="1" t="s">
        <v>738</v>
      </c>
      <c r="B431" s="3">
        <v>45844</v>
      </c>
      <c r="C431" s="1" t="s">
        <v>62</v>
      </c>
      <c r="D431" s="1">
        <v>7</v>
      </c>
      <c r="E431" s="1" t="s">
        <v>285</v>
      </c>
      <c r="F431" s="1" t="s">
        <v>52</v>
      </c>
      <c r="G431" s="1" t="s">
        <v>23</v>
      </c>
      <c r="H431" s="1" t="s">
        <v>31</v>
      </c>
      <c r="I431" s="1" t="s">
        <v>32</v>
      </c>
      <c r="J431" s="1">
        <v>3</v>
      </c>
      <c r="K431" s="1">
        <v>1539.84</v>
      </c>
      <c r="L431" s="1">
        <v>0</v>
      </c>
      <c r="M431" s="1">
        <v>4619.5200000000004</v>
      </c>
      <c r="N431" s="1">
        <v>0</v>
      </c>
      <c r="O431" s="1">
        <v>4619.5200000000004</v>
      </c>
      <c r="P431" s="1">
        <v>2402.1504</v>
      </c>
      <c r="Q431" s="1">
        <v>2217.3696</v>
      </c>
      <c r="R431" s="1">
        <v>47.999999999999993</v>
      </c>
      <c r="S431" s="1" t="s">
        <v>60</v>
      </c>
    </row>
    <row r="432" spans="1:19" x14ac:dyDescent="0.35">
      <c r="A432" s="1" t="s">
        <v>739</v>
      </c>
      <c r="B432" s="3">
        <v>46013</v>
      </c>
      <c r="C432" s="1" t="s">
        <v>67</v>
      </c>
      <c r="D432" s="1">
        <v>12</v>
      </c>
      <c r="E432" s="1" t="s">
        <v>513</v>
      </c>
      <c r="F432" s="1" t="s">
        <v>37</v>
      </c>
      <c r="G432" s="1" t="s">
        <v>38</v>
      </c>
      <c r="H432" s="1" t="s">
        <v>53</v>
      </c>
      <c r="I432" s="1" t="s">
        <v>185</v>
      </c>
      <c r="J432" s="1">
        <v>2</v>
      </c>
      <c r="K432" s="1">
        <v>1452.15</v>
      </c>
      <c r="L432" s="1">
        <v>0.15</v>
      </c>
      <c r="M432" s="1">
        <v>2904.3</v>
      </c>
      <c r="N432" s="1">
        <v>435.64499999999998</v>
      </c>
      <c r="O432" s="1">
        <v>2468.6550000000002</v>
      </c>
      <c r="P432" s="1">
        <v>1431.8199</v>
      </c>
      <c r="Q432" s="1">
        <v>1036.8351</v>
      </c>
      <c r="R432" s="1">
        <v>42.000000000000007</v>
      </c>
      <c r="S432" s="1" t="s">
        <v>33</v>
      </c>
    </row>
    <row r="433" spans="1:19" x14ac:dyDescent="0.35">
      <c r="A433" s="1" t="s">
        <v>740</v>
      </c>
      <c r="B433" s="3">
        <v>45718</v>
      </c>
      <c r="C433" s="1" t="s">
        <v>28</v>
      </c>
      <c r="D433" s="1">
        <v>3</v>
      </c>
      <c r="E433" s="1" t="s">
        <v>509</v>
      </c>
      <c r="F433" s="1" t="s">
        <v>43</v>
      </c>
      <c r="G433" s="1" t="s">
        <v>38</v>
      </c>
      <c r="H433" s="1" t="s">
        <v>31</v>
      </c>
      <c r="I433" s="1" t="s">
        <v>190</v>
      </c>
      <c r="J433" s="1">
        <v>7</v>
      </c>
      <c r="K433" s="1">
        <v>2618.91</v>
      </c>
      <c r="L433" s="1">
        <v>0.15</v>
      </c>
      <c r="M433" s="1">
        <v>18332.37</v>
      </c>
      <c r="N433" s="1">
        <v>2749.8555000000001</v>
      </c>
      <c r="O433" s="1">
        <v>15582.514499999999</v>
      </c>
      <c r="P433" s="1">
        <v>8102.9075400000002</v>
      </c>
      <c r="Q433" s="1">
        <v>7479.6069599999992</v>
      </c>
      <c r="R433" s="1">
        <v>48</v>
      </c>
      <c r="S433" s="1" t="s">
        <v>73</v>
      </c>
    </row>
    <row r="434" spans="1:19" x14ac:dyDescent="0.35">
      <c r="A434" s="1" t="s">
        <v>741</v>
      </c>
      <c r="B434" s="3">
        <v>45840</v>
      </c>
      <c r="C434" s="1" t="s">
        <v>62</v>
      </c>
      <c r="D434" s="1">
        <v>7</v>
      </c>
      <c r="E434" s="1" t="s">
        <v>269</v>
      </c>
      <c r="F434" s="1" t="s">
        <v>47</v>
      </c>
      <c r="G434" s="1" t="s">
        <v>23</v>
      </c>
      <c r="H434" s="1" t="s">
        <v>24</v>
      </c>
      <c r="I434" s="1" t="s">
        <v>117</v>
      </c>
      <c r="J434" s="1">
        <v>5</v>
      </c>
      <c r="K434" s="1">
        <v>3981.9</v>
      </c>
      <c r="L434" s="1">
        <v>0.1</v>
      </c>
      <c r="M434" s="1">
        <v>19909.5</v>
      </c>
      <c r="N434" s="1">
        <v>1990.95</v>
      </c>
      <c r="O434" s="1">
        <v>17918.55</v>
      </c>
      <c r="P434" s="1">
        <v>9855.2025000000012</v>
      </c>
      <c r="Q434" s="1">
        <v>8063.347499999998</v>
      </c>
      <c r="R434" s="1">
        <v>44.999999999999993</v>
      </c>
      <c r="S434" s="1" t="s">
        <v>73</v>
      </c>
    </row>
    <row r="435" spans="1:19" x14ac:dyDescent="0.35">
      <c r="A435" s="1" t="s">
        <v>742</v>
      </c>
      <c r="B435" s="3">
        <v>45823</v>
      </c>
      <c r="C435" s="1" t="s">
        <v>82</v>
      </c>
      <c r="D435" s="1">
        <v>6</v>
      </c>
      <c r="E435" s="1" t="s">
        <v>743</v>
      </c>
      <c r="F435" s="1" t="s">
        <v>22</v>
      </c>
      <c r="G435" s="1" t="s">
        <v>23</v>
      </c>
      <c r="H435" s="1" t="s">
        <v>39</v>
      </c>
      <c r="I435" s="1" t="s">
        <v>214</v>
      </c>
      <c r="J435" s="1">
        <v>6</v>
      </c>
      <c r="K435" s="1">
        <v>11040.84</v>
      </c>
      <c r="L435" s="1">
        <v>0.1</v>
      </c>
      <c r="M435" s="1">
        <v>66245.040000000008</v>
      </c>
      <c r="N435" s="1">
        <v>6624.5040000000008</v>
      </c>
      <c r="O435" s="1">
        <v>59620.536000000007</v>
      </c>
      <c r="P435" s="1">
        <v>46504.018080000009</v>
      </c>
      <c r="Q435" s="1">
        <v>13116.51792</v>
      </c>
      <c r="R435" s="1">
        <v>21.999999999999989</v>
      </c>
      <c r="S435" s="1" t="s">
        <v>26</v>
      </c>
    </row>
    <row r="436" spans="1:19" x14ac:dyDescent="0.35">
      <c r="A436" s="1" t="s">
        <v>744</v>
      </c>
      <c r="B436" s="3">
        <v>45934</v>
      </c>
      <c r="C436" s="1" t="s">
        <v>35</v>
      </c>
      <c r="D436" s="1">
        <v>10</v>
      </c>
      <c r="E436" s="1" t="s">
        <v>272</v>
      </c>
      <c r="F436" s="1" t="s">
        <v>37</v>
      </c>
      <c r="G436" s="1" t="s">
        <v>23</v>
      </c>
      <c r="H436" s="1" t="s">
        <v>24</v>
      </c>
      <c r="I436" s="1" t="s">
        <v>25</v>
      </c>
      <c r="J436" s="1">
        <v>5</v>
      </c>
      <c r="K436" s="1">
        <v>799.15</v>
      </c>
      <c r="L436" s="1">
        <v>0.15</v>
      </c>
      <c r="M436" s="1">
        <v>3995.75</v>
      </c>
      <c r="N436" s="1">
        <v>599.36249999999995</v>
      </c>
      <c r="O436" s="1">
        <v>3396.3874999999998</v>
      </c>
      <c r="P436" s="1">
        <v>1868.0131249999999</v>
      </c>
      <c r="Q436" s="1">
        <v>1528.3743750000001</v>
      </c>
      <c r="R436" s="1">
        <v>45</v>
      </c>
      <c r="S436" s="1" t="s">
        <v>60</v>
      </c>
    </row>
    <row r="437" spans="1:19" x14ac:dyDescent="0.35">
      <c r="A437" s="1" t="s">
        <v>745</v>
      </c>
      <c r="B437" s="3">
        <v>45721</v>
      </c>
      <c r="C437" s="1" t="s">
        <v>28</v>
      </c>
      <c r="D437" s="1">
        <v>3</v>
      </c>
      <c r="E437" s="1" t="s">
        <v>363</v>
      </c>
      <c r="F437" s="1" t="s">
        <v>47</v>
      </c>
      <c r="G437" s="1" t="s">
        <v>38</v>
      </c>
      <c r="H437" s="1" t="s">
        <v>24</v>
      </c>
      <c r="I437" s="1" t="s">
        <v>117</v>
      </c>
      <c r="J437" s="1">
        <v>1</v>
      </c>
      <c r="K437" s="1">
        <v>1486.46</v>
      </c>
      <c r="L437" s="1">
        <v>0.15</v>
      </c>
      <c r="M437" s="1">
        <v>1486.46</v>
      </c>
      <c r="N437" s="1">
        <v>222.96899999999999</v>
      </c>
      <c r="O437" s="1">
        <v>1263.491</v>
      </c>
      <c r="P437" s="1">
        <v>694.92005000000006</v>
      </c>
      <c r="Q437" s="1">
        <v>568.57094999999993</v>
      </c>
      <c r="R437" s="1">
        <v>44.999999999999993</v>
      </c>
      <c r="S437" s="1" t="s">
        <v>93</v>
      </c>
    </row>
    <row r="438" spans="1:19" x14ac:dyDescent="0.35">
      <c r="A438" s="1" t="s">
        <v>746</v>
      </c>
      <c r="B438" s="3">
        <v>45799</v>
      </c>
      <c r="C438" s="1" t="s">
        <v>97</v>
      </c>
      <c r="D438" s="1">
        <v>5</v>
      </c>
      <c r="E438" s="1" t="s">
        <v>559</v>
      </c>
      <c r="F438" s="1" t="s">
        <v>30</v>
      </c>
      <c r="G438" s="1" t="s">
        <v>23</v>
      </c>
      <c r="H438" s="1" t="s">
        <v>99</v>
      </c>
      <c r="I438" s="1" t="s">
        <v>108</v>
      </c>
      <c r="J438" s="1">
        <v>4</v>
      </c>
      <c r="K438" s="1">
        <v>17921.400000000001</v>
      </c>
      <c r="L438" s="1">
        <v>0</v>
      </c>
      <c r="M438" s="1">
        <v>71685.600000000006</v>
      </c>
      <c r="N438" s="1">
        <v>0</v>
      </c>
      <c r="O438" s="1">
        <v>71685.600000000006</v>
      </c>
      <c r="P438" s="1">
        <v>48746.208000000013</v>
      </c>
      <c r="Q438" s="1">
        <v>22939.392</v>
      </c>
      <c r="R438" s="1">
        <v>32</v>
      </c>
      <c r="S438" s="1" t="s">
        <v>26</v>
      </c>
    </row>
    <row r="439" spans="1:19" x14ac:dyDescent="0.35">
      <c r="A439" s="1" t="s">
        <v>747</v>
      </c>
      <c r="B439" s="3">
        <v>45813</v>
      </c>
      <c r="C439" s="1" t="s">
        <v>82</v>
      </c>
      <c r="D439" s="1">
        <v>6</v>
      </c>
      <c r="E439" s="1" t="s">
        <v>748</v>
      </c>
      <c r="F439" s="1" t="s">
        <v>47</v>
      </c>
      <c r="G439" s="1" t="s">
        <v>23</v>
      </c>
      <c r="H439" s="1" t="s">
        <v>99</v>
      </c>
      <c r="I439" s="1" t="s">
        <v>145</v>
      </c>
      <c r="J439" s="1">
        <v>6</v>
      </c>
      <c r="K439" s="1">
        <v>22336.35</v>
      </c>
      <c r="L439" s="1">
        <v>0.15</v>
      </c>
      <c r="M439" s="1">
        <v>134018.1</v>
      </c>
      <c r="N439" s="1">
        <v>20102.715</v>
      </c>
      <c r="O439" s="1">
        <v>113915.38499999999</v>
      </c>
      <c r="P439" s="1">
        <v>77462.46179999999</v>
      </c>
      <c r="Q439" s="1">
        <v>36452.92319999999</v>
      </c>
      <c r="R439" s="1">
        <v>32</v>
      </c>
      <c r="S439" s="1" t="s">
        <v>26</v>
      </c>
    </row>
    <row r="440" spans="1:19" x14ac:dyDescent="0.35">
      <c r="A440" s="1" t="s">
        <v>749</v>
      </c>
      <c r="B440" s="3">
        <v>46021</v>
      </c>
      <c r="C440" s="1" t="s">
        <v>67</v>
      </c>
      <c r="D440" s="1">
        <v>12</v>
      </c>
      <c r="E440" s="1" t="s">
        <v>708</v>
      </c>
      <c r="F440" s="1" t="s">
        <v>58</v>
      </c>
      <c r="G440" s="1" t="s">
        <v>38</v>
      </c>
      <c r="H440" s="1" t="s">
        <v>53</v>
      </c>
      <c r="I440" s="1" t="s">
        <v>128</v>
      </c>
      <c r="J440" s="1">
        <v>6</v>
      </c>
      <c r="K440" s="1">
        <v>1786.34</v>
      </c>
      <c r="L440" s="1">
        <v>0</v>
      </c>
      <c r="M440" s="1">
        <v>10718.04</v>
      </c>
      <c r="N440" s="1">
        <v>0</v>
      </c>
      <c r="O440" s="1">
        <v>10718.04</v>
      </c>
      <c r="P440" s="1">
        <v>6216.4631999999992</v>
      </c>
      <c r="Q440" s="1">
        <v>4501.5767999999998</v>
      </c>
      <c r="R440" s="1">
        <v>42.000000000000007</v>
      </c>
      <c r="S440" s="1" t="s">
        <v>93</v>
      </c>
    </row>
    <row r="441" spans="1:19" x14ac:dyDescent="0.35">
      <c r="A441" s="1" t="s">
        <v>750</v>
      </c>
      <c r="B441" s="3">
        <v>45896</v>
      </c>
      <c r="C441" s="1" t="s">
        <v>113</v>
      </c>
      <c r="D441" s="1">
        <v>8</v>
      </c>
      <c r="E441" s="1" t="s">
        <v>222</v>
      </c>
      <c r="F441" s="1" t="s">
        <v>69</v>
      </c>
      <c r="G441" s="1" t="s">
        <v>38</v>
      </c>
      <c r="H441" s="1" t="s">
        <v>53</v>
      </c>
      <c r="I441" s="1" t="s">
        <v>72</v>
      </c>
      <c r="J441" s="1">
        <v>5</v>
      </c>
      <c r="K441" s="1">
        <v>2020.18</v>
      </c>
      <c r="L441" s="1">
        <v>0.25</v>
      </c>
      <c r="M441" s="1">
        <v>10100.9</v>
      </c>
      <c r="N441" s="1">
        <v>2525.2249999999999</v>
      </c>
      <c r="O441" s="1">
        <v>7575.6749999999993</v>
      </c>
      <c r="P441" s="1">
        <v>4393.8914999999997</v>
      </c>
      <c r="Q441" s="1">
        <v>3181.7835</v>
      </c>
      <c r="R441" s="1">
        <v>42</v>
      </c>
      <c r="S441" s="1" t="s">
        <v>93</v>
      </c>
    </row>
    <row r="442" spans="1:19" x14ac:dyDescent="0.35">
      <c r="A442" s="1" t="s">
        <v>751</v>
      </c>
      <c r="B442" s="3">
        <v>45891</v>
      </c>
      <c r="C442" s="1" t="s">
        <v>113</v>
      </c>
      <c r="D442" s="1">
        <v>8</v>
      </c>
      <c r="E442" s="1" t="s">
        <v>378</v>
      </c>
      <c r="F442" s="1" t="s">
        <v>111</v>
      </c>
      <c r="G442" s="1" t="s">
        <v>23</v>
      </c>
      <c r="H442" s="1" t="s">
        <v>39</v>
      </c>
      <c r="I442" s="1" t="s">
        <v>234</v>
      </c>
      <c r="J442" s="1">
        <v>7</v>
      </c>
      <c r="K442" s="1">
        <v>42373.25</v>
      </c>
      <c r="L442" s="1">
        <v>0.15</v>
      </c>
      <c r="M442" s="1">
        <v>296612.75</v>
      </c>
      <c r="N442" s="1">
        <v>44491.912499999999</v>
      </c>
      <c r="O442" s="1">
        <v>252120.83749999999</v>
      </c>
      <c r="P442" s="1">
        <v>196654.25325000001</v>
      </c>
      <c r="Q442" s="1">
        <v>55466.584249999993</v>
      </c>
      <c r="R442" s="1">
        <v>21.999999999999989</v>
      </c>
      <c r="S442" s="1" t="s">
        <v>33</v>
      </c>
    </row>
    <row r="443" spans="1:19" x14ac:dyDescent="0.35">
      <c r="A443" s="1" t="s">
        <v>752</v>
      </c>
      <c r="B443" s="3">
        <v>45888</v>
      </c>
      <c r="C443" s="1" t="s">
        <v>113</v>
      </c>
      <c r="D443" s="1">
        <v>8</v>
      </c>
      <c r="E443" s="1" t="s">
        <v>753</v>
      </c>
      <c r="F443" s="1" t="s">
        <v>69</v>
      </c>
      <c r="G443" s="1" t="s">
        <v>23</v>
      </c>
      <c r="H443" s="1" t="s">
        <v>31</v>
      </c>
      <c r="I443" s="1" t="s">
        <v>190</v>
      </c>
      <c r="J443" s="1">
        <v>7</v>
      </c>
      <c r="K443" s="1">
        <v>1506.67</v>
      </c>
      <c r="L443" s="1">
        <v>0.15</v>
      </c>
      <c r="M443" s="1">
        <v>10546.69</v>
      </c>
      <c r="N443" s="1">
        <v>1582.0035</v>
      </c>
      <c r="O443" s="1">
        <v>8964.6864999999998</v>
      </c>
      <c r="P443" s="1">
        <v>4661.6369800000002</v>
      </c>
      <c r="Q443" s="1">
        <v>4303.0495199999996</v>
      </c>
      <c r="R443" s="1">
        <v>48</v>
      </c>
      <c r="S443" s="1" t="s">
        <v>73</v>
      </c>
    </row>
    <row r="444" spans="1:19" x14ac:dyDescent="0.35">
      <c r="A444" s="1" t="s">
        <v>754</v>
      </c>
      <c r="B444" s="3">
        <v>45728</v>
      </c>
      <c r="C444" s="1" t="s">
        <v>28</v>
      </c>
      <c r="D444" s="1">
        <v>3</v>
      </c>
      <c r="E444" s="1" t="s">
        <v>549</v>
      </c>
      <c r="F444" s="1" t="s">
        <v>37</v>
      </c>
      <c r="G444" s="1" t="s">
        <v>38</v>
      </c>
      <c r="H444" s="1" t="s">
        <v>24</v>
      </c>
      <c r="I444" s="1" t="s">
        <v>139</v>
      </c>
      <c r="J444" s="1">
        <v>2</v>
      </c>
      <c r="K444" s="1">
        <v>1761.51</v>
      </c>
      <c r="L444" s="1">
        <v>0.1</v>
      </c>
      <c r="M444" s="1">
        <v>3523.02</v>
      </c>
      <c r="N444" s="1">
        <v>352.30200000000002</v>
      </c>
      <c r="O444" s="1">
        <v>3170.7179999999998</v>
      </c>
      <c r="P444" s="1">
        <v>1743.8949</v>
      </c>
      <c r="Q444" s="1">
        <v>1426.8231000000001</v>
      </c>
      <c r="R444" s="1">
        <v>44.999999999999993</v>
      </c>
      <c r="S444" s="1" t="s">
        <v>33</v>
      </c>
    </row>
    <row r="445" spans="1:19" x14ac:dyDescent="0.35">
      <c r="A445" s="1" t="s">
        <v>755</v>
      </c>
      <c r="B445" s="3">
        <v>45950</v>
      </c>
      <c r="C445" s="1" t="s">
        <v>35</v>
      </c>
      <c r="D445" s="1">
        <v>10</v>
      </c>
      <c r="E445" s="1" t="s">
        <v>756</v>
      </c>
      <c r="F445" s="1" t="s">
        <v>22</v>
      </c>
      <c r="G445" s="1" t="s">
        <v>38</v>
      </c>
      <c r="H445" s="1" t="s">
        <v>77</v>
      </c>
      <c r="I445" s="1" t="s">
        <v>78</v>
      </c>
      <c r="J445" s="1">
        <v>1</v>
      </c>
      <c r="K445" s="1">
        <v>1162.93</v>
      </c>
      <c r="L445" s="1">
        <v>0.1</v>
      </c>
      <c r="M445" s="1">
        <v>1162.93</v>
      </c>
      <c r="N445" s="1">
        <v>116.29300000000001</v>
      </c>
      <c r="O445" s="1">
        <v>1046.6369999999999</v>
      </c>
      <c r="P445" s="1">
        <v>753.57864000000006</v>
      </c>
      <c r="Q445" s="1">
        <v>293.05836000000011</v>
      </c>
      <c r="R445" s="1">
        <v>28.000000000000011</v>
      </c>
      <c r="S445" s="1" t="s">
        <v>33</v>
      </c>
    </row>
    <row r="446" spans="1:19" x14ac:dyDescent="0.35">
      <c r="A446" s="1" t="s">
        <v>757</v>
      </c>
      <c r="B446" s="3">
        <v>45795</v>
      </c>
      <c r="C446" s="1" t="s">
        <v>97</v>
      </c>
      <c r="D446" s="1">
        <v>5</v>
      </c>
      <c r="E446" s="1" t="s">
        <v>136</v>
      </c>
      <c r="F446" s="1" t="s">
        <v>111</v>
      </c>
      <c r="G446" s="1" t="s">
        <v>23</v>
      </c>
      <c r="H446" s="1" t="s">
        <v>24</v>
      </c>
      <c r="I446" s="1" t="s">
        <v>48</v>
      </c>
      <c r="J446" s="1">
        <v>1</v>
      </c>
      <c r="K446" s="1">
        <v>2445.33</v>
      </c>
      <c r="L446" s="1">
        <v>0.1</v>
      </c>
      <c r="M446" s="1">
        <v>2445.33</v>
      </c>
      <c r="N446" s="1">
        <v>244.53299999999999</v>
      </c>
      <c r="O446" s="1">
        <v>2200.797</v>
      </c>
      <c r="P446" s="1">
        <v>1210.4383499999999</v>
      </c>
      <c r="Q446" s="1">
        <v>990.3586499999999</v>
      </c>
      <c r="R446" s="1">
        <v>44.999999999999993</v>
      </c>
      <c r="S446" s="1" t="s">
        <v>73</v>
      </c>
    </row>
    <row r="447" spans="1:19" x14ac:dyDescent="0.35">
      <c r="A447" s="1" t="s">
        <v>758</v>
      </c>
      <c r="B447" s="3">
        <v>45823</v>
      </c>
      <c r="C447" s="1" t="s">
        <v>82</v>
      </c>
      <c r="D447" s="1">
        <v>6</v>
      </c>
      <c r="E447" s="1" t="s">
        <v>169</v>
      </c>
      <c r="F447" s="1" t="s">
        <v>111</v>
      </c>
      <c r="G447" s="1" t="s">
        <v>23</v>
      </c>
      <c r="H447" s="1" t="s">
        <v>77</v>
      </c>
      <c r="I447" s="1" t="s">
        <v>201</v>
      </c>
      <c r="J447" s="1">
        <v>2</v>
      </c>
      <c r="K447" s="1">
        <v>1003.71</v>
      </c>
      <c r="L447" s="1">
        <v>0.15</v>
      </c>
      <c r="M447" s="1">
        <v>2007.42</v>
      </c>
      <c r="N447" s="1">
        <v>301.113</v>
      </c>
      <c r="O447" s="1">
        <v>1706.307</v>
      </c>
      <c r="P447" s="1">
        <v>1228.5410400000001</v>
      </c>
      <c r="Q447" s="1">
        <v>477.76596000000001</v>
      </c>
      <c r="R447" s="1">
        <v>28</v>
      </c>
      <c r="S447" s="1" t="s">
        <v>26</v>
      </c>
    </row>
    <row r="448" spans="1:19" x14ac:dyDescent="0.35">
      <c r="A448" s="1" t="s">
        <v>759</v>
      </c>
      <c r="B448" s="3">
        <v>45769</v>
      </c>
      <c r="C448" s="1" t="s">
        <v>20</v>
      </c>
      <c r="D448" s="1">
        <v>4</v>
      </c>
      <c r="E448" s="1" t="s">
        <v>177</v>
      </c>
      <c r="F448" s="1" t="s">
        <v>37</v>
      </c>
      <c r="G448" s="1" t="s">
        <v>64</v>
      </c>
      <c r="H448" s="1" t="s">
        <v>24</v>
      </c>
      <c r="I448" s="1" t="s">
        <v>44</v>
      </c>
      <c r="J448" s="1">
        <v>6</v>
      </c>
      <c r="K448" s="1">
        <v>5314.73</v>
      </c>
      <c r="L448" s="1">
        <v>0.1</v>
      </c>
      <c r="M448" s="1">
        <v>31888.38</v>
      </c>
      <c r="N448" s="1">
        <v>3188.8380000000002</v>
      </c>
      <c r="O448" s="1">
        <v>28699.542000000001</v>
      </c>
      <c r="P448" s="1">
        <v>15784.748100000001</v>
      </c>
      <c r="Q448" s="1">
        <v>12914.793900000001</v>
      </c>
      <c r="R448" s="1">
        <v>44.999999999999993</v>
      </c>
      <c r="S448" s="1" t="s">
        <v>93</v>
      </c>
    </row>
    <row r="449" spans="1:19" x14ac:dyDescent="0.35">
      <c r="A449" s="1" t="s">
        <v>760</v>
      </c>
      <c r="B449" s="3">
        <v>45841</v>
      </c>
      <c r="C449" s="1" t="s">
        <v>62</v>
      </c>
      <c r="D449" s="1">
        <v>7</v>
      </c>
      <c r="E449" s="1" t="s">
        <v>479</v>
      </c>
      <c r="F449" s="1" t="s">
        <v>69</v>
      </c>
      <c r="G449" s="1" t="s">
        <v>64</v>
      </c>
      <c r="H449" s="1" t="s">
        <v>99</v>
      </c>
      <c r="I449" s="1" t="s">
        <v>145</v>
      </c>
      <c r="J449" s="1">
        <v>1</v>
      </c>
      <c r="K449" s="1">
        <v>6791.33</v>
      </c>
      <c r="L449" s="1">
        <v>0.1</v>
      </c>
      <c r="M449" s="1">
        <v>6791.33</v>
      </c>
      <c r="N449" s="1">
        <v>679.13300000000004</v>
      </c>
      <c r="O449" s="1">
        <v>6112.1970000000001</v>
      </c>
      <c r="P449" s="1">
        <v>4156.29396</v>
      </c>
      <c r="Q449" s="1">
        <v>1955.9030399999999</v>
      </c>
      <c r="R449" s="1">
        <v>32</v>
      </c>
      <c r="S449" s="1" t="s">
        <v>93</v>
      </c>
    </row>
    <row r="450" spans="1:19" x14ac:dyDescent="0.35">
      <c r="A450" s="1" t="s">
        <v>761</v>
      </c>
      <c r="B450" s="3">
        <v>45994</v>
      </c>
      <c r="C450" s="1" t="s">
        <v>67</v>
      </c>
      <c r="D450" s="1">
        <v>12</v>
      </c>
      <c r="E450" s="1" t="s">
        <v>359</v>
      </c>
      <c r="F450" s="1" t="s">
        <v>43</v>
      </c>
      <c r="G450" s="1" t="s">
        <v>38</v>
      </c>
      <c r="H450" s="1" t="s">
        <v>39</v>
      </c>
      <c r="I450" s="1" t="s">
        <v>234</v>
      </c>
      <c r="J450" s="1">
        <v>4</v>
      </c>
      <c r="K450" s="1">
        <v>8901.92</v>
      </c>
      <c r="L450" s="1">
        <v>0.1</v>
      </c>
      <c r="M450" s="1">
        <v>35607.68</v>
      </c>
      <c r="N450" s="1">
        <v>3560.768</v>
      </c>
      <c r="O450" s="1">
        <v>32046.912</v>
      </c>
      <c r="P450" s="1">
        <v>24996.591359999999</v>
      </c>
      <c r="Q450" s="1">
        <v>7050.3206399999981</v>
      </c>
      <c r="R450" s="1">
        <v>21.999999999999989</v>
      </c>
      <c r="S450" s="1" t="s">
        <v>33</v>
      </c>
    </row>
    <row r="451" spans="1:19" x14ac:dyDescent="0.35">
      <c r="A451" s="1" t="s">
        <v>762</v>
      </c>
      <c r="B451" s="3">
        <v>45695</v>
      </c>
      <c r="C451" s="1" t="s">
        <v>42</v>
      </c>
      <c r="D451" s="1">
        <v>2</v>
      </c>
      <c r="E451" s="1" t="s">
        <v>479</v>
      </c>
      <c r="F451" s="1" t="s">
        <v>22</v>
      </c>
      <c r="G451" s="1" t="s">
        <v>38</v>
      </c>
      <c r="H451" s="1" t="s">
        <v>53</v>
      </c>
      <c r="I451" s="1" t="s">
        <v>72</v>
      </c>
      <c r="J451" s="1">
        <v>4</v>
      </c>
      <c r="K451" s="1">
        <v>967.37</v>
      </c>
      <c r="L451" s="1">
        <v>0.2</v>
      </c>
      <c r="M451" s="1">
        <v>3869.48</v>
      </c>
      <c r="N451" s="1">
        <v>773.89600000000007</v>
      </c>
      <c r="O451" s="1">
        <v>3095.5839999999998</v>
      </c>
      <c r="P451" s="1">
        <v>1795.4387200000001</v>
      </c>
      <c r="Q451" s="1">
        <v>1300.14528</v>
      </c>
      <c r="R451" s="1">
        <v>42</v>
      </c>
      <c r="S451" s="1" t="s">
        <v>26</v>
      </c>
    </row>
    <row r="452" spans="1:19" x14ac:dyDescent="0.35">
      <c r="A452" s="1" t="s">
        <v>763</v>
      </c>
      <c r="B452" s="3">
        <v>46002</v>
      </c>
      <c r="C452" s="1" t="s">
        <v>67</v>
      </c>
      <c r="D452" s="1">
        <v>12</v>
      </c>
      <c r="E452" s="1" t="s">
        <v>764</v>
      </c>
      <c r="F452" s="1" t="s">
        <v>43</v>
      </c>
      <c r="G452" s="1" t="s">
        <v>23</v>
      </c>
      <c r="H452" s="1" t="s">
        <v>77</v>
      </c>
      <c r="I452" s="1" t="s">
        <v>103</v>
      </c>
      <c r="J452" s="1">
        <v>5</v>
      </c>
      <c r="K452" s="1">
        <v>1073.3699999999999</v>
      </c>
      <c r="L452" s="1">
        <v>0.2</v>
      </c>
      <c r="M452" s="1">
        <v>5366.8499999999995</v>
      </c>
      <c r="N452" s="1">
        <v>1073.3699999999999</v>
      </c>
      <c r="O452" s="1">
        <v>4293.4799999999996</v>
      </c>
      <c r="P452" s="1">
        <v>3091.3056000000001</v>
      </c>
      <c r="Q452" s="1">
        <v>1202.1744000000001</v>
      </c>
      <c r="R452" s="1">
        <v>28</v>
      </c>
      <c r="S452" s="1" t="s">
        <v>33</v>
      </c>
    </row>
    <row r="453" spans="1:19" x14ac:dyDescent="0.35">
      <c r="A453" s="1" t="s">
        <v>765</v>
      </c>
      <c r="B453" s="3">
        <v>45696</v>
      </c>
      <c r="C453" s="1" t="s">
        <v>42</v>
      </c>
      <c r="D453" s="1">
        <v>2</v>
      </c>
      <c r="E453" s="1" t="s">
        <v>394</v>
      </c>
      <c r="F453" s="1" t="s">
        <v>111</v>
      </c>
      <c r="G453" s="1" t="s">
        <v>23</v>
      </c>
      <c r="H453" s="1" t="s">
        <v>39</v>
      </c>
      <c r="I453" s="1" t="s">
        <v>40</v>
      </c>
      <c r="J453" s="1">
        <v>5</v>
      </c>
      <c r="K453" s="1">
        <v>45715.03</v>
      </c>
      <c r="L453" s="1">
        <v>0.05</v>
      </c>
      <c r="M453" s="1">
        <v>228575.15</v>
      </c>
      <c r="N453" s="1">
        <v>11428.7575</v>
      </c>
      <c r="O453" s="1">
        <v>217146.39249999999</v>
      </c>
      <c r="P453" s="1">
        <v>169374.18614999999</v>
      </c>
      <c r="Q453" s="1">
        <v>47772.206349999993</v>
      </c>
      <c r="R453" s="1">
        <v>22</v>
      </c>
      <c r="S453" s="1" t="s">
        <v>33</v>
      </c>
    </row>
    <row r="454" spans="1:19" x14ac:dyDescent="0.35">
      <c r="A454" s="1" t="s">
        <v>766</v>
      </c>
      <c r="B454" s="3">
        <v>45788</v>
      </c>
      <c r="C454" s="1" t="s">
        <v>97</v>
      </c>
      <c r="D454" s="1">
        <v>5</v>
      </c>
      <c r="E454" s="1" t="s">
        <v>767</v>
      </c>
      <c r="F454" s="1" t="s">
        <v>22</v>
      </c>
      <c r="G454" s="1" t="s">
        <v>23</v>
      </c>
      <c r="H454" s="1" t="s">
        <v>31</v>
      </c>
      <c r="I454" s="1" t="s">
        <v>167</v>
      </c>
      <c r="J454" s="1">
        <v>6</v>
      </c>
      <c r="K454" s="1">
        <v>2924.85</v>
      </c>
      <c r="L454" s="1">
        <v>0.05</v>
      </c>
      <c r="M454" s="1">
        <v>17549.099999999999</v>
      </c>
      <c r="N454" s="1">
        <v>877.45499999999993</v>
      </c>
      <c r="O454" s="1">
        <v>16671.645</v>
      </c>
      <c r="P454" s="1">
        <v>8669.2553999999982</v>
      </c>
      <c r="Q454" s="1">
        <v>8002.3895999999986</v>
      </c>
      <c r="R454" s="1">
        <v>48</v>
      </c>
      <c r="S454" s="1" t="s">
        <v>26</v>
      </c>
    </row>
    <row r="455" spans="1:19" x14ac:dyDescent="0.35">
      <c r="A455" s="1" t="s">
        <v>768</v>
      </c>
      <c r="B455" s="3">
        <v>45913</v>
      </c>
      <c r="C455" s="1" t="s">
        <v>50</v>
      </c>
      <c r="D455" s="1">
        <v>9</v>
      </c>
      <c r="E455" s="1" t="s">
        <v>283</v>
      </c>
      <c r="F455" s="1" t="s">
        <v>111</v>
      </c>
      <c r="G455" s="1" t="s">
        <v>23</v>
      </c>
      <c r="H455" s="1" t="s">
        <v>53</v>
      </c>
      <c r="I455" s="1" t="s">
        <v>72</v>
      </c>
      <c r="J455" s="1">
        <v>4</v>
      </c>
      <c r="K455" s="1">
        <v>1436.28</v>
      </c>
      <c r="L455" s="1">
        <v>0.2</v>
      </c>
      <c r="M455" s="1">
        <v>5745.12</v>
      </c>
      <c r="N455" s="1">
        <v>1149.0239999999999</v>
      </c>
      <c r="O455" s="1">
        <v>4596.0959999999995</v>
      </c>
      <c r="P455" s="1">
        <v>2665.7356799999998</v>
      </c>
      <c r="Q455" s="1">
        <v>1930.36032</v>
      </c>
      <c r="R455" s="1">
        <v>42</v>
      </c>
      <c r="S455" s="1" t="s">
        <v>60</v>
      </c>
    </row>
    <row r="456" spans="1:19" x14ac:dyDescent="0.35">
      <c r="A456" s="1" t="s">
        <v>769</v>
      </c>
      <c r="B456" s="3">
        <v>45784</v>
      </c>
      <c r="C456" s="1" t="s">
        <v>97</v>
      </c>
      <c r="D456" s="1">
        <v>5</v>
      </c>
      <c r="E456" s="1" t="s">
        <v>231</v>
      </c>
      <c r="F456" s="1" t="s">
        <v>37</v>
      </c>
      <c r="G456" s="1" t="s">
        <v>23</v>
      </c>
      <c r="H456" s="1" t="s">
        <v>39</v>
      </c>
      <c r="I456" s="1" t="s">
        <v>87</v>
      </c>
      <c r="J456" s="1">
        <v>7</v>
      </c>
      <c r="K456" s="1">
        <v>20437.830000000002</v>
      </c>
      <c r="L456" s="1">
        <v>0.25</v>
      </c>
      <c r="M456" s="1">
        <v>143064.81</v>
      </c>
      <c r="N456" s="1">
        <v>35766.202499999999</v>
      </c>
      <c r="O456" s="1">
        <v>107298.6075</v>
      </c>
      <c r="P456" s="1">
        <v>83692.913849999997</v>
      </c>
      <c r="Q456" s="1">
        <v>23605.693650000001</v>
      </c>
      <c r="R456" s="1">
        <v>22</v>
      </c>
      <c r="S456" s="1" t="s">
        <v>33</v>
      </c>
    </row>
    <row r="457" spans="1:19" x14ac:dyDescent="0.35">
      <c r="A457" s="1" t="s">
        <v>770</v>
      </c>
      <c r="B457" s="3">
        <v>45862</v>
      </c>
      <c r="C457" s="1" t="s">
        <v>62</v>
      </c>
      <c r="D457" s="1">
        <v>7</v>
      </c>
      <c r="E457" s="1" t="s">
        <v>171</v>
      </c>
      <c r="F457" s="1" t="s">
        <v>30</v>
      </c>
      <c r="G457" s="1" t="s">
        <v>23</v>
      </c>
      <c r="H457" s="1" t="s">
        <v>39</v>
      </c>
      <c r="I457" s="1" t="s">
        <v>214</v>
      </c>
      <c r="J457" s="1">
        <v>6</v>
      </c>
      <c r="K457" s="1">
        <v>23126.1</v>
      </c>
      <c r="L457" s="1">
        <v>0.15</v>
      </c>
      <c r="M457" s="1">
        <v>138756.6</v>
      </c>
      <c r="N457" s="1">
        <v>20813.489999999991</v>
      </c>
      <c r="O457" s="1">
        <v>117943.11</v>
      </c>
      <c r="P457" s="1">
        <v>91995.625799999994</v>
      </c>
      <c r="Q457" s="1">
        <v>25947.484199999992</v>
      </c>
      <c r="R457" s="1">
        <v>21.999999999999989</v>
      </c>
      <c r="S457" s="1" t="s">
        <v>26</v>
      </c>
    </row>
    <row r="458" spans="1:19" x14ac:dyDescent="0.35">
      <c r="A458" s="1" t="s">
        <v>771</v>
      </c>
      <c r="B458" s="3">
        <v>45766</v>
      </c>
      <c r="C458" s="1" t="s">
        <v>20</v>
      </c>
      <c r="D458" s="1">
        <v>4</v>
      </c>
      <c r="E458" s="1" t="s">
        <v>250</v>
      </c>
      <c r="F458" s="1" t="s">
        <v>76</v>
      </c>
      <c r="G458" s="1" t="s">
        <v>64</v>
      </c>
      <c r="H458" s="1" t="s">
        <v>77</v>
      </c>
      <c r="I458" s="1" t="s">
        <v>78</v>
      </c>
      <c r="J458" s="1">
        <v>3</v>
      </c>
      <c r="K458" s="1">
        <v>323.87</v>
      </c>
      <c r="L458" s="1">
        <v>0.25</v>
      </c>
      <c r="M458" s="1">
        <v>971.61</v>
      </c>
      <c r="N458" s="1">
        <v>242.9025</v>
      </c>
      <c r="O458" s="1">
        <v>728.70749999999998</v>
      </c>
      <c r="P458" s="1">
        <v>524.6694</v>
      </c>
      <c r="Q458" s="1">
        <v>204.03809999999999</v>
      </c>
      <c r="R458" s="1">
        <v>28</v>
      </c>
      <c r="S458" s="1" t="s">
        <v>73</v>
      </c>
    </row>
    <row r="459" spans="1:19" x14ac:dyDescent="0.35">
      <c r="A459" s="1" t="s">
        <v>772</v>
      </c>
      <c r="B459" s="3">
        <v>45903</v>
      </c>
      <c r="C459" s="1" t="s">
        <v>50</v>
      </c>
      <c r="D459" s="1">
        <v>9</v>
      </c>
      <c r="E459" s="1" t="s">
        <v>169</v>
      </c>
      <c r="F459" s="1" t="s">
        <v>47</v>
      </c>
      <c r="G459" s="1" t="s">
        <v>64</v>
      </c>
      <c r="H459" s="1" t="s">
        <v>99</v>
      </c>
      <c r="I459" s="1" t="s">
        <v>145</v>
      </c>
      <c r="J459" s="1">
        <v>7</v>
      </c>
      <c r="K459" s="1">
        <v>15930.49</v>
      </c>
      <c r="L459" s="1">
        <v>0.3</v>
      </c>
      <c r="M459" s="1">
        <v>111513.43</v>
      </c>
      <c r="N459" s="1">
        <v>33454.028999999988</v>
      </c>
      <c r="O459" s="1">
        <v>78059.400999999998</v>
      </c>
      <c r="P459" s="1">
        <v>53080.392679999997</v>
      </c>
      <c r="Q459" s="1">
        <v>24979.00831999999</v>
      </c>
      <c r="R459" s="1">
        <v>32</v>
      </c>
      <c r="S459" s="1" t="s">
        <v>93</v>
      </c>
    </row>
    <row r="460" spans="1:19" x14ac:dyDescent="0.35">
      <c r="A460" s="1" t="s">
        <v>773</v>
      </c>
      <c r="B460" s="3">
        <v>45828</v>
      </c>
      <c r="C460" s="1" t="s">
        <v>82</v>
      </c>
      <c r="D460" s="1">
        <v>6</v>
      </c>
      <c r="E460" s="1" t="s">
        <v>774</v>
      </c>
      <c r="F460" s="1" t="s">
        <v>43</v>
      </c>
      <c r="G460" s="1" t="s">
        <v>23</v>
      </c>
      <c r="H460" s="1" t="s">
        <v>31</v>
      </c>
      <c r="I460" s="1" t="s">
        <v>59</v>
      </c>
      <c r="J460" s="1">
        <v>6</v>
      </c>
      <c r="K460" s="1">
        <v>874.68</v>
      </c>
      <c r="L460" s="1">
        <v>0.1</v>
      </c>
      <c r="M460" s="1">
        <v>5248.08</v>
      </c>
      <c r="N460" s="1">
        <v>524.80799999999999</v>
      </c>
      <c r="O460" s="1">
        <v>4723.2719999999999</v>
      </c>
      <c r="P460" s="1">
        <v>2456.1014399999999</v>
      </c>
      <c r="Q460" s="1">
        <v>2267.17056</v>
      </c>
      <c r="R460" s="1">
        <v>48.000000000000007</v>
      </c>
      <c r="S460" s="1" t="s">
        <v>93</v>
      </c>
    </row>
    <row r="461" spans="1:19" x14ac:dyDescent="0.35">
      <c r="A461" s="1" t="s">
        <v>775</v>
      </c>
      <c r="B461" s="3">
        <v>45837</v>
      </c>
      <c r="C461" s="1" t="s">
        <v>82</v>
      </c>
      <c r="D461" s="1">
        <v>6</v>
      </c>
      <c r="E461" s="1" t="s">
        <v>220</v>
      </c>
      <c r="F461" s="1" t="s">
        <v>69</v>
      </c>
      <c r="G461" s="1" t="s">
        <v>38</v>
      </c>
      <c r="H461" s="1" t="s">
        <v>77</v>
      </c>
      <c r="I461" s="1" t="s">
        <v>201</v>
      </c>
      <c r="J461" s="1">
        <v>1</v>
      </c>
      <c r="K461" s="1">
        <v>1030.93</v>
      </c>
      <c r="L461" s="1">
        <v>0.25</v>
      </c>
      <c r="M461" s="1">
        <v>1030.93</v>
      </c>
      <c r="N461" s="1">
        <v>257.73250000000002</v>
      </c>
      <c r="O461" s="1">
        <v>773.19749999999999</v>
      </c>
      <c r="P461" s="1">
        <v>556.70219999999995</v>
      </c>
      <c r="Q461" s="1">
        <v>216.49529999999999</v>
      </c>
      <c r="R461" s="1">
        <v>28.000000000000011</v>
      </c>
      <c r="S461" s="1" t="s">
        <v>60</v>
      </c>
    </row>
    <row r="462" spans="1:19" x14ac:dyDescent="0.35">
      <c r="A462" s="1" t="s">
        <v>776</v>
      </c>
      <c r="B462" s="3">
        <v>45945</v>
      </c>
      <c r="C462" s="1" t="s">
        <v>35</v>
      </c>
      <c r="D462" s="1">
        <v>10</v>
      </c>
      <c r="E462" s="1" t="s">
        <v>777</v>
      </c>
      <c r="F462" s="1" t="s">
        <v>76</v>
      </c>
      <c r="G462" s="1" t="s">
        <v>38</v>
      </c>
      <c r="H462" s="1" t="s">
        <v>24</v>
      </c>
      <c r="I462" s="1" t="s">
        <v>44</v>
      </c>
      <c r="J462" s="1">
        <v>1</v>
      </c>
      <c r="K462" s="1">
        <v>4753.6000000000004</v>
      </c>
      <c r="L462" s="1">
        <v>0.25</v>
      </c>
      <c r="M462" s="1">
        <v>4753.6000000000004</v>
      </c>
      <c r="N462" s="1">
        <v>1188.4000000000001</v>
      </c>
      <c r="O462" s="1">
        <v>3565.2</v>
      </c>
      <c r="P462" s="1">
        <v>1960.86</v>
      </c>
      <c r="Q462" s="1">
        <v>1604.34</v>
      </c>
      <c r="R462" s="1">
        <v>44.999999999999993</v>
      </c>
      <c r="S462" s="1" t="s">
        <v>26</v>
      </c>
    </row>
    <row r="463" spans="1:19" x14ac:dyDescent="0.35">
      <c r="A463" s="1" t="s">
        <v>778</v>
      </c>
      <c r="B463" s="3">
        <v>45796</v>
      </c>
      <c r="C463" s="1" t="s">
        <v>97</v>
      </c>
      <c r="D463" s="1">
        <v>5</v>
      </c>
      <c r="E463" s="1" t="s">
        <v>648</v>
      </c>
      <c r="F463" s="1" t="s">
        <v>111</v>
      </c>
      <c r="G463" s="1" t="s">
        <v>64</v>
      </c>
      <c r="H463" s="1" t="s">
        <v>53</v>
      </c>
      <c r="I463" s="1" t="s">
        <v>54</v>
      </c>
      <c r="J463" s="1">
        <v>7</v>
      </c>
      <c r="K463" s="1">
        <v>1954.65</v>
      </c>
      <c r="L463" s="1">
        <v>0.05</v>
      </c>
      <c r="M463" s="1">
        <v>13682.55</v>
      </c>
      <c r="N463" s="1">
        <v>684.12750000000005</v>
      </c>
      <c r="O463" s="1">
        <v>12998.422500000001</v>
      </c>
      <c r="P463" s="1">
        <v>7539.0850499999997</v>
      </c>
      <c r="Q463" s="1">
        <v>5459.3374500000009</v>
      </c>
      <c r="R463" s="1">
        <v>42.000000000000007</v>
      </c>
      <c r="S463" s="1" t="s">
        <v>93</v>
      </c>
    </row>
    <row r="464" spans="1:19" x14ac:dyDescent="0.35">
      <c r="A464" s="1" t="s">
        <v>779</v>
      </c>
      <c r="B464" s="3">
        <v>45849</v>
      </c>
      <c r="C464" s="1" t="s">
        <v>62</v>
      </c>
      <c r="D464" s="1">
        <v>7</v>
      </c>
      <c r="E464" s="1" t="s">
        <v>68</v>
      </c>
      <c r="F464" s="1" t="s">
        <v>30</v>
      </c>
      <c r="G464" s="1" t="s">
        <v>64</v>
      </c>
      <c r="H464" s="1" t="s">
        <v>53</v>
      </c>
      <c r="I464" s="1" t="s">
        <v>123</v>
      </c>
      <c r="J464" s="1">
        <v>6</v>
      </c>
      <c r="K464" s="1">
        <v>310.12</v>
      </c>
      <c r="L464" s="1">
        <v>0.05</v>
      </c>
      <c r="M464" s="1">
        <v>1860.72</v>
      </c>
      <c r="N464" s="1">
        <v>93.036000000000001</v>
      </c>
      <c r="O464" s="1">
        <v>1767.684</v>
      </c>
      <c r="P464" s="1">
        <v>1025.2567200000001</v>
      </c>
      <c r="Q464" s="1">
        <v>742.42728000000011</v>
      </c>
      <c r="R464" s="1">
        <v>42.000000000000007</v>
      </c>
      <c r="S464" s="1" t="s">
        <v>26</v>
      </c>
    </row>
    <row r="465" spans="1:19" x14ac:dyDescent="0.35">
      <c r="A465" s="1" t="s">
        <v>780</v>
      </c>
      <c r="B465" s="3">
        <v>45720</v>
      </c>
      <c r="C465" s="1" t="s">
        <v>28</v>
      </c>
      <c r="D465" s="1">
        <v>3</v>
      </c>
      <c r="E465" s="1" t="s">
        <v>105</v>
      </c>
      <c r="F465" s="1" t="s">
        <v>30</v>
      </c>
      <c r="G465" s="1" t="s">
        <v>23</v>
      </c>
      <c r="H465" s="1" t="s">
        <v>53</v>
      </c>
      <c r="I465" s="1" t="s">
        <v>72</v>
      </c>
      <c r="J465" s="1">
        <v>7</v>
      </c>
      <c r="K465" s="1">
        <v>737.19</v>
      </c>
      <c r="L465" s="1">
        <v>0.15</v>
      </c>
      <c r="M465" s="1">
        <v>5160.33</v>
      </c>
      <c r="N465" s="1">
        <v>774.04949999999997</v>
      </c>
      <c r="O465" s="1">
        <v>4386.2804999999998</v>
      </c>
      <c r="P465" s="1">
        <v>2544.0426900000002</v>
      </c>
      <c r="Q465" s="1">
        <v>1842.2378100000001</v>
      </c>
      <c r="R465" s="1">
        <v>42.000000000000007</v>
      </c>
      <c r="S465" s="1" t="s">
        <v>73</v>
      </c>
    </row>
    <row r="466" spans="1:19" x14ac:dyDescent="0.35">
      <c r="A466" s="1" t="s">
        <v>781</v>
      </c>
      <c r="B466" s="3">
        <v>45695</v>
      </c>
      <c r="C466" s="1" t="s">
        <v>42</v>
      </c>
      <c r="D466" s="1">
        <v>2</v>
      </c>
      <c r="E466" s="1" t="s">
        <v>782</v>
      </c>
      <c r="F466" s="1" t="s">
        <v>58</v>
      </c>
      <c r="G466" s="1" t="s">
        <v>23</v>
      </c>
      <c r="H466" s="1" t="s">
        <v>31</v>
      </c>
      <c r="I466" s="1" t="s">
        <v>65</v>
      </c>
      <c r="J466" s="1">
        <v>3</v>
      </c>
      <c r="K466" s="1">
        <v>1870.89</v>
      </c>
      <c r="L466" s="1">
        <v>0.1</v>
      </c>
      <c r="M466" s="1">
        <v>5612.67</v>
      </c>
      <c r="N466" s="1">
        <v>561.26700000000005</v>
      </c>
      <c r="O466" s="1">
        <v>5051.4030000000002</v>
      </c>
      <c r="P466" s="1">
        <v>2626.7295600000002</v>
      </c>
      <c r="Q466" s="1">
        <v>2424.67344</v>
      </c>
      <c r="R466" s="1">
        <v>48</v>
      </c>
      <c r="S466" s="1" t="s">
        <v>33</v>
      </c>
    </row>
    <row r="467" spans="1:19" x14ac:dyDescent="0.35">
      <c r="A467" s="1" t="s">
        <v>783</v>
      </c>
      <c r="B467" s="3">
        <v>45715</v>
      </c>
      <c r="C467" s="1" t="s">
        <v>42</v>
      </c>
      <c r="D467" s="1">
        <v>2</v>
      </c>
      <c r="E467" s="1" t="s">
        <v>540</v>
      </c>
      <c r="F467" s="1" t="s">
        <v>37</v>
      </c>
      <c r="G467" s="1" t="s">
        <v>38</v>
      </c>
      <c r="H467" s="1" t="s">
        <v>39</v>
      </c>
      <c r="I467" s="1" t="s">
        <v>40</v>
      </c>
      <c r="J467" s="1">
        <v>1</v>
      </c>
      <c r="K467" s="1">
        <v>27772.5</v>
      </c>
      <c r="L467" s="1">
        <v>0.1</v>
      </c>
      <c r="M467" s="1">
        <v>27772.5</v>
      </c>
      <c r="N467" s="1">
        <v>2777.25</v>
      </c>
      <c r="O467" s="1">
        <v>24995.25</v>
      </c>
      <c r="P467" s="1">
        <v>19496.294999999998</v>
      </c>
      <c r="Q467" s="1">
        <v>5498.9549999999981</v>
      </c>
      <c r="R467" s="1">
        <v>21.999999999999989</v>
      </c>
      <c r="S467" s="1" t="s">
        <v>33</v>
      </c>
    </row>
    <row r="468" spans="1:19" x14ac:dyDescent="0.35">
      <c r="A468" s="1" t="s">
        <v>784</v>
      </c>
      <c r="B468" s="3">
        <v>45867</v>
      </c>
      <c r="C468" s="1" t="s">
        <v>62</v>
      </c>
      <c r="D468" s="1">
        <v>7</v>
      </c>
      <c r="E468" s="1" t="s">
        <v>248</v>
      </c>
      <c r="F468" s="1" t="s">
        <v>30</v>
      </c>
      <c r="G468" s="1" t="s">
        <v>38</v>
      </c>
      <c r="H468" s="1" t="s">
        <v>39</v>
      </c>
      <c r="I468" s="1" t="s">
        <v>155</v>
      </c>
      <c r="J468" s="1">
        <v>7</v>
      </c>
      <c r="K468" s="1">
        <v>64136.21</v>
      </c>
      <c r="L468" s="1">
        <v>0.25</v>
      </c>
      <c r="M468" s="1">
        <v>448953.47</v>
      </c>
      <c r="N468" s="1">
        <v>112238.36749999999</v>
      </c>
      <c r="O468" s="1">
        <v>336715.10249999998</v>
      </c>
      <c r="P468" s="1">
        <v>262637.77995</v>
      </c>
      <c r="Q468" s="1">
        <v>74077.322549999983</v>
      </c>
      <c r="R468" s="1">
        <v>22</v>
      </c>
      <c r="S468" s="1" t="s">
        <v>60</v>
      </c>
    </row>
    <row r="469" spans="1:19" x14ac:dyDescent="0.35">
      <c r="A469" s="1" t="s">
        <v>785</v>
      </c>
      <c r="B469" s="3">
        <v>45947</v>
      </c>
      <c r="C469" s="1" t="s">
        <v>35</v>
      </c>
      <c r="D469" s="1">
        <v>10</v>
      </c>
      <c r="E469" s="1" t="s">
        <v>222</v>
      </c>
      <c r="F469" s="1" t="s">
        <v>37</v>
      </c>
      <c r="G469" s="1" t="s">
        <v>23</v>
      </c>
      <c r="H469" s="1" t="s">
        <v>53</v>
      </c>
      <c r="I469" s="1" t="s">
        <v>128</v>
      </c>
      <c r="J469" s="1">
        <v>2</v>
      </c>
      <c r="K469" s="1">
        <v>112.06</v>
      </c>
      <c r="L469" s="1">
        <v>0</v>
      </c>
      <c r="M469" s="1">
        <v>224.12</v>
      </c>
      <c r="N469" s="1">
        <v>0</v>
      </c>
      <c r="O469" s="1">
        <v>224.12</v>
      </c>
      <c r="P469" s="1">
        <v>129.9896</v>
      </c>
      <c r="Q469" s="1">
        <v>94.130400000000009</v>
      </c>
      <c r="R469" s="1">
        <v>42.000000000000007</v>
      </c>
      <c r="S469" s="1" t="s">
        <v>26</v>
      </c>
    </row>
    <row r="470" spans="1:19" x14ac:dyDescent="0.35">
      <c r="A470" s="1" t="s">
        <v>786</v>
      </c>
      <c r="B470" s="3">
        <v>45809</v>
      </c>
      <c r="C470" s="1" t="s">
        <v>82</v>
      </c>
      <c r="D470" s="1">
        <v>6</v>
      </c>
      <c r="E470" s="1" t="s">
        <v>354</v>
      </c>
      <c r="F470" s="1" t="s">
        <v>69</v>
      </c>
      <c r="G470" s="1" t="s">
        <v>64</v>
      </c>
      <c r="H470" s="1" t="s">
        <v>31</v>
      </c>
      <c r="I470" s="1" t="s">
        <v>65</v>
      </c>
      <c r="J470" s="1">
        <v>3</v>
      </c>
      <c r="K470" s="1">
        <v>2698.26</v>
      </c>
      <c r="L470" s="1">
        <v>0</v>
      </c>
      <c r="M470" s="1">
        <v>8094.7800000000007</v>
      </c>
      <c r="N470" s="1">
        <v>0</v>
      </c>
      <c r="O470" s="1">
        <v>8094.7800000000007</v>
      </c>
      <c r="P470" s="1">
        <v>4209.2856000000002</v>
      </c>
      <c r="Q470" s="1">
        <v>3885.4944</v>
      </c>
      <c r="R470" s="1">
        <v>48.000000000000007</v>
      </c>
      <c r="S470" s="1" t="s">
        <v>33</v>
      </c>
    </row>
    <row r="471" spans="1:19" x14ac:dyDescent="0.35">
      <c r="A471" s="1" t="s">
        <v>787</v>
      </c>
      <c r="B471" s="3">
        <v>45939</v>
      </c>
      <c r="C471" s="1" t="s">
        <v>35</v>
      </c>
      <c r="D471" s="1">
        <v>10</v>
      </c>
      <c r="E471" s="1" t="s">
        <v>788</v>
      </c>
      <c r="F471" s="1" t="s">
        <v>22</v>
      </c>
      <c r="G471" s="1" t="s">
        <v>38</v>
      </c>
      <c r="H471" s="1" t="s">
        <v>99</v>
      </c>
      <c r="I471" s="1" t="s">
        <v>223</v>
      </c>
      <c r="J471" s="1">
        <v>7</v>
      </c>
      <c r="K471" s="1">
        <v>22403.200000000001</v>
      </c>
      <c r="L471" s="1">
        <v>0.25</v>
      </c>
      <c r="M471" s="1">
        <v>156822.39999999999</v>
      </c>
      <c r="N471" s="1">
        <v>39205.599999999999</v>
      </c>
      <c r="O471" s="1">
        <v>117616.8</v>
      </c>
      <c r="P471" s="1">
        <v>79979.423999999999</v>
      </c>
      <c r="Q471" s="1">
        <v>37637.375999999989</v>
      </c>
      <c r="R471" s="1">
        <v>32</v>
      </c>
      <c r="S471" s="1" t="s">
        <v>60</v>
      </c>
    </row>
    <row r="472" spans="1:19" x14ac:dyDescent="0.35">
      <c r="A472" s="1" t="s">
        <v>789</v>
      </c>
      <c r="B472" s="3">
        <v>45723</v>
      </c>
      <c r="C472" s="1" t="s">
        <v>28</v>
      </c>
      <c r="D472" s="1">
        <v>3</v>
      </c>
      <c r="E472" s="1" t="s">
        <v>774</v>
      </c>
      <c r="F472" s="1" t="s">
        <v>52</v>
      </c>
      <c r="G472" s="1" t="s">
        <v>64</v>
      </c>
      <c r="H472" s="1" t="s">
        <v>77</v>
      </c>
      <c r="I472" s="1" t="s">
        <v>78</v>
      </c>
      <c r="J472" s="1">
        <v>3</v>
      </c>
      <c r="K472" s="1">
        <v>443.42</v>
      </c>
      <c r="L472" s="1">
        <v>0.1</v>
      </c>
      <c r="M472" s="1">
        <v>1330.26</v>
      </c>
      <c r="N472" s="1">
        <v>133.02600000000001</v>
      </c>
      <c r="O472" s="1">
        <v>1197.2339999999999</v>
      </c>
      <c r="P472" s="1">
        <v>862.00847999999996</v>
      </c>
      <c r="Q472" s="1">
        <v>335.22552000000002</v>
      </c>
      <c r="R472" s="1">
        <v>28</v>
      </c>
      <c r="S472" s="1" t="s">
        <v>60</v>
      </c>
    </row>
    <row r="473" spans="1:19" x14ac:dyDescent="0.35">
      <c r="A473" s="1" t="s">
        <v>790</v>
      </c>
      <c r="B473" s="3">
        <v>45951</v>
      </c>
      <c r="C473" s="1" t="s">
        <v>35</v>
      </c>
      <c r="D473" s="1">
        <v>10</v>
      </c>
      <c r="E473" s="1" t="s">
        <v>175</v>
      </c>
      <c r="F473" s="1" t="s">
        <v>111</v>
      </c>
      <c r="G473" s="1" t="s">
        <v>64</v>
      </c>
      <c r="H473" s="1" t="s">
        <v>31</v>
      </c>
      <c r="I473" s="1" t="s">
        <v>32</v>
      </c>
      <c r="J473" s="1">
        <v>7</v>
      </c>
      <c r="K473" s="1">
        <v>3334.67</v>
      </c>
      <c r="L473" s="1">
        <v>0.05</v>
      </c>
      <c r="M473" s="1">
        <v>23342.69</v>
      </c>
      <c r="N473" s="1">
        <v>1167.1344999999999</v>
      </c>
      <c r="O473" s="1">
        <v>22175.555499999999</v>
      </c>
      <c r="P473" s="1">
        <v>11531.288860000001</v>
      </c>
      <c r="Q473" s="1">
        <v>10644.26664</v>
      </c>
      <c r="R473" s="1">
        <v>47.999999999999993</v>
      </c>
      <c r="S473" s="1" t="s">
        <v>93</v>
      </c>
    </row>
    <row r="474" spans="1:19" x14ac:dyDescent="0.35">
      <c r="A474" s="1" t="s">
        <v>791</v>
      </c>
      <c r="B474" s="3">
        <v>45727</v>
      </c>
      <c r="C474" s="1" t="s">
        <v>28</v>
      </c>
      <c r="D474" s="1">
        <v>3</v>
      </c>
      <c r="E474" s="1" t="s">
        <v>641</v>
      </c>
      <c r="F474" s="1" t="s">
        <v>47</v>
      </c>
      <c r="G474" s="1" t="s">
        <v>64</v>
      </c>
      <c r="H474" s="1" t="s">
        <v>39</v>
      </c>
      <c r="I474" s="1" t="s">
        <v>234</v>
      </c>
      <c r="J474" s="1">
        <v>3</v>
      </c>
      <c r="K474" s="1">
        <v>27605.59</v>
      </c>
      <c r="L474" s="1">
        <v>0.15</v>
      </c>
      <c r="M474" s="1">
        <v>82816.77</v>
      </c>
      <c r="N474" s="1">
        <v>12422.5155</v>
      </c>
      <c r="O474" s="1">
        <v>70394.25450000001</v>
      </c>
      <c r="P474" s="1">
        <v>54907.518510000009</v>
      </c>
      <c r="Q474" s="1">
        <v>15486.735989999999</v>
      </c>
      <c r="R474" s="1">
        <v>22</v>
      </c>
      <c r="S474" s="1" t="s">
        <v>26</v>
      </c>
    </row>
    <row r="475" spans="1:19" x14ac:dyDescent="0.35">
      <c r="A475" s="1" t="s">
        <v>792</v>
      </c>
      <c r="B475" s="3">
        <v>45871</v>
      </c>
      <c r="C475" s="1" t="s">
        <v>113</v>
      </c>
      <c r="D475" s="1">
        <v>8</v>
      </c>
      <c r="E475" s="1" t="s">
        <v>767</v>
      </c>
      <c r="F475" s="1" t="s">
        <v>22</v>
      </c>
      <c r="G475" s="1" t="s">
        <v>38</v>
      </c>
      <c r="H475" s="1" t="s">
        <v>53</v>
      </c>
      <c r="I475" s="1" t="s">
        <v>123</v>
      </c>
      <c r="J475" s="1">
        <v>2</v>
      </c>
      <c r="K475" s="1">
        <v>1445.39</v>
      </c>
      <c r="L475" s="1">
        <v>0.25</v>
      </c>
      <c r="M475" s="1">
        <v>2890.78</v>
      </c>
      <c r="N475" s="1">
        <v>722.69500000000005</v>
      </c>
      <c r="O475" s="1">
        <v>2168.085</v>
      </c>
      <c r="P475" s="1">
        <v>1257.4893</v>
      </c>
      <c r="Q475" s="1">
        <v>910.59570000000008</v>
      </c>
      <c r="R475" s="1">
        <v>42.000000000000007</v>
      </c>
      <c r="S475" s="1" t="s">
        <v>93</v>
      </c>
    </row>
    <row r="476" spans="1:19" x14ac:dyDescent="0.35">
      <c r="A476" s="1" t="s">
        <v>793</v>
      </c>
      <c r="B476" s="3">
        <v>45894</v>
      </c>
      <c r="C476" s="1" t="s">
        <v>113</v>
      </c>
      <c r="D476" s="1">
        <v>8</v>
      </c>
      <c r="E476" s="1" t="s">
        <v>675</v>
      </c>
      <c r="F476" s="1" t="s">
        <v>43</v>
      </c>
      <c r="G476" s="1" t="s">
        <v>38</v>
      </c>
      <c r="H476" s="1" t="s">
        <v>31</v>
      </c>
      <c r="I476" s="1" t="s">
        <v>32</v>
      </c>
      <c r="J476" s="1">
        <v>7</v>
      </c>
      <c r="K476" s="1">
        <v>1393.09</v>
      </c>
      <c r="L476" s="1">
        <v>0</v>
      </c>
      <c r="M476" s="1">
        <v>9751.6299999999992</v>
      </c>
      <c r="N476" s="1">
        <v>0</v>
      </c>
      <c r="O476" s="1">
        <v>9751.6299999999992</v>
      </c>
      <c r="P476" s="1">
        <v>5070.8476000000001</v>
      </c>
      <c r="Q476" s="1">
        <v>4680.7823999999991</v>
      </c>
      <c r="R476" s="1">
        <v>47.999999999999993</v>
      </c>
      <c r="S476" s="1" t="s">
        <v>60</v>
      </c>
    </row>
    <row r="477" spans="1:19" x14ac:dyDescent="0.35">
      <c r="A477" s="1" t="s">
        <v>794</v>
      </c>
      <c r="B477" s="3">
        <v>46017</v>
      </c>
      <c r="C477" s="1" t="s">
        <v>67</v>
      </c>
      <c r="D477" s="1">
        <v>12</v>
      </c>
      <c r="E477" s="1" t="s">
        <v>165</v>
      </c>
      <c r="F477" s="1" t="s">
        <v>30</v>
      </c>
      <c r="G477" s="1" t="s">
        <v>38</v>
      </c>
      <c r="H477" s="1" t="s">
        <v>24</v>
      </c>
      <c r="I477" s="1" t="s">
        <v>139</v>
      </c>
      <c r="J477" s="1">
        <v>3</v>
      </c>
      <c r="K477" s="1">
        <v>4122.95</v>
      </c>
      <c r="L477" s="1">
        <v>0.1</v>
      </c>
      <c r="M477" s="1">
        <v>12368.85</v>
      </c>
      <c r="N477" s="1">
        <v>1236.885</v>
      </c>
      <c r="O477" s="1">
        <v>11131.965</v>
      </c>
      <c r="P477" s="1">
        <v>6122.5807499999992</v>
      </c>
      <c r="Q477" s="1">
        <v>5009.3842499999992</v>
      </c>
      <c r="R477" s="1">
        <v>45</v>
      </c>
      <c r="S477" s="1" t="s">
        <v>93</v>
      </c>
    </row>
    <row r="478" spans="1:19" x14ac:dyDescent="0.35">
      <c r="A478" s="1" t="s">
        <v>795</v>
      </c>
      <c r="B478" s="3">
        <v>45877</v>
      </c>
      <c r="C478" s="1" t="s">
        <v>113</v>
      </c>
      <c r="D478" s="1">
        <v>8</v>
      </c>
      <c r="E478" s="1" t="s">
        <v>796</v>
      </c>
      <c r="F478" s="1" t="s">
        <v>47</v>
      </c>
      <c r="G478" s="1" t="s">
        <v>38</v>
      </c>
      <c r="H478" s="1" t="s">
        <v>99</v>
      </c>
      <c r="I478" s="1" t="s">
        <v>108</v>
      </c>
      <c r="J478" s="1">
        <v>6</v>
      </c>
      <c r="K478" s="1">
        <v>8342.59</v>
      </c>
      <c r="L478" s="1">
        <v>0.3</v>
      </c>
      <c r="M478" s="1">
        <v>50055.54</v>
      </c>
      <c r="N478" s="1">
        <v>15016.662</v>
      </c>
      <c r="O478" s="1">
        <v>35038.877999999997</v>
      </c>
      <c r="P478" s="1">
        <v>23826.437040000001</v>
      </c>
      <c r="Q478" s="1">
        <v>11212.44096</v>
      </c>
      <c r="R478" s="1">
        <v>31.999999999999989</v>
      </c>
      <c r="S478" s="1" t="s">
        <v>60</v>
      </c>
    </row>
    <row r="479" spans="1:19" x14ac:dyDescent="0.35">
      <c r="A479" s="1" t="s">
        <v>797</v>
      </c>
      <c r="B479" s="3">
        <v>45733</v>
      </c>
      <c r="C479" s="1" t="s">
        <v>28</v>
      </c>
      <c r="D479" s="1">
        <v>3</v>
      </c>
      <c r="E479" s="1" t="s">
        <v>212</v>
      </c>
      <c r="F479" s="1" t="s">
        <v>37</v>
      </c>
      <c r="G479" s="1" t="s">
        <v>23</v>
      </c>
      <c r="H479" s="1" t="s">
        <v>39</v>
      </c>
      <c r="I479" s="1" t="s">
        <v>214</v>
      </c>
      <c r="J479" s="1">
        <v>7</v>
      </c>
      <c r="K479" s="1">
        <v>20440.810000000001</v>
      </c>
      <c r="L479" s="1">
        <v>0.3</v>
      </c>
      <c r="M479" s="1">
        <v>143085.67000000001</v>
      </c>
      <c r="N479" s="1">
        <v>42925.701000000001</v>
      </c>
      <c r="O479" s="1">
        <v>100159.969</v>
      </c>
      <c r="P479" s="1">
        <v>78124.77582000001</v>
      </c>
      <c r="Q479" s="1">
        <v>22035.193179999998</v>
      </c>
      <c r="R479" s="1">
        <v>22</v>
      </c>
      <c r="S479" s="1" t="s">
        <v>93</v>
      </c>
    </row>
    <row r="480" spans="1:19" x14ac:dyDescent="0.35">
      <c r="A480" s="1" t="s">
        <v>798</v>
      </c>
      <c r="B480" s="3">
        <v>45992</v>
      </c>
      <c r="C480" s="1" t="s">
        <v>67</v>
      </c>
      <c r="D480" s="1">
        <v>12</v>
      </c>
      <c r="E480" s="1" t="s">
        <v>194</v>
      </c>
      <c r="F480" s="1" t="s">
        <v>76</v>
      </c>
      <c r="G480" s="1" t="s">
        <v>64</v>
      </c>
      <c r="H480" s="1" t="s">
        <v>39</v>
      </c>
      <c r="I480" s="1" t="s">
        <v>214</v>
      </c>
      <c r="J480" s="1">
        <v>6</v>
      </c>
      <c r="K480" s="1">
        <v>35208.97</v>
      </c>
      <c r="L480" s="1">
        <v>0.1</v>
      </c>
      <c r="M480" s="1">
        <v>211253.82</v>
      </c>
      <c r="N480" s="1">
        <v>21125.382000000001</v>
      </c>
      <c r="O480" s="1">
        <v>190128.43799999999</v>
      </c>
      <c r="P480" s="1">
        <v>148300.18164</v>
      </c>
      <c r="Q480" s="1">
        <v>41828.256359999999</v>
      </c>
      <c r="R480" s="1">
        <v>22</v>
      </c>
      <c r="S480" s="1" t="s">
        <v>93</v>
      </c>
    </row>
    <row r="481" spans="1:19" x14ac:dyDescent="0.35">
      <c r="A481" s="1" t="s">
        <v>799</v>
      </c>
      <c r="B481" s="3">
        <v>45802</v>
      </c>
      <c r="C481" s="1" t="s">
        <v>97</v>
      </c>
      <c r="D481" s="1">
        <v>5</v>
      </c>
      <c r="E481" s="1" t="s">
        <v>346</v>
      </c>
      <c r="F481" s="1" t="s">
        <v>30</v>
      </c>
      <c r="G481" s="1" t="s">
        <v>64</v>
      </c>
      <c r="H481" s="1" t="s">
        <v>77</v>
      </c>
      <c r="I481" s="1" t="s">
        <v>78</v>
      </c>
      <c r="J481" s="1">
        <v>1</v>
      </c>
      <c r="K481" s="1">
        <v>462.08</v>
      </c>
      <c r="L481" s="1">
        <v>0.25</v>
      </c>
      <c r="M481" s="1">
        <v>462.08</v>
      </c>
      <c r="N481" s="1">
        <v>115.52</v>
      </c>
      <c r="O481" s="1">
        <v>346.56</v>
      </c>
      <c r="P481" s="1">
        <v>249.5232</v>
      </c>
      <c r="Q481" s="1">
        <v>97.036799999999999</v>
      </c>
      <c r="R481" s="1">
        <v>28</v>
      </c>
      <c r="S481" s="1" t="s">
        <v>26</v>
      </c>
    </row>
    <row r="482" spans="1:19" x14ac:dyDescent="0.35">
      <c r="A482" s="1" t="s">
        <v>800</v>
      </c>
      <c r="B482" s="3">
        <v>45926</v>
      </c>
      <c r="C482" s="1" t="s">
        <v>50</v>
      </c>
      <c r="D482" s="1">
        <v>9</v>
      </c>
      <c r="E482" s="1" t="s">
        <v>204</v>
      </c>
      <c r="F482" s="1" t="s">
        <v>111</v>
      </c>
      <c r="G482" s="1" t="s">
        <v>23</v>
      </c>
      <c r="H482" s="1" t="s">
        <v>39</v>
      </c>
      <c r="I482" s="1" t="s">
        <v>214</v>
      </c>
      <c r="J482" s="1">
        <v>7</v>
      </c>
      <c r="K482" s="1">
        <v>25287.3</v>
      </c>
      <c r="L482" s="1">
        <v>0.25</v>
      </c>
      <c r="M482" s="1">
        <v>177011.1</v>
      </c>
      <c r="N482" s="1">
        <v>44252.775000000001</v>
      </c>
      <c r="O482" s="1">
        <v>132758.32500000001</v>
      </c>
      <c r="P482" s="1">
        <v>103551.4935</v>
      </c>
      <c r="Q482" s="1">
        <v>29206.8315</v>
      </c>
      <c r="R482" s="1">
        <v>22</v>
      </c>
      <c r="S482" s="1" t="s">
        <v>60</v>
      </c>
    </row>
    <row r="483" spans="1:19" x14ac:dyDescent="0.35">
      <c r="A483" s="1" t="s">
        <v>801</v>
      </c>
      <c r="B483" s="3">
        <v>45874</v>
      </c>
      <c r="C483" s="1" t="s">
        <v>113</v>
      </c>
      <c r="D483" s="1">
        <v>8</v>
      </c>
      <c r="E483" s="1" t="s">
        <v>608</v>
      </c>
      <c r="F483" s="1" t="s">
        <v>47</v>
      </c>
      <c r="G483" s="1" t="s">
        <v>23</v>
      </c>
      <c r="H483" s="1" t="s">
        <v>99</v>
      </c>
      <c r="I483" s="1" t="s">
        <v>108</v>
      </c>
      <c r="J483" s="1">
        <v>2</v>
      </c>
      <c r="K483" s="1">
        <v>23584.95</v>
      </c>
      <c r="L483" s="1">
        <v>0.1</v>
      </c>
      <c r="M483" s="1">
        <v>47169.9</v>
      </c>
      <c r="N483" s="1">
        <v>4716.9900000000007</v>
      </c>
      <c r="O483" s="1">
        <v>42452.91</v>
      </c>
      <c r="P483" s="1">
        <v>28867.978800000001</v>
      </c>
      <c r="Q483" s="1">
        <v>13584.931200000001</v>
      </c>
      <c r="R483" s="1">
        <v>32</v>
      </c>
      <c r="S483" s="1" t="s">
        <v>60</v>
      </c>
    </row>
    <row r="484" spans="1:19" x14ac:dyDescent="0.35">
      <c r="A484" s="1" t="s">
        <v>802</v>
      </c>
      <c r="B484" s="3">
        <v>45906</v>
      </c>
      <c r="C484" s="1" t="s">
        <v>50</v>
      </c>
      <c r="D484" s="1">
        <v>9</v>
      </c>
      <c r="E484" s="1" t="s">
        <v>409</v>
      </c>
      <c r="F484" s="1" t="s">
        <v>69</v>
      </c>
      <c r="G484" s="1" t="s">
        <v>64</v>
      </c>
      <c r="H484" s="1" t="s">
        <v>77</v>
      </c>
      <c r="I484" s="1" t="s">
        <v>90</v>
      </c>
      <c r="J484" s="1">
        <v>6</v>
      </c>
      <c r="K484" s="1">
        <v>128.72</v>
      </c>
      <c r="L484" s="1">
        <v>0.1</v>
      </c>
      <c r="M484" s="1">
        <v>772.31999999999994</v>
      </c>
      <c r="N484" s="1">
        <v>77.231999999999999</v>
      </c>
      <c r="O484" s="1">
        <v>695.08799999999997</v>
      </c>
      <c r="P484" s="1">
        <v>500.46336000000002</v>
      </c>
      <c r="Q484" s="1">
        <v>194.62464</v>
      </c>
      <c r="R484" s="1">
        <v>28</v>
      </c>
      <c r="S484" s="1" t="s">
        <v>26</v>
      </c>
    </row>
    <row r="485" spans="1:19" x14ac:dyDescent="0.35">
      <c r="A485" s="1" t="s">
        <v>803</v>
      </c>
      <c r="B485" s="3">
        <v>45757</v>
      </c>
      <c r="C485" s="1" t="s">
        <v>20</v>
      </c>
      <c r="D485" s="1">
        <v>4</v>
      </c>
      <c r="E485" s="1" t="s">
        <v>196</v>
      </c>
      <c r="F485" s="1" t="s">
        <v>22</v>
      </c>
      <c r="G485" s="1" t="s">
        <v>38</v>
      </c>
      <c r="H485" s="1" t="s">
        <v>53</v>
      </c>
      <c r="I485" s="1" t="s">
        <v>54</v>
      </c>
      <c r="J485" s="1">
        <v>2</v>
      </c>
      <c r="K485" s="1">
        <v>2100.75</v>
      </c>
      <c r="L485" s="1">
        <v>0.2</v>
      </c>
      <c r="M485" s="1">
        <v>4201.5</v>
      </c>
      <c r="N485" s="1">
        <v>840.30000000000007</v>
      </c>
      <c r="O485" s="1">
        <v>3361.2</v>
      </c>
      <c r="P485" s="1">
        <v>1949.4960000000001</v>
      </c>
      <c r="Q485" s="1">
        <v>1411.704</v>
      </c>
      <c r="R485" s="1">
        <v>42</v>
      </c>
      <c r="S485" s="1" t="s">
        <v>60</v>
      </c>
    </row>
    <row r="486" spans="1:19" x14ac:dyDescent="0.35">
      <c r="A486" s="1" t="s">
        <v>804</v>
      </c>
      <c r="B486" s="3">
        <v>46012</v>
      </c>
      <c r="C486" s="1" t="s">
        <v>67</v>
      </c>
      <c r="D486" s="1">
        <v>12</v>
      </c>
      <c r="E486" s="1" t="s">
        <v>321</v>
      </c>
      <c r="F486" s="1" t="s">
        <v>58</v>
      </c>
      <c r="G486" s="1" t="s">
        <v>38</v>
      </c>
      <c r="H486" s="1" t="s">
        <v>24</v>
      </c>
      <c r="I486" s="1" t="s">
        <v>48</v>
      </c>
      <c r="J486" s="1">
        <v>5</v>
      </c>
      <c r="K486" s="1">
        <v>3424.14</v>
      </c>
      <c r="L486" s="1">
        <v>0.1</v>
      </c>
      <c r="M486" s="1">
        <v>17120.7</v>
      </c>
      <c r="N486" s="1">
        <v>1712.07</v>
      </c>
      <c r="O486" s="1">
        <v>15408.63</v>
      </c>
      <c r="P486" s="1">
        <v>8474.7465000000011</v>
      </c>
      <c r="Q486" s="1">
        <v>6933.8834999999999</v>
      </c>
      <c r="R486" s="1">
        <v>44.999999999999993</v>
      </c>
      <c r="S486" s="1" t="s">
        <v>33</v>
      </c>
    </row>
    <row r="487" spans="1:19" x14ac:dyDescent="0.35">
      <c r="A487" s="1" t="s">
        <v>805</v>
      </c>
      <c r="B487" s="3">
        <v>46003</v>
      </c>
      <c r="C487" s="1" t="s">
        <v>67</v>
      </c>
      <c r="D487" s="1">
        <v>12</v>
      </c>
      <c r="E487" s="1" t="s">
        <v>181</v>
      </c>
      <c r="F487" s="1" t="s">
        <v>30</v>
      </c>
      <c r="G487" s="1" t="s">
        <v>38</v>
      </c>
      <c r="H487" s="1" t="s">
        <v>24</v>
      </c>
      <c r="I487" s="1" t="s">
        <v>25</v>
      </c>
      <c r="J487" s="1">
        <v>5</v>
      </c>
      <c r="K487" s="1">
        <v>4405.63</v>
      </c>
      <c r="L487" s="1">
        <v>0</v>
      </c>
      <c r="M487" s="1">
        <v>22028.15</v>
      </c>
      <c r="N487" s="1">
        <v>0</v>
      </c>
      <c r="O487" s="1">
        <v>22028.15</v>
      </c>
      <c r="P487" s="1">
        <v>12115.4825</v>
      </c>
      <c r="Q487" s="1">
        <v>9912.6674999999996</v>
      </c>
      <c r="R487" s="1">
        <v>44.999999999999993</v>
      </c>
      <c r="S487" s="1" t="s">
        <v>60</v>
      </c>
    </row>
    <row r="488" spans="1:19" x14ac:dyDescent="0.35">
      <c r="A488" s="1" t="s">
        <v>806</v>
      </c>
      <c r="B488" s="3">
        <v>45702</v>
      </c>
      <c r="C488" s="1" t="s">
        <v>42</v>
      </c>
      <c r="D488" s="1">
        <v>2</v>
      </c>
      <c r="E488" s="1" t="s">
        <v>513</v>
      </c>
      <c r="F488" s="1" t="s">
        <v>43</v>
      </c>
      <c r="G488" s="1" t="s">
        <v>38</v>
      </c>
      <c r="H488" s="1" t="s">
        <v>99</v>
      </c>
      <c r="I488" s="1" t="s">
        <v>145</v>
      </c>
      <c r="J488" s="1">
        <v>7</v>
      </c>
      <c r="K488" s="1">
        <v>23521.84</v>
      </c>
      <c r="L488" s="1">
        <v>0.25</v>
      </c>
      <c r="M488" s="1">
        <v>164652.88</v>
      </c>
      <c r="N488" s="1">
        <v>41163.22</v>
      </c>
      <c r="O488" s="1">
        <v>123489.66</v>
      </c>
      <c r="P488" s="1">
        <v>83972.968800000002</v>
      </c>
      <c r="Q488" s="1">
        <v>39516.691200000001</v>
      </c>
      <c r="R488" s="1">
        <v>32</v>
      </c>
      <c r="S488" s="1" t="s">
        <v>73</v>
      </c>
    </row>
    <row r="489" spans="1:19" x14ac:dyDescent="0.35">
      <c r="A489" s="1" t="s">
        <v>807</v>
      </c>
      <c r="B489" s="3">
        <v>45854</v>
      </c>
      <c r="C489" s="1" t="s">
        <v>62</v>
      </c>
      <c r="D489" s="1">
        <v>7</v>
      </c>
      <c r="E489" s="1" t="s">
        <v>719</v>
      </c>
      <c r="F489" s="1" t="s">
        <v>22</v>
      </c>
      <c r="G489" s="1" t="s">
        <v>64</v>
      </c>
      <c r="H489" s="1" t="s">
        <v>31</v>
      </c>
      <c r="I489" s="1" t="s">
        <v>32</v>
      </c>
      <c r="J489" s="1">
        <v>5</v>
      </c>
      <c r="K489" s="1">
        <v>1514.15</v>
      </c>
      <c r="L489" s="1">
        <v>0.1</v>
      </c>
      <c r="M489" s="1">
        <v>7570.75</v>
      </c>
      <c r="N489" s="1">
        <v>757.07500000000005</v>
      </c>
      <c r="O489" s="1">
        <v>6813.6750000000002</v>
      </c>
      <c r="P489" s="1">
        <v>3543.1109999999999</v>
      </c>
      <c r="Q489" s="1">
        <v>3270.5639999999999</v>
      </c>
      <c r="R489" s="1">
        <v>48</v>
      </c>
      <c r="S489" s="1" t="s">
        <v>93</v>
      </c>
    </row>
    <row r="490" spans="1:19" x14ac:dyDescent="0.35">
      <c r="A490" s="1" t="s">
        <v>808</v>
      </c>
      <c r="B490" s="3">
        <v>45765</v>
      </c>
      <c r="C490" s="1" t="s">
        <v>20</v>
      </c>
      <c r="D490" s="1">
        <v>4</v>
      </c>
      <c r="E490" s="1" t="s">
        <v>564</v>
      </c>
      <c r="F490" s="1" t="s">
        <v>30</v>
      </c>
      <c r="G490" s="1" t="s">
        <v>23</v>
      </c>
      <c r="H490" s="1" t="s">
        <v>24</v>
      </c>
      <c r="I490" s="1" t="s">
        <v>117</v>
      </c>
      <c r="J490" s="1">
        <v>5</v>
      </c>
      <c r="K490" s="1">
        <v>5532.83</v>
      </c>
      <c r="L490" s="1">
        <v>0.05</v>
      </c>
      <c r="M490" s="1">
        <v>27664.15</v>
      </c>
      <c r="N490" s="1">
        <v>1383.2075</v>
      </c>
      <c r="O490" s="1">
        <v>26280.942500000001</v>
      </c>
      <c r="P490" s="1">
        <v>14454.518375</v>
      </c>
      <c r="Q490" s="1">
        <v>11826.424125</v>
      </c>
      <c r="R490" s="1">
        <v>44.999999999999993</v>
      </c>
      <c r="S490" s="1" t="s">
        <v>93</v>
      </c>
    </row>
    <row r="491" spans="1:19" x14ac:dyDescent="0.35">
      <c r="A491" s="1" t="s">
        <v>809</v>
      </c>
      <c r="B491" s="3">
        <v>45859</v>
      </c>
      <c r="C491" s="1" t="s">
        <v>62</v>
      </c>
      <c r="D491" s="1">
        <v>7</v>
      </c>
      <c r="E491" s="1" t="s">
        <v>265</v>
      </c>
      <c r="F491" s="1" t="s">
        <v>76</v>
      </c>
      <c r="G491" s="1" t="s">
        <v>38</v>
      </c>
      <c r="H491" s="1" t="s">
        <v>24</v>
      </c>
      <c r="I491" s="1" t="s">
        <v>48</v>
      </c>
      <c r="J491" s="1">
        <v>6</v>
      </c>
      <c r="K491" s="1">
        <v>2288.66</v>
      </c>
      <c r="L491" s="1">
        <v>0</v>
      </c>
      <c r="M491" s="1">
        <v>13731.96</v>
      </c>
      <c r="N491" s="1">
        <v>0</v>
      </c>
      <c r="O491" s="1">
        <v>13731.96</v>
      </c>
      <c r="P491" s="1">
        <v>7552.5780000000004</v>
      </c>
      <c r="Q491" s="1">
        <v>6179.3819999999987</v>
      </c>
      <c r="R491" s="1">
        <v>44.999999999999993</v>
      </c>
      <c r="S491" s="1" t="s">
        <v>60</v>
      </c>
    </row>
    <row r="492" spans="1:19" x14ac:dyDescent="0.35">
      <c r="A492" s="1" t="s">
        <v>810</v>
      </c>
      <c r="B492" s="3">
        <v>45954</v>
      </c>
      <c r="C492" s="1" t="s">
        <v>35</v>
      </c>
      <c r="D492" s="1">
        <v>10</v>
      </c>
      <c r="E492" s="1" t="s">
        <v>285</v>
      </c>
      <c r="F492" s="1" t="s">
        <v>52</v>
      </c>
      <c r="G492" s="1" t="s">
        <v>64</v>
      </c>
      <c r="H492" s="1" t="s">
        <v>53</v>
      </c>
      <c r="I492" s="1" t="s">
        <v>72</v>
      </c>
      <c r="J492" s="1">
        <v>5</v>
      </c>
      <c r="K492" s="1">
        <v>2157.2600000000002</v>
      </c>
      <c r="L492" s="1">
        <v>0.2</v>
      </c>
      <c r="M492" s="1">
        <v>10786.3</v>
      </c>
      <c r="N492" s="1">
        <v>2157.2600000000002</v>
      </c>
      <c r="O492" s="1">
        <v>8629.0400000000009</v>
      </c>
      <c r="P492" s="1">
        <v>5004.8432000000003</v>
      </c>
      <c r="Q492" s="1">
        <v>3624.1968000000011</v>
      </c>
      <c r="R492" s="1">
        <v>42.000000000000007</v>
      </c>
      <c r="S492" s="1" t="s">
        <v>26</v>
      </c>
    </row>
    <row r="493" spans="1:19" x14ac:dyDescent="0.35">
      <c r="A493" s="1" t="s">
        <v>811</v>
      </c>
      <c r="B493" s="3">
        <v>45908</v>
      </c>
      <c r="C493" s="1" t="s">
        <v>50</v>
      </c>
      <c r="D493" s="1">
        <v>9</v>
      </c>
      <c r="E493" s="1" t="s">
        <v>812</v>
      </c>
      <c r="F493" s="1" t="s">
        <v>76</v>
      </c>
      <c r="G493" s="1" t="s">
        <v>23</v>
      </c>
      <c r="H493" s="1" t="s">
        <v>99</v>
      </c>
      <c r="I493" s="1" t="s">
        <v>223</v>
      </c>
      <c r="J493" s="1">
        <v>3</v>
      </c>
      <c r="K493" s="1">
        <v>24946.51</v>
      </c>
      <c r="L493" s="1">
        <v>0.05</v>
      </c>
      <c r="M493" s="1">
        <v>74839.53</v>
      </c>
      <c r="N493" s="1">
        <v>3741.9765000000002</v>
      </c>
      <c r="O493" s="1">
        <v>71097.553499999995</v>
      </c>
      <c r="P493" s="1">
        <v>48346.336380000001</v>
      </c>
      <c r="Q493" s="1">
        <v>22751.21711999999</v>
      </c>
      <c r="R493" s="1">
        <v>32</v>
      </c>
      <c r="S493" s="1" t="s">
        <v>26</v>
      </c>
    </row>
    <row r="494" spans="1:19" x14ac:dyDescent="0.35">
      <c r="A494" s="1" t="s">
        <v>813</v>
      </c>
      <c r="B494" s="3">
        <v>45890</v>
      </c>
      <c r="C494" s="1" t="s">
        <v>113</v>
      </c>
      <c r="D494" s="1">
        <v>8</v>
      </c>
      <c r="E494" s="1" t="s">
        <v>405</v>
      </c>
      <c r="F494" s="1" t="s">
        <v>58</v>
      </c>
      <c r="G494" s="1" t="s">
        <v>38</v>
      </c>
      <c r="H494" s="1" t="s">
        <v>39</v>
      </c>
      <c r="I494" s="1" t="s">
        <v>87</v>
      </c>
      <c r="J494" s="1">
        <v>7</v>
      </c>
      <c r="K494" s="1">
        <v>11744.45</v>
      </c>
      <c r="L494" s="1">
        <v>0.25</v>
      </c>
      <c r="M494" s="1">
        <v>82211.150000000009</v>
      </c>
      <c r="N494" s="1">
        <v>20552.787499999999</v>
      </c>
      <c r="O494" s="1">
        <v>61658.362500000003</v>
      </c>
      <c r="P494" s="1">
        <v>48093.522749999996</v>
      </c>
      <c r="Q494" s="1">
        <v>13564.839749999999</v>
      </c>
      <c r="R494" s="1">
        <v>22</v>
      </c>
      <c r="S494" s="1" t="s">
        <v>33</v>
      </c>
    </row>
    <row r="495" spans="1:19" x14ac:dyDescent="0.35">
      <c r="A495" s="1" t="s">
        <v>814</v>
      </c>
      <c r="B495" s="3">
        <v>45894</v>
      </c>
      <c r="C495" s="1" t="s">
        <v>113</v>
      </c>
      <c r="D495" s="1">
        <v>8</v>
      </c>
      <c r="E495" s="1" t="s">
        <v>815</v>
      </c>
      <c r="F495" s="1" t="s">
        <v>22</v>
      </c>
      <c r="G495" s="1" t="s">
        <v>38</v>
      </c>
      <c r="H495" s="1" t="s">
        <v>39</v>
      </c>
      <c r="I495" s="1" t="s">
        <v>87</v>
      </c>
      <c r="J495" s="1">
        <v>2</v>
      </c>
      <c r="K495" s="1">
        <v>59183.98</v>
      </c>
      <c r="L495" s="1">
        <v>0</v>
      </c>
      <c r="M495" s="1">
        <v>118367.96</v>
      </c>
      <c r="N495" s="1">
        <v>0</v>
      </c>
      <c r="O495" s="1">
        <v>118367.96</v>
      </c>
      <c r="P495" s="1">
        <v>92327.008800000011</v>
      </c>
      <c r="Q495" s="1">
        <v>26040.9512</v>
      </c>
      <c r="R495" s="1">
        <v>21.999999999999989</v>
      </c>
      <c r="S495" s="1" t="s">
        <v>60</v>
      </c>
    </row>
    <row r="496" spans="1:19" x14ac:dyDescent="0.35">
      <c r="A496" s="1" t="s">
        <v>816</v>
      </c>
      <c r="B496" s="3">
        <v>45991</v>
      </c>
      <c r="C496" s="1" t="s">
        <v>56</v>
      </c>
      <c r="D496" s="1">
        <v>11</v>
      </c>
      <c r="E496" s="1" t="s">
        <v>817</v>
      </c>
      <c r="F496" s="1" t="s">
        <v>111</v>
      </c>
      <c r="G496" s="1" t="s">
        <v>64</v>
      </c>
      <c r="H496" s="1" t="s">
        <v>53</v>
      </c>
      <c r="I496" s="1" t="s">
        <v>123</v>
      </c>
      <c r="J496" s="1">
        <v>4</v>
      </c>
      <c r="K496" s="1">
        <v>905.5</v>
      </c>
      <c r="L496" s="1">
        <v>0</v>
      </c>
      <c r="M496" s="1">
        <v>3622</v>
      </c>
      <c r="N496" s="1">
        <v>0</v>
      </c>
      <c r="O496" s="1">
        <v>3622</v>
      </c>
      <c r="P496" s="1">
        <v>2100.7600000000002</v>
      </c>
      <c r="Q496" s="1">
        <v>1521.24</v>
      </c>
      <c r="R496" s="1">
        <v>42.000000000000007</v>
      </c>
      <c r="S496" s="1" t="s">
        <v>60</v>
      </c>
    </row>
    <row r="497" spans="1:19" x14ac:dyDescent="0.35">
      <c r="A497" s="1" t="s">
        <v>818</v>
      </c>
      <c r="B497" s="3">
        <v>45721</v>
      </c>
      <c r="C497" s="1" t="s">
        <v>28</v>
      </c>
      <c r="D497" s="1">
        <v>3</v>
      </c>
      <c r="E497" s="1" t="s">
        <v>150</v>
      </c>
      <c r="F497" s="1" t="s">
        <v>76</v>
      </c>
      <c r="G497" s="1" t="s">
        <v>38</v>
      </c>
      <c r="H497" s="1" t="s">
        <v>99</v>
      </c>
      <c r="I497" s="1" t="s">
        <v>145</v>
      </c>
      <c r="J497" s="1">
        <v>4</v>
      </c>
      <c r="K497" s="1">
        <v>3308.43</v>
      </c>
      <c r="L497" s="1">
        <v>0.25</v>
      </c>
      <c r="M497" s="1">
        <v>13233.72</v>
      </c>
      <c r="N497" s="1">
        <v>3308.43</v>
      </c>
      <c r="O497" s="1">
        <v>9925.2899999999991</v>
      </c>
      <c r="P497" s="1">
        <v>6749.1971999999996</v>
      </c>
      <c r="Q497" s="1">
        <v>3176.092799999999</v>
      </c>
      <c r="R497" s="1">
        <v>32</v>
      </c>
      <c r="S497" s="1" t="s">
        <v>26</v>
      </c>
    </row>
    <row r="498" spans="1:19" x14ac:dyDescent="0.35">
      <c r="A498" s="1" t="s">
        <v>819</v>
      </c>
      <c r="B498" s="3">
        <v>45844</v>
      </c>
      <c r="C498" s="1" t="s">
        <v>62</v>
      </c>
      <c r="D498" s="1">
        <v>7</v>
      </c>
      <c r="E498" s="1" t="s">
        <v>321</v>
      </c>
      <c r="F498" s="1" t="s">
        <v>37</v>
      </c>
      <c r="G498" s="1" t="s">
        <v>64</v>
      </c>
      <c r="H498" s="1" t="s">
        <v>99</v>
      </c>
      <c r="I498" s="1" t="s">
        <v>108</v>
      </c>
      <c r="J498" s="1">
        <v>6</v>
      </c>
      <c r="K498" s="1">
        <v>20086.349999999999</v>
      </c>
      <c r="L498" s="1">
        <v>0.1</v>
      </c>
      <c r="M498" s="1">
        <v>120518.1</v>
      </c>
      <c r="N498" s="1">
        <v>12051.81</v>
      </c>
      <c r="O498" s="1">
        <v>108466.29</v>
      </c>
      <c r="P498" s="1">
        <v>73757.0772</v>
      </c>
      <c r="Q498" s="1">
        <v>34709.212799999987</v>
      </c>
      <c r="R498" s="1">
        <v>32</v>
      </c>
      <c r="S498" s="1" t="s">
        <v>73</v>
      </c>
    </row>
    <row r="499" spans="1:19" x14ac:dyDescent="0.35">
      <c r="A499" s="1" t="s">
        <v>820</v>
      </c>
      <c r="B499" s="3">
        <v>45972</v>
      </c>
      <c r="C499" s="1" t="s">
        <v>56</v>
      </c>
      <c r="D499" s="1">
        <v>11</v>
      </c>
      <c r="E499" s="1" t="s">
        <v>821</v>
      </c>
      <c r="F499" s="1" t="s">
        <v>22</v>
      </c>
      <c r="G499" s="1" t="s">
        <v>23</v>
      </c>
      <c r="H499" s="1" t="s">
        <v>53</v>
      </c>
      <c r="I499" s="1" t="s">
        <v>72</v>
      </c>
      <c r="J499" s="1">
        <v>3</v>
      </c>
      <c r="K499" s="1">
        <v>1458.57</v>
      </c>
      <c r="L499" s="1">
        <v>0.2</v>
      </c>
      <c r="M499" s="1">
        <v>4375.71</v>
      </c>
      <c r="N499" s="1">
        <v>875.14200000000005</v>
      </c>
      <c r="O499" s="1">
        <v>3500.5680000000002</v>
      </c>
      <c r="P499" s="1">
        <v>2030.32944</v>
      </c>
      <c r="Q499" s="1">
        <v>1470.23856</v>
      </c>
      <c r="R499" s="1">
        <v>42.000000000000007</v>
      </c>
      <c r="S499" s="1" t="s">
        <v>33</v>
      </c>
    </row>
    <row r="500" spans="1:19" x14ac:dyDescent="0.35">
      <c r="A500" s="1" t="s">
        <v>822</v>
      </c>
      <c r="B500" s="3">
        <v>45798</v>
      </c>
      <c r="C500" s="1" t="s">
        <v>97</v>
      </c>
      <c r="D500" s="1">
        <v>5</v>
      </c>
      <c r="E500" s="1" t="s">
        <v>441</v>
      </c>
      <c r="F500" s="1" t="s">
        <v>111</v>
      </c>
      <c r="G500" s="1" t="s">
        <v>64</v>
      </c>
      <c r="H500" s="1" t="s">
        <v>77</v>
      </c>
      <c r="I500" s="1" t="s">
        <v>201</v>
      </c>
      <c r="J500" s="1">
        <v>3</v>
      </c>
      <c r="K500" s="1">
        <v>976.5</v>
      </c>
      <c r="L500" s="1">
        <v>0.05</v>
      </c>
      <c r="M500" s="1">
        <v>2929.5</v>
      </c>
      <c r="N500" s="1">
        <v>146.47499999999999</v>
      </c>
      <c r="O500" s="1">
        <v>2783.0250000000001</v>
      </c>
      <c r="P500" s="1">
        <v>2003.778</v>
      </c>
      <c r="Q500" s="1">
        <v>779.24700000000007</v>
      </c>
      <c r="R500" s="1">
        <v>28</v>
      </c>
      <c r="S500" s="1" t="s">
        <v>33</v>
      </c>
    </row>
    <row r="501" spans="1:19" x14ac:dyDescent="0.35">
      <c r="A501" s="1" t="s">
        <v>823</v>
      </c>
      <c r="B501" s="3">
        <v>45941</v>
      </c>
      <c r="C501" s="1" t="s">
        <v>35</v>
      </c>
      <c r="D501" s="1">
        <v>10</v>
      </c>
      <c r="E501" s="1" t="s">
        <v>107</v>
      </c>
      <c r="F501" s="1" t="s">
        <v>37</v>
      </c>
      <c r="G501" s="1" t="s">
        <v>38</v>
      </c>
      <c r="H501" s="1" t="s">
        <v>77</v>
      </c>
      <c r="I501" s="1" t="s">
        <v>78</v>
      </c>
      <c r="J501" s="1">
        <v>5</v>
      </c>
      <c r="K501" s="1">
        <v>770.43</v>
      </c>
      <c r="L501" s="1">
        <v>0.05</v>
      </c>
      <c r="M501" s="1">
        <v>3852.15</v>
      </c>
      <c r="N501" s="1">
        <v>192.60749999999999</v>
      </c>
      <c r="O501" s="1">
        <v>3659.5425</v>
      </c>
      <c r="P501" s="1">
        <v>2634.8706000000002</v>
      </c>
      <c r="Q501" s="1">
        <v>1024.6719000000001</v>
      </c>
      <c r="R501" s="1">
        <v>28</v>
      </c>
      <c r="S501" s="1" t="s">
        <v>33</v>
      </c>
    </row>
    <row r="502" spans="1:19" x14ac:dyDescent="0.35">
      <c r="A502" s="1" t="s">
        <v>824</v>
      </c>
      <c r="B502" s="3">
        <v>45781</v>
      </c>
      <c r="C502" s="1" t="s">
        <v>97</v>
      </c>
      <c r="D502" s="1">
        <v>5</v>
      </c>
      <c r="E502" s="1" t="s">
        <v>144</v>
      </c>
      <c r="F502" s="1" t="s">
        <v>37</v>
      </c>
      <c r="G502" s="1" t="s">
        <v>64</v>
      </c>
      <c r="H502" s="1" t="s">
        <v>31</v>
      </c>
      <c r="I502" s="1" t="s">
        <v>65</v>
      </c>
      <c r="J502" s="1">
        <v>5</v>
      </c>
      <c r="K502" s="1">
        <v>2600.85</v>
      </c>
      <c r="L502" s="1">
        <v>0.1</v>
      </c>
      <c r="M502" s="1">
        <v>13004.25</v>
      </c>
      <c r="N502" s="1">
        <v>1300.425</v>
      </c>
      <c r="O502" s="1">
        <v>11703.825000000001</v>
      </c>
      <c r="P502" s="1">
        <v>6085.9889999999996</v>
      </c>
      <c r="Q502" s="1">
        <v>5617.8360000000002</v>
      </c>
      <c r="R502" s="1">
        <v>48</v>
      </c>
      <c r="S502" s="1" t="s">
        <v>26</v>
      </c>
    </row>
    <row r="503" spans="1:19" x14ac:dyDescent="0.35">
      <c r="A503" s="1" t="s">
        <v>825</v>
      </c>
      <c r="B503" s="3">
        <v>45968</v>
      </c>
      <c r="C503" s="1" t="s">
        <v>56</v>
      </c>
      <c r="D503" s="1">
        <v>11</v>
      </c>
      <c r="E503" s="1" t="s">
        <v>303</v>
      </c>
      <c r="F503" s="1" t="s">
        <v>47</v>
      </c>
      <c r="G503" s="1" t="s">
        <v>23</v>
      </c>
      <c r="H503" s="1" t="s">
        <v>24</v>
      </c>
      <c r="I503" s="1" t="s">
        <v>44</v>
      </c>
      <c r="J503" s="1">
        <v>5</v>
      </c>
      <c r="K503" s="1">
        <v>1320.87</v>
      </c>
      <c r="L503" s="1">
        <v>0.05</v>
      </c>
      <c r="M503" s="1">
        <v>6604.3499999999995</v>
      </c>
      <c r="N503" s="1">
        <v>330.21749999999997</v>
      </c>
      <c r="O503" s="1">
        <v>6274.1324999999997</v>
      </c>
      <c r="P503" s="1">
        <v>3450.7728750000001</v>
      </c>
      <c r="Q503" s="1">
        <v>2823.3596250000001</v>
      </c>
      <c r="R503" s="1">
        <v>44.999999999999993</v>
      </c>
      <c r="S503" s="1" t="s">
        <v>93</v>
      </c>
    </row>
    <row r="504" spans="1:19" x14ac:dyDescent="0.35">
      <c r="A504" s="1" t="s">
        <v>826</v>
      </c>
      <c r="B504" s="3">
        <v>46013</v>
      </c>
      <c r="C504" s="1" t="s">
        <v>67</v>
      </c>
      <c r="D504" s="1">
        <v>12</v>
      </c>
      <c r="E504" s="1" t="s">
        <v>648</v>
      </c>
      <c r="F504" s="1" t="s">
        <v>58</v>
      </c>
      <c r="G504" s="1" t="s">
        <v>23</v>
      </c>
      <c r="H504" s="1" t="s">
        <v>77</v>
      </c>
      <c r="I504" s="1" t="s">
        <v>103</v>
      </c>
      <c r="J504" s="1">
        <v>5</v>
      </c>
      <c r="K504" s="1">
        <v>438.16</v>
      </c>
      <c r="L504" s="1">
        <v>0.2</v>
      </c>
      <c r="M504" s="1">
        <v>2190.8000000000002</v>
      </c>
      <c r="N504" s="1">
        <v>438.16000000000008</v>
      </c>
      <c r="O504" s="1">
        <v>1752.64</v>
      </c>
      <c r="P504" s="1">
        <v>1261.9007999999999</v>
      </c>
      <c r="Q504" s="1">
        <v>490.73919999999998</v>
      </c>
      <c r="R504" s="1">
        <v>28</v>
      </c>
      <c r="S504" s="1" t="s">
        <v>33</v>
      </c>
    </row>
    <row r="505" spans="1:19" x14ac:dyDescent="0.35">
      <c r="A505" s="1" t="s">
        <v>827</v>
      </c>
      <c r="B505" s="3">
        <v>45986</v>
      </c>
      <c r="C505" s="1" t="s">
        <v>56</v>
      </c>
      <c r="D505" s="1">
        <v>11</v>
      </c>
      <c r="E505" s="1" t="s">
        <v>828</v>
      </c>
      <c r="F505" s="1" t="s">
        <v>43</v>
      </c>
      <c r="G505" s="1" t="s">
        <v>23</v>
      </c>
      <c r="H505" s="1" t="s">
        <v>53</v>
      </c>
      <c r="I505" s="1" t="s">
        <v>54</v>
      </c>
      <c r="J505" s="1">
        <v>3</v>
      </c>
      <c r="K505" s="1">
        <v>1655.45</v>
      </c>
      <c r="L505" s="1">
        <v>0.25</v>
      </c>
      <c r="M505" s="1">
        <v>4966.3500000000004</v>
      </c>
      <c r="N505" s="1">
        <v>1241.5875000000001</v>
      </c>
      <c r="O505" s="1">
        <v>3724.7624999999998</v>
      </c>
      <c r="P505" s="1">
        <v>2160.3622500000001</v>
      </c>
      <c r="Q505" s="1">
        <v>1564.4002499999999</v>
      </c>
      <c r="R505" s="1">
        <v>42</v>
      </c>
      <c r="S505" s="1" t="s">
        <v>93</v>
      </c>
    </row>
    <row r="506" spans="1:19" x14ac:dyDescent="0.35">
      <c r="A506" s="1" t="s">
        <v>829</v>
      </c>
      <c r="B506" s="3">
        <v>46000</v>
      </c>
      <c r="C506" s="1" t="s">
        <v>67</v>
      </c>
      <c r="D506" s="1">
        <v>12</v>
      </c>
      <c r="E506" s="1" t="s">
        <v>830</v>
      </c>
      <c r="F506" s="1" t="s">
        <v>47</v>
      </c>
      <c r="G506" s="1" t="s">
        <v>64</v>
      </c>
      <c r="H506" s="1" t="s">
        <v>77</v>
      </c>
      <c r="I506" s="1" t="s">
        <v>201</v>
      </c>
      <c r="J506" s="1">
        <v>3</v>
      </c>
      <c r="K506" s="1">
        <v>464.55</v>
      </c>
      <c r="L506" s="1">
        <v>0.15</v>
      </c>
      <c r="M506" s="1">
        <v>1393.65</v>
      </c>
      <c r="N506" s="1">
        <v>209.04750000000001</v>
      </c>
      <c r="O506" s="1">
        <v>1184.6025</v>
      </c>
      <c r="P506" s="1">
        <v>852.91379999999992</v>
      </c>
      <c r="Q506" s="1">
        <v>331.68869999999998</v>
      </c>
      <c r="R506" s="1">
        <v>28</v>
      </c>
      <c r="S506" s="1" t="s">
        <v>60</v>
      </c>
    </row>
    <row r="507" spans="1:19" x14ac:dyDescent="0.35">
      <c r="A507" s="1" t="s">
        <v>831</v>
      </c>
      <c r="B507" s="3">
        <v>45763</v>
      </c>
      <c r="C507" s="1" t="s">
        <v>20</v>
      </c>
      <c r="D507" s="1">
        <v>4</v>
      </c>
      <c r="E507" s="1" t="s">
        <v>346</v>
      </c>
      <c r="F507" s="1" t="s">
        <v>43</v>
      </c>
      <c r="G507" s="1" t="s">
        <v>64</v>
      </c>
      <c r="H507" s="1" t="s">
        <v>24</v>
      </c>
      <c r="I507" s="1" t="s">
        <v>139</v>
      </c>
      <c r="J507" s="1">
        <v>3</v>
      </c>
      <c r="K507" s="1">
        <v>1429.84</v>
      </c>
      <c r="L507" s="1">
        <v>0.1</v>
      </c>
      <c r="M507" s="1">
        <v>4289.5200000000004</v>
      </c>
      <c r="N507" s="1">
        <v>428.952</v>
      </c>
      <c r="O507" s="1">
        <v>3860.5679999999988</v>
      </c>
      <c r="P507" s="1">
        <v>2123.3123999999998</v>
      </c>
      <c r="Q507" s="1">
        <v>1737.2556</v>
      </c>
      <c r="R507" s="1">
        <v>44.999999999999993</v>
      </c>
      <c r="S507" s="1" t="s">
        <v>26</v>
      </c>
    </row>
    <row r="508" spans="1:19" x14ac:dyDescent="0.35">
      <c r="A508" s="1" t="s">
        <v>832</v>
      </c>
      <c r="B508" s="3">
        <v>45752</v>
      </c>
      <c r="C508" s="1" t="s">
        <v>20</v>
      </c>
      <c r="D508" s="1">
        <v>4</v>
      </c>
      <c r="E508" s="1" t="s">
        <v>833</v>
      </c>
      <c r="F508" s="1" t="s">
        <v>30</v>
      </c>
      <c r="G508" s="1" t="s">
        <v>64</v>
      </c>
      <c r="H508" s="1" t="s">
        <v>31</v>
      </c>
      <c r="I508" s="1" t="s">
        <v>65</v>
      </c>
      <c r="J508" s="1">
        <v>2</v>
      </c>
      <c r="K508" s="1">
        <v>1633.39</v>
      </c>
      <c r="L508" s="1">
        <v>0.1</v>
      </c>
      <c r="M508" s="1">
        <v>3266.78</v>
      </c>
      <c r="N508" s="1">
        <v>326.67800000000011</v>
      </c>
      <c r="O508" s="1">
        <v>2940.1019999999999</v>
      </c>
      <c r="P508" s="1">
        <v>1528.85304</v>
      </c>
      <c r="Q508" s="1">
        <v>1411.2489599999999</v>
      </c>
      <c r="R508" s="1">
        <v>48</v>
      </c>
      <c r="S508" s="1" t="s">
        <v>26</v>
      </c>
    </row>
    <row r="509" spans="1:19" x14ac:dyDescent="0.35">
      <c r="A509" s="1" t="s">
        <v>834</v>
      </c>
      <c r="B509" s="3">
        <v>45745</v>
      </c>
      <c r="C509" s="1" t="s">
        <v>28</v>
      </c>
      <c r="D509" s="1">
        <v>3</v>
      </c>
      <c r="E509" s="1" t="s">
        <v>365</v>
      </c>
      <c r="F509" s="1" t="s">
        <v>76</v>
      </c>
      <c r="G509" s="1" t="s">
        <v>64</v>
      </c>
      <c r="H509" s="1" t="s">
        <v>39</v>
      </c>
      <c r="I509" s="1" t="s">
        <v>40</v>
      </c>
      <c r="J509" s="1">
        <v>3</v>
      </c>
      <c r="K509" s="1">
        <v>39702.870000000003</v>
      </c>
      <c r="L509" s="1">
        <v>0.2</v>
      </c>
      <c r="M509" s="1">
        <v>119108.61</v>
      </c>
      <c r="N509" s="1">
        <v>23821.722000000009</v>
      </c>
      <c r="O509" s="1">
        <v>95286.888000000006</v>
      </c>
      <c r="P509" s="1">
        <v>74323.77264000001</v>
      </c>
      <c r="Q509" s="1">
        <v>20963.11536</v>
      </c>
      <c r="R509" s="1">
        <v>21.999999999999989</v>
      </c>
      <c r="S509" s="1" t="s">
        <v>33</v>
      </c>
    </row>
    <row r="510" spans="1:19" x14ac:dyDescent="0.35">
      <c r="A510" s="1" t="s">
        <v>835</v>
      </c>
      <c r="B510" s="3">
        <v>45978</v>
      </c>
      <c r="C510" s="1" t="s">
        <v>56</v>
      </c>
      <c r="D510" s="1">
        <v>11</v>
      </c>
      <c r="E510" s="1" t="s">
        <v>291</v>
      </c>
      <c r="F510" s="1" t="s">
        <v>58</v>
      </c>
      <c r="G510" s="1" t="s">
        <v>38</v>
      </c>
      <c r="H510" s="1" t="s">
        <v>24</v>
      </c>
      <c r="I510" s="1" t="s">
        <v>44</v>
      </c>
      <c r="J510" s="1">
        <v>5</v>
      </c>
      <c r="K510" s="1">
        <v>4709.5</v>
      </c>
      <c r="L510" s="1">
        <v>0.05</v>
      </c>
      <c r="M510" s="1">
        <v>23547.5</v>
      </c>
      <c r="N510" s="1">
        <v>1177.375</v>
      </c>
      <c r="O510" s="1">
        <v>22370.125</v>
      </c>
      <c r="P510" s="1">
        <v>12303.56875</v>
      </c>
      <c r="Q510" s="1">
        <v>10066.55625</v>
      </c>
      <c r="R510" s="1">
        <v>45</v>
      </c>
      <c r="S510" s="1" t="s">
        <v>26</v>
      </c>
    </row>
    <row r="511" spans="1:19" x14ac:dyDescent="0.35">
      <c r="A511" s="1" t="s">
        <v>836</v>
      </c>
      <c r="B511" s="3">
        <v>45953</v>
      </c>
      <c r="C511" s="1" t="s">
        <v>35</v>
      </c>
      <c r="D511" s="1">
        <v>10</v>
      </c>
      <c r="E511" s="1" t="s">
        <v>334</v>
      </c>
      <c r="F511" s="1" t="s">
        <v>37</v>
      </c>
      <c r="G511" s="1" t="s">
        <v>38</v>
      </c>
      <c r="H511" s="1" t="s">
        <v>99</v>
      </c>
      <c r="I511" s="1" t="s">
        <v>223</v>
      </c>
      <c r="J511" s="1">
        <v>3</v>
      </c>
      <c r="K511" s="1">
        <v>24186.02</v>
      </c>
      <c r="L511" s="1">
        <v>0.05</v>
      </c>
      <c r="M511" s="1">
        <v>72558.06</v>
      </c>
      <c r="N511" s="1">
        <v>3627.9029999999998</v>
      </c>
      <c r="O511" s="1">
        <v>68930.156999999992</v>
      </c>
      <c r="P511" s="1">
        <v>46872.506759999997</v>
      </c>
      <c r="Q511" s="1">
        <v>22057.650239999999</v>
      </c>
      <c r="R511" s="1">
        <v>32</v>
      </c>
      <c r="S511" s="1" t="s">
        <v>73</v>
      </c>
    </row>
    <row r="512" spans="1:19" x14ac:dyDescent="0.35">
      <c r="A512" s="1" t="s">
        <v>837</v>
      </c>
      <c r="B512" s="3">
        <v>45962</v>
      </c>
      <c r="C512" s="1" t="s">
        <v>56</v>
      </c>
      <c r="D512" s="1">
        <v>11</v>
      </c>
      <c r="E512" s="1" t="s">
        <v>125</v>
      </c>
      <c r="F512" s="1" t="s">
        <v>43</v>
      </c>
      <c r="G512" s="1" t="s">
        <v>64</v>
      </c>
      <c r="H512" s="1" t="s">
        <v>99</v>
      </c>
      <c r="I512" s="1" t="s">
        <v>145</v>
      </c>
      <c r="J512" s="1">
        <v>4</v>
      </c>
      <c r="K512" s="1">
        <v>2530.29</v>
      </c>
      <c r="L512" s="1">
        <v>0.1</v>
      </c>
      <c r="M512" s="1">
        <v>10121.16</v>
      </c>
      <c r="N512" s="1">
        <v>1012.116</v>
      </c>
      <c r="O512" s="1">
        <v>9109.0439999999999</v>
      </c>
      <c r="P512" s="1">
        <v>6194.1499200000007</v>
      </c>
      <c r="Q512" s="1">
        <v>2914.8940799999991</v>
      </c>
      <c r="R512" s="1">
        <v>31.999999999999989</v>
      </c>
      <c r="S512" s="1" t="s">
        <v>33</v>
      </c>
    </row>
    <row r="513" spans="1:19" x14ac:dyDescent="0.35">
      <c r="A513" s="1" t="s">
        <v>838</v>
      </c>
      <c r="B513" s="3">
        <v>45955</v>
      </c>
      <c r="C513" s="1" t="s">
        <v>35</v>
      </c>
      <c r="D513" s="1">
        <v>10</v>
      </c>
      <c r="E513" s="1" t="s">
        <v>157</v>
      </c>
      <c r="F513" s="1" t="s">
        <v>52</v>
      </c>
      <c r="G513" s="1" t="s">
        <v>64</v>
      </c>
      <c r="H513" s="1" t="s">
        <v>39</v>
      </c>
      <c r="I513" s="1" t="s">
        <v>234</v>
      </c>
      <c r="J513" s="1">
        <v>5</v>
      </c>
      <c r="K513" s="1">
        <v>45685.02</v>
      </c>
      <c r="L513" s="1">
        <v>0.15</v>
      </c>
      <c r="M513" s="1">
        <v>228425.1</v>
      </c>
      <c r="N513" s="1">
        <v>34263.764999999992</v>
      </c>
      <c r="O513" s="1">
        <v>194161.33499999999</v>
      </c>
      <c r="P513" s="1">
        <v>151445.8413</v>
      </c>
      <c r="Q513" s="1">
        <v>42715.493699999992</v>
      </c>
      <c r="R513" s="1">
        <v>22</v>
      </c>
      <c r="S513" s="1" t="s">
        <v>73</v>
      </c>
    </row>
    <row r="514" spans="1:19" x14ac:dyDescent="0.35">
      <c r="A514" s="1" t="s">
        <v>839</v>
      </c>
      <c r="B514" s="3">
        <v>46020</v>
      </c>
      <c r="C514" s="1" t="s">
        <v>67</v>
      </c>
      <c r="D514" s="1">
        <v>12</v>
      </c>
      <c r="E514" s="1" t="s">
        <v>312</v>
      </c>
      <c r="F514" s="1" t="s">
        <v>47</v>
      </c>
      <c r="G514" s="1" t="s">
        <v>64</v>
      </c>
      <c r="H514" s="1" t="s">
        <v>53</v>
      </c>
      <c r="I514" s="1" t="s">
        <v>72</v>
      </c>
      <c r="J514" s="1">
        <v>1</v>
      </c>
      <c r="K514" s="1">
        <v>2492.58</v>
      </c>
      <c r="L514" s="1">
        <v>0.05</v>
      </c>
      <c r="M514" s="1">
        <v>2492.58</v>
      </c>
      <c r="N514" s="1">
        <v>124.629</v>
      </c>
      <c r="O514" s="1">
        <v>2367.951</v>
      </c>
      <c r="P514" s="1">
        <v>1373.41158</v>
      </c>
      <c r="Q514" s="1">
        <v>994.53942000000006</v>
      </c>
      <c r="R514" s="1">
        <v>42.000000000000007</v>
      </c>
      <c r="S514" s="1" t="s">
        <v>73</v>
      </c>
    </row>
    <row r="515" spans="1:19" x14ac:dyDescent="0.35">
      <c r="A515" s="1" t="s">
        <v>840</v>
      </c>
      <c r="B515" s="3">
        <v>45858</v>
      </c>
      <c r="C515" s="1" t="s">
        <v>62</v>
      </c>
      <c r="D515" s="1">
        <v>7</v>
      </c>
      <c r="E515" s="1" t="s">
        <v>841</v>
      </c>
      <c r="F515" s="1" t="s">
        <v>47</v>
      </c>
      <c r="G515" s="1" t="s">
        <v>64</v>
      </c>
      <c r="H515" s="1" t="s">
        <v>99</v>
      </c>
      <c r="I515" s="1" t="s">
        <v>100</v>
      </c>
      <c r="J515" s="1">
        <v>1</v>
      </c>
      <c r="K515" s="1">
        <v>8318.31</v>
      </c>
      <c r="L515" s="1">
        <v>0</v>
      </c>
      <c r="M515" s="1">
        <v>8318.31</v>
      </c>
      <c r="N515" s="1">
        <v>0</v>
      </c>
      <c r="O515" s="1">
        <v>8318.31</v>
      </c>
      <c r="P515" s="1">
        <v>5656.4507999999996</v>
      </c>
      <c r="Q515" s="1">
        <v>2661.8591999999999</v>
      </c>
      <c r="R515" s="1">
        <v>32</v>
      </c>
      <c r="S515" s="1" t="s">
        <v>33</v>
      </c>
    </row>
    <row r="516" spans="1:19" x14ac:dyDescent="0.35">
      <c r="A516" s="1" t="s">
        <v>842</v>
      </c>
      <c r="B516" s="3">
        <v>45821</v>
      </c>
      <c r="C516" s="1" t="s">
        <v>82</v>
      </c>
      <c r="D516" s="1">
        <v>6</v>
      </c>
      <c r="E516" s="1" t="s">
        <v>833</v>
      </c>
      <c r="F516" s="1" t="s">
        <v>111</v>
      </c>
      <c r="G516" s="1" t="s">
        <v>64</v>
      </c>
      <c r="H516" s="1" t="s">
        <v>77</v>
      </c>
      <c r="I516" s="1" t="s">
        <v>78</v>
      </c>
      <c r="J516" s="1">
        <v>3</v>
      </c>
      <c r="K516" s="1">
        <v>778.42</v>
      </c>
      <c r="L516" s="1">
        <v>0.2</v>
      </c>
      <c r="M516" s="1">
        <v>2335.2600000000002</v>
      </c>
      <c r="N516" s="1">
        <v>467.05200000000002</v>
      </c>
      <c r="O516" s="1">
        <v>1868.2080000000001</v>
      </c>
      <c r="P516" s="1">
        <v>1345.1097600000001</v>
      </c>
      <c r="Q516" s="1">
        <v>523.09824000000003</v>
      </c>
      <c r="R516" s="1">
        <v>28</v>
      </c>
      <c r="S516" s="1" t="s">
        <v>73</v>
      </c>
    </row>
    <row r="517" spans="1:19" x14ac:dyDescent="0.35">
      <c r="A517" s="1" t="s">
        <v>843</v>
      </c>
      <c r="B517" s="3">
        <v>45767</v>
      </c>
      <c r="C517" s="1" t="s">
        <v>20</v>
      </c>
      <c r="D517" s="1">
        <v>4</v>
      </c>
      <c r="E517" s="1" t="s">
        <v>844</v>
      </c>
      <c r="F517" s="1" t="s">
        <v>37</v>
      </c>
      <c r="G517" s="1" t="s">
        <v>23</v>
      </c>
      <c r="H517" s="1" t="s">
        <v>77</v>
      </c>
      <c r="I517" s="1" t="s">
        <v>103</v>
      </c>
      <c r="J517" s="1">
        <v>5</v>
      </c>
      <c r="K517" s="1">
        <v>741.05</v>
      </c>
      <c r="L517" s="1">
        <v>0.1</v>
      </c>
      <c r="M517" s="1">
        <v>3705.25</v>
      </c>
      <c r="N517" s="1">
        <v>370.52499999999998</v>
      </c>
      <c r="O517" s="1">
        <v>3334.7249999999999</v>
      </c>
      <c r="P517" s="1">
        <v>2401.002</v>
      </c>
      <c r="Q517" s="1">
        <v>933.72299999999996</v>
      </c>
      <c r="R517" s="1">
        <v>28</v>
      </c>
      <c r="S517" s="1" t="s">
        <v>93</v>
      </c>
    </row>
    <row r="518" spans="1:19" x14ac:dyDescent="0.35">
      <c r="A518" s="1" t="s">
        <v>845</v>
      </c>
      <c r="B518" s="3">
        <v>45679</v>
      </c>
      <c r="C518" s="1" t="s">
        <v>193</v>
      </c>
      <c r="D518" s="1">
        <v>1</v>
      </c>
      <c r="E518" s="1" t="s">
        <v>63</v>
      </c>
      <c r="F518" s="1" t="s">
        <v>76</v>
      </c>
      <c r="G518" s="1" t="s">
        <v>64</v>
      </c>
      <c r="H518" s="1" t="s">
        <v>77</v>
      </c>
      <c r="I518" s="1" t="s">
        <v>103</v>
      </c>
      <c r="J518" s="1">
        <v>7</v>
      </c>
      <c r="K518" s="1">
        <v>852.51</v>
      </c>
      <c r="L518" s="1">
        <v>0.25</v>
      </c>
      <c r="M518" s="1">
        <v>5967.57</v>
      </c>
      <c r="N518" s="1">
        <v>1491.8924999999999</v>
      </c>
      <c r="O518" s="1">
        <v>4475.6774999999998</v>
      </c>
      <c r="P518" s="1">
        <v>3222.4877999999999</v>
      </c>
      <c r="Q518" s="1">
        <v>1253.1896999999999</v>
      </c>
      <c r="R518" s="1">
        <v>28</v>
      </c>
      <c r="S518" s="1" t="s">
        <v>33</v>
      </c>
    </row>
    <row r="519" spans="1:19" x14ac:dyDescent="0.35">
      <c r="A519" s="1" t="s">
        <v>846</v>
      </c>
      <c r="B519" s="3">
        <v>45675</v>
      </c>
      <c r="C519" s="1" t="s">
        <v>193</v>
      </c>
      <c r="D519" s="1">
        <v>1</v>
      </c>
      <c r="E519" s="1" t="s">
        <v>696</v>
      </c>
      <c r="F519" s="1" t="s">
        <v>111</v>
      </c>
      <c r="G519" s="1" t="s">
        <v>64</v>
      </c>
      <c r="H519" s="1" t="s">
        <v>77</v>
      </c>
      <c r="I519" s="1" t="s">
        <v>90</v>
      </c>
      <c r="J519" s="1">
        <v>3</v>
      </c>
      <c r="K519" s="1">
        <v>341.68</v>
      </c>
      <c r="L519" s="1">
        <v>0.2</v>
      </c>
      <c r="M519" s="1">
        <v>1025.04</v>
      </c>
      <c r="N519" s="1">
        <v>205.00800000000001</v>
      </c>
      <c r="O519" s="1">
        <v>820.03199999999993</v>
      </c>
      <c r="P519" s="1">
        <v>590.4230399999999</v>
      </c>
      <c r="Q519" s="1">
        <v>229.60896</v>
      </c>
      <c r="R519" s="1">
        <v>28.000000000000011</v>
      </c>
      <c r="S519" s="1" t="s">
        <v>33</v>
      </c>
    </row>
    <row r="520" spans="1:19" x14ac:dyDescent="0.35">
      <c r="A520" s="1" t="s">
        <v>847</v>
      </c>
      <c r="B520" s="3">
        <v>45994</v>
      </c>
      <c r="C520" s="1" t="s">
        <v>67</v>
      </c>
      <c r="D520" s="1">
        <v>12</v>
      </c>
      <c r="E520" s="1" t="s">
        <v>207</v>
      </c>
      <c r="F520" s="1" t="s">
        <v>76</v>
      </c>
      <c r="G520" s="1" t="s">
        <v>64</v>
      </c>
      <c r="H520" s="1" t="s">
        <v>31</v>
      </c>
      <c r="I520" s="1" t="s">
        <v>59</v>
      </c>
      <c r="J520" s="1">
        <v>7</v>
      </c>
      <c r="K520" s="1">
        <v>2036.71</v>
      </c>
      <c r="L520" s="1">
        <v>0.1</v>
      </c>
      <c r="M520" s="1">
        <v>14256.97</v>
      </c>
      <c r="N520" s="1">
        <v>1425.6969999999999</v>
      </c>
      <c r="O520" s="1">
        <v>12831.272999999999</v>
      </c>
      <c r="P520" s="1">
        <v>6672.2619600000007</v>
      </c>
      <c r="Q520" s="1">
        <v>6159.0110400000003</v>
      </c>
      <c r="R520" s="1">
        <v>48</v>
      </c>
      <c r="S520" s="1" t="s">
        <v>73</v>
      </c>
    </row>
    <row r="521" spans="1:19" x14ac:dyDescent="0.35">
      <c r="A521" s="1" t="s">
        <v>848</v>
      </c>
      <c r="B521" s="3">
        <v>45918</v>
      </c>
      <c r="C521" s="1" t="s">
        <v>50</v>
      </c>
      <c r="D521" s="1">
        <v>9</v>
      </c>
      <c r="E521" s="1" t="s">
        <v>710</v>
      </c>
      <c r="F521" s="1" t="s">
        <v>76</v>
      </c>
      <c r="G521" s="1" t="s">
        <v>64</v>
      </c>
      <c r="H521" s="1" t="s">
        <v>31</v>
      </c>
      <c r="I521" s="1" t="s">
        <v>190</v>
      </c>
      <c r="J521" s="1">
        <v>3</v>
      </c>
      <c r="K521" s="1">
        <v>1526.69</v>
      </c>
      <c r="L521" s="1">
        <v>0.15</v>
      </c>
      <c r="M521" s="1">
        <v>4580.07</v>
      </c>
      <c r="N521" s="1">
        <v>687.01049999999998</v>
      </c>
      <c r="O521" s="1">
        <v>3893.0594999999998</v>
      </c>
      <c r="P521" s="1">
        <v>2024.39094</v>
      </c>
      <c r="Q521" s="1">
        <v>1868.6685600000001</v>
      </c>
      <c r="R521" s="1">
        <v>48</v>
      </c>
      <c r="S521" s="1" t="s">
        <v>60</v>
      </c>
    </row>
    <row r="522" spans="1:19" x14ac:dyDescent="0.35">
      <c r="A522" s="1" t="s">
        <v>849</v>
      </c>
      <c r="B522" s="3">
        <v>45740</v>
      </c>
      <c r="C522" s="1" t="s">
        <v>28</v>
      </c>
      <c r="D522" s="1">
        <v>3</v>
      </c>
      <c r="E522" s="1" t="s">
        <v>371</v>
      </c>
      <c r="F522" s="1" t="s">
        <v>58</v>
      </c>
      <c r="G522" s="1" t="s">
        <v>38</v>
      </c>
      <c r="H522" s="1" t="s">
        <v>77</v>
      </c>
      <c r="I522" s="1" t="s">
        <v>78</v>
      </c>
      <c r="J522" s="1">
        <v>6</v>
      </c>
      <c r="K522" s="1">
        <v>155.91</v>
      </c>
      <c r="L522" s="1">
        <v>0.2</v>
      </c>
      <c r="M522" s="1">
        <v>935.46</v>
      </c>
      <c r="N522" s="1">
        <v>187.09200000000001</v>
      </c>
      <c r="O522" s="1">
        <v>748.36800000000005</v>
      </c>
      <c r="P522" s="1">
        <v>538.82496000000003</v>
      </c>
      <c r="Q522" s="1">
        <v>209.54303999999999</v>
      </c>
      <c r="R522" s="1">
        <v>28</v>
      </c>
      <c r="S522" s="1" t="s">
        <v>60</v>
      </c>
    </row>
    <row r="523" spans="1:19" x14ac:dyDescent="0.35">
      <c r="A523" s="1" t="s">
        <v>850</v>
      </c>
      <c r="B523" s="3">
        <v>45942</v>
      </c>
      <c r="C523" s="1" t="s">
        <v>35</v>
      </c>
      <c r="D523" s="1">
        <v>10</v>
      </c>
      <c r="E523" s="1" t="s">
        <v>679</v>
      </c>
      <c r="F523" s="1" t="s">
        <v>43</v>
      </c>
      <c r="G523" s="1" t="s">
        <v>38</v>
      </c>
      <c r="H523" s="1" t="s">
        <v>77</v>
      </c>
      <c r="I523" s="1" t="s">
        <v>148</v>
      </c>
      <c r="J523" s="1">
        <v>7</v>
      </c>
      <c r="K523" s="1">
        <v>681.2</v>
      </c>
      <c r="L523" s="1">
        <v>0.1</v>
      </c>
      <c r="M523" s="1">
        <v>4768.4000000000005</v>
      </c>
      <c r="N523" s="1">
        <v>476.84000000000009</v>
      </c>
      <c r="O523" s="1">
        <v>4291.5600000000004</v>
      </c>
      <c r="P523" s="1">
        <v>3089.9232000000002</v>
      </c>
      <c r="Q523" s="1">
        <v>1201.6368</v>
      </c>
      <c r="R523" s="1">
        <v>28</v>
      </c>
      <c r="S523" s="1" t="s">
        <v>33</v>
      </c>
    </row>
    <row r="524" spans="1:19" x14ac:dyDescent="0.35">
      <c r="A524" s="1" t="s">
        <v>851</v>
      </c>
      <c r="B524" s="3">
        <v>46000</v>
      </c>
      <c r="C524" s="1" t="s">
        <v>67</v>
      </c>
      <c r="D524" s="1">
        <v>12</v>
      </c>
      <c r="E524" s="1" t="s">
        <v>95</v>
      </c>
      <c r="F524" s="1" t="s">
        <v>37</v>
      </c>
      <c r="G524" s="1" t="s">
        <v>38</v>
      </c>
      <c r="H524" s="1" t="s">
        <v>53</v>
      </c>
      <c r="I524" s="1" t="s">
        <v>72</v>
      </c>
      <c r="J524" s="1">
        <v>7</v>
      </c>
      <c r="K524" s="1">
        <v>2469.61</v>
      </c>
      <c r="L524" s="1">
        <v>0.1</v>
      </c>
      <c r="M524" s="1">
        <v>17287.27</v>
      </c>
      <c r="N524" s="1">
        <v>1728.7270000000001</v>
      </c>
      <c r="O524" s="1">
        <v>15558.543</v>
      </c>
      <c r="P524" s="1">
        <v>9023.9549399999996</v>
      </c>
      <c r="Q524" s="1">
        <v>6534.58806</v>
      </c>
      <c r="R524" s="1">
        <v>42</v>
      </c>
      <c r="S524" s="1" t="s">
        <v>26</v>
      </c>
    </row>
    <row r="525" spans="1:19" x14ac:dyDescent="0.35">
      <c r="A525" s="1" t="s">
        <v>852</v>
      </c>
      <c r="B525" s="3">
        <v>45850</v>
      </c>
      <c r="C525" s="1" t="s">
        <v>62</v>
      </c>
      <c r="D525" s="1">
        <v>7</v>
      </c>
      <c r="E525" s="1" t="s">
        <v>194</v>
      </c>
      <c r="F525" s="1" t="s">
        <v>69</v>
      </c>
      <c r="G525" s="1" t="s">
        <v>64</v>
      </c>
      <c r="H525" s="1" t="s">
        <v>99</v>
      </c>
      <c r="I525" s="1" t="s">
        <v>100</v>
      </c>
      <c r="J525" s="1">
        <v>5</v>
      </c>
      <c r="K525" s="1">
        <v>9379.24</v>
      </c>
      <c r="L525" s="1">
        <v>0.1</v>
      </c>
      <c r="M525" s="1">
        <v>46896.2</v>
      </c>
      <c r="N525" s="1">
        <v>4689.62</v>
      </c>
      <c r="O525" s="1">
        <v>42206.579999999987</v>
      </c>
      <c r="P525" s="1">
        <v>28700.474399999999</v>
      </c>
      <c r="Q525" s="1">
        <v>13506.105600000001</v>
      </c>
      <c r="R525" s="1">
        <v>32</v>
      </c>
      <c r="S525" s="1" t="s">
        <v>33</v>
      </c>
    </row>
    <row r="526" spans="1:19" x14ac:dyDescent="0.35">
      <c r="A526" s="1" t="s">
        <v>853</v>
      </c>
      <c r="B526" s="3">
        <v>45820</v>
      </c>
      <c r="C526" s="1" t="s">
        <v>82</v>
      </c>
      <c r="D526" s="1">
        <v>6</v>
      </c>
      <c r="E526" s="1" t="s">
        <v>448</v>
      </c>
      <c r="F526" s="1" t="s">
        <v>43</v>
      </c>
      <c r="G526" s="1" t="s">
        <v>38</v>
      </c>
      <c r="H526" s="1" t="s">
        <v>31</v>
      </c>
      <c r="I526" s="1" t="s">
        <v>59</v>
      </c>
      <c r="J526" s="1">
        <v>3</v>
      </c>
      <c r="K526" s="1">
        <v>594.54999999999995</v>
      </c>
      <c r="L526" s="1">
        <v>0.15</v>
      </c>
      <c r="M526" s="1">
        <v>1783.65</v>
      </c>
      <c r="N526" s="1">
        <v>267.54750000000001</v>
      </c>
      <c r="O526" s="1">
        <v>1516.1025</v>
      </c>
      <c r="P526" s="1">
        <v>788.37329999999997</v>
      </c>
      <c r="Q526" s="1">
        <v>727.72919999999999</v>
      </c>
      <c r="R526" s="1">
        <v>48</v>
      </c>
      <c r="S526" s="1" t="s">
        <v>26</v>
      </c>
    </row>
    <row r="527" spans="1:19" x14ac:dyDescent="0.35">
      <c r="A527" s="1" t="s">
        <v>854</v>
      </c>
      <c r="B527" s="3">
        <v>45932</v>
      </c>
      <c r="C527" s="1" t="s">
        <v>35</v>
      </c>
      <c r="D527" s="1">
        <v>10</v>
      </c>
      <c r="E527" s="1" t="s">
        <v>373</v>
      </c>
      <c r="F527" s="1" t="s">
        <v>43</v>
      </c>
      <c r="G527" s="1" t="s">
        <v>23</v>
      </c>
      <c r="H527" s="1" t="s">
        <v>77</v>
      </c>
      <c r="I527" s="1" t="s">
        <v>103</v>
      </c>
      <c r="J527" s="1">
        <v>3</v>
      </c>
      <c r="K527" s="1">
        <v>762.05</v>
      </c>
      <c r="L527" s="1">
        <v>0.05</v>
      </c>
      <c r="M527" s="1">
        <v>2286.15</v>
      </c>
      <c r="N527" s="1">
        <v>114.3075</v>
      </c>
      <c r="O527" s="1">
        <v>2171.8425000000002</v>
      </c>
      <c r="P527" s="1">
        <v>1563.7266</v>
      </c>
      <c r="Q527" s="1">
        <v>608.11590000000001</v>
      </c>
      <c r="R527" s="1">
        <v>28</v>
      </c>
      <c r="S527" s="1" t="s">
        <v>33</v>
      </c>
    </row>
    <row r="528" spans="1:19" x14ac:dyDescent="0.35">
      <c r="A528" s="1" t="s">
        <v>855</v>
      </c>
      <c r="B528" s="3">
        <v>45768</v>
      </c>
      <c r="C528" s="1" t="s">
        <v>20</v>
      </c>
      <c r="D528" s="1">
        <v>4</v>
      </c>
      <c r="E528" s="1" t="s">
        <v>767</v>
      </c>
      <c r="F528" s="1" t="s">
        <v>37</v>
      </c>
      <c r="G528" s="1" t="s">
        <v>23</v>
      </c>
      <c r="H528" s="1" t="s">
        <v>31</v>
      </c>
      <c r="I528" s="1" t="s">
        <v>190</v>
      </c>
      <c r="J528" s="1">
        <v>5</v>
      </c>
      <c r="K528" s="1">
        <v>3004.87</v>
      </c>
      <c r="L528" s="1">
        <v>0.05</v>
      </c>
      <c r="M528" s="1">
        <v>15024.35</v>
      </c>
      <c r="N528" s="1">
        <v>751.21749999999997</v>
      </c>
      <c r="O528" s="1">
        <v>14273.1325</v>
      </c>
      <c r="P528" s="1">
        <v>7422.0288999999993</v>
      </c>
      <c r="Q528" s="1">
        <v>6851.1035999999986</v>
      </c>
      <c r="R528" s="1">
        <v>48</v>
      </c>
      <c r="S528" s="1" t="s">
        <v>73</v>
      </c>
    </row>
    <row r="529" spans="1:19" x14ac:dyDescent="0.35">
      <c r="A529" s="1" t="s">
        <v>856</v>
      </c>
      <c r="B529" s="3">
        <v>45956</v>
      </c>
      <c r="C529" s="1" t="s">
        <v>35</v>
      </c>
      <c r="D529" s="1">
        <v>10</v>
      </c>
      <c r="E529" s="1" t="s">
        <v>102</v>
      </c>
      <c r="F529" s="1" t="s">
        <v>22</v>
      </c>
      <c r="G529" s="1" t="s">
        <v>38</v>
      </c>
      <c r="H529" s="1" t="s">
        <v>31</v>
      </c>
      <c r="I529" s="1" t="s">
        <v>59</v>
      </c>
      <c r="J529" s="1">
        <v>4</v>
      </c>
      <c r="K529" s="1">
        <v>2745.99</v>
      </c>
      <c r="L529" s="1">
        <v>0.15</v>
      </c>
      <c r="M529" s="1">
        <v>10983.96</v>
      </c>
      <c r="N529" s="1">
        <v>1647.5940000000001</v>
      </c>
      <c r="O529" s="1">
        <v>9336.366</v>
      </c>
      <c r="P529" s="1">
        <v>4854.91032</v>
      </c>
      <c r="Q529" s="1">
        <v>4481.45568</v>
      </c>
      <c r="R529" s="1">
        <v>48</v>
      </c>
      <c r="S529" s="1" t="s">
        <v>26</v>
      </c>
    </row>
    <row r="530" spans="1:19" x14ac:dyDescent="0.35">
      <c r="A530" s="1" t="s">
        <v>857</v>
      </c>
      <c r="B530" s="3">
        <v>45811</v>
      </c>
      <c r="C530" s="1" t="s">
        <v>82</v>
      </c>
      <c r="D530" s="1">
        <v>6</v>
      </c>
      <c r="E530" s="1" t="s">
        <v>144</v>
      </c>
      <c r="F530" s="1" t="s">
        <v>52</v>
      </c>
      <c r="G530" s="1" t="s">
        <v>23</v>
      </c>
      <c r="H530" s="1" t="s">
        <v>99</v>
      </c>
      <c r="I530" s="1" t="s">
        <v>108</v>
      </c>
      <c r="J530" s="1">
        <v>3</v>
      </c>
      <c r="K530" s="1">
        <v>23482.25</v>
      </c>
      <c r="L530" s="1">
        <v>0.1</v>
      </c>
      <c r="M530" s="1">
        <v>70446.75</v>
      </c>
      <c r="N530" s="1">
        <v>7044.6750000000002</v>
      </c>
      <c r="O530" s="1">
        <v>63402.074999999997</v>
      </c>
      <c r="P530" s="1">
        <v>43113.411</v>
      </c>
      <c r="Q530" s="1">
        <v>20288.664000000001</v>
      </c>
      <c r="R530" s="1">
        <v>32</v>
      </c>
      <c r="S530" s="1" t="s">
        <v>60</v>
      </c>
    </row>
    <row r="531" spans="1:19" x14ac:dyDescent="0.35">
      <c r="A531" s="1" t="s">
        <v>858</v>
      </c>
      <c r="B531" s="3">
        <v>45877</v>
      </c>
      <c r="C531" s="1" t="s">
        <v>113</v>
      </c>
      <c r="D531" s="1">
        <v>8</v>
      </c>
      <c r="E531" s="1" t="s">
        <v>420</v>
      </c>
      <c r="F531" s="1" t="s">
        <v>22</v>
      </c>
      <c r="G531" s="1" t="s">
        <v>64</v>
      </c>
      <c r="H531" s="1" t="s">
        <v>39</v>
      </c>
      <c r="I531" s="1" t="s">
        <v>234</v>
      </c>
      <c r="J531" s="1">
        <v>3</v>
      </c>
      <c r="K531" s="1">
        <v>54165.69</v>
      </c>
      <c r="L531" s="1">
        <v>0.15</v>
      </c>
      <c r="M531" s="1">
        <v>162497.07</v>
      </c>
      <c r="N531" s="1">
        <v>24374.5605</v>
      </c>
      <c r="O531" s="1">
        <v>138122.50949999999</v>
      </c>
      <c r="P531" s="1">
        <v>107735.55740999999</v>
      </c>
      <c r="Q531" s="1">
        <v>30386.95209000001</v>
      </c>
      <c r="R531" s="1">
        <v>22</v>
      </c>
      <c r="S531" s="1" t="s">
        <v>60</v>
      </c>
    </row>
    <row r="532" spans="1:19" x14ac:dyDescent="0.35">
      <c r="A532" s="1" t="s">
        <v>859</v>
      </c>
      <c r="B532" s="3">
        <v>45811</v>
      </c>
      <c r="C532" s="1" t="s">
        <v>82</v>
      </c>
      <c r="D532" s="1">
        <v>6</v>
      </c>
      <c r="E532" s="1" t="s">
        <v>561</v>
      </c>
      <c r="F532" s="1" t="s">
        <v>111</v>
      </c>
      <c r="G532" s="1" t="s">
        <v>64</v>
      </c>
      <c r="H532" s="1" t="s">
        <v>77</v>
      </c>
      <c r="I532" s="1" t="s">
        <v>78</v>
      </c>
      <c r="J532" s="1">
        <v>6</v>
      </c>
      <c r="K532" s="1">
        <v>437.9</v>
      </c>
      <c r="L532" s="1">
        <v>0.25</v>
      </c>
      <c r="M532" s="1">
        <v>2627.4</v>
      </c>
      <c r="N532" s="1">
        <v>656.84999999999991</v>
      </c>
      <c r="O532" s="1">
        <v>1970.55</v>
      </c>
      <c r="P532" s="1">
        <v>1418.796</v>
      </c>
      <c r="Q532" s="1">
        <v>551.75399999999991</v>
      </c>
      <c r="R532" s="1">
        <v>28</v>
      </c>
      <c r="S532" s="1" t="s">
        <v>60</v>
      </c>
    </row>
    <row r="533" spans="1:19" x14ac:dyDescent="0.35">
      <c r="A533" s="1" t="s">
        <v>860</v>
      </c>
      <c r="B533" s="3">
        <v>45775</v>
      </c>
      <c r="C533" s="1" t="s">
        <v>20</v>
      </c>
      <c r="D533" s="1">
        <v>4</v>
      </c>
      <c r="E533" s="1" t="s">
        <v>227</v>
      </c>
      <c r="F533" s="1" t="s">
        <v>37</v>
      </c>
      <c r="G533" s="1" t="s">
        <v>38</v>
      </c>
      <c r="H533" s="1" t="s">
        <v>77</v>
      </c>
      <c r="I533" s="1" t="s">
        <v>103</v>
      </c>
      <c r="J533" s="1">
        <v>1</v>
      </c>
      <c r="K533" s="1">
        <v>1161.53</v>
      </c>
      <c r="L533" s="1">
        <v>0.15</v>
      </c>
      <c r="M533" s="1">
        <v>1161.53</v>
      </c>
      <c r="N533" s="1">
        <v>174.2295</v>
      </c>
      <c r="O533" s="1">
        <v>987.30049999999994</v>
      </c>
      <c r="P533" s="1">
        <v>710.85635999999988</v>
      </c>
      <c r="Q533" s="1">
        <v>276.44414000000012</v>
      </c>
      <c r="R533" s="1">
        <v>28.000000000000011</v>
      </c>
      <c r="S533" s="1" t="s">
        <v>60</v>
      </c>
    </row>
    <row r="534" spans="1:19" x14ac:dyDescent="0.35">
      <c r="A534" s="1" t="s">
        <v>861</v>
      </c>
      <c r="B534" s="3">
        <v>45872</v>
      </c>
      <c r="C534" s="1" t="s">
        <v>113</v>
      </c>
      <c r="D534" s="1">
        <v>8</v>
      </c>
      <c r="E534" s="1" t="s">
        <v>424</v>
      </c>
      <c r="F534" s="1" t="s">
        <v>43</v>
      </c>
      <c r="G534" s="1" t="s">
        <v>23</v>
      </c>
      <c r="H534" s="1" t="s">
        <v>31</v>
      </c>
      <c r="I534" s="1" t="s">
        <v>65</v>
      </c>
      <c r="J534" s="1">
        <v>7</v>
      </c>
      <c r="K534" s="1">
        <v>1249.3399999999999</v>
      </c>
      <c r="L534" s="1">
        <v>0.15</v>
      </c>
      <c r="M534" s="1">
        <v>8745.3799999999992</v>
      </c>
      <c r="N534" s="1">
        <v>1311.807</v>
      </c>
      <c r="O534" s="1">
        <v>7433.5729999999994</v>
      </c>
      <c r="P534" s="1">
        <v>3865.4579600000002</v>
      </c>
      <c r="Q534" s="1">
        <v>3568.1150400000001</v>
      </c>
      <c r="R534" s="1">
        <v>48</v>
      </c>
      <c r="S534" s="1" t="s">
        <v>26</v>
      </c>
    </row>
    <row r="535" spans="1:19" x14ac:dyDescent="0.35">
      <c r="A535" s="1" t="s">
        <v>862</v>
      </c>
      <c r="B535" s="3">
        <v>46010</v>
      </c>
      <c r="C535" s="1" t="s">
        <v>67</v>
      </c>
      <c r="D535" s="1">
        <v>12</v>
      </c>
      <c r="E535" s="1" t="s">
        <v>171</v>
      </c>
      <c r="F535" s="1" t="s">
        <v>69</v>
      </c>
      <c r="G535" s="1" t="s">
        <v>23</v>
      </c>
      <c r="H535" s="1" t="s">
        <v>24</v>
      </c>
      <c r="I535" s="1" t="s">
        <v>48</v>
      </c>
      <c r="J535" s="1">
        <v>6</v>
      </c>
      <c r="K535" s="1">
        <v>1390.58</v>
      </c>
      <c r="L535" s="1">
        <v>0.15</v>
      </c>
      <c r="M535" s="1">
        <v>8343.48</v>
      </c>
      <c r="N535" s="1">
        <v>1251.5219999999999</v>
      </c>
      <c r="O535" s="1">
        <v>7091.9579999999996</v>
      </c>
      <c r="P535" s="1">
        <v>3900.5769</v>
      </c>
      <c r="Q535" s="1">
        <v>3191.3811000000001</v>
      </c>
      <c r="R535" s="1">
        <v>44.999999999999993</v>
      </c>
      <c r="S535" s="1" t="s">
        <v>93</v>
      </c>
    </row>
    <row r="536" spans="1:19" x14ac:dyDescent="0.35">
      <c r="A536" s="1" t="s">
        <v>863</v>
      </c>
      <c r="B536" s="3">
        <v>45830</v>
      </c>
      <c r="C536" s="1" t="s">
        <v>82</v>
      </c>
      <c r="D536" s="1">
        <v>6</v>
      </c>
      <c r="E536" s="1" t="s">
        <v>142</v>
      </c>
      <c r="F536" s="1" t="s">
        <v>111</v>
      </c>
      <c r="G536" s="1" t="s">
        <v>23</v>
      </c>
      <c r="H536" s="1" t="s">
        <v>77</v>
      </c>
      <c r="I536" s="1" t="s">
        <v>103</v>
      </c>
      <c r="J536" s="1">
        <v>1</v>
      </c>
      <c r="K536" s="1">
        <v>527.04999999999995</v>
      </c>
      <c r="L536" s="1">
        <v>0.1</v>
      </c>
      <c r="M536" s="1">
        <v>527.04999999999995</v>
      </c>
      <c r="N536" s="1">
        <v>52.704999999999998</v>
      </c>
      <c r="O536" s="1">
        <v>474.34500000000003</v>
      </c>
      <c r="P536" s="1">
        <v>341.52839999999998</v>
      </c>
      <c r="Q536" s="1">
        <v>132.81659999999999</v>
      </c>
      <c r="R536" s="1">
        <v>28</v>
      </c>
      <c r="S536" s="1" t="s">
        <v>73</v>
      </c>
    </row>
    <row r="537" spans="1:19" x14ac:dyDescent="0.35">
      <c r="A537" s="1" t="s">
        <v>864</v>
      </c>
      <c r="B537" s="3">
        <v>45977</v>
      </c>
      <c r="C537" s="1" t="s">
        <v>56</v>
      </c>
      <c r="D537" s="1">
        <v>11</v>
      </c>
      <c r="E537" s="1" t="s">
        <v>662</v>
      </c>
      <c r="F537" s="1" t="s">
        <v>37</v>
      </c>
      <c r="G537" s="1" t="s">
        <v>23</v>
      </c>
      <c r="H537" s="1" t="s">
        <v>39</v>
      </c>
      <c r="I537" s="1" t="s">
        <v>87</v>
      </c>
      <c r="J537" s="1">
        <v>2</v>
      </c>
      <c r="K537" s="1">
        <v>49638.07</v>
      </c>
      <c r="L537" s="1">
        <v>0.05</v>
      </c>
      <c r="M537" s="1">
        <v>99276.14</v>
      </c>
      <c r="N537" s="1">
        <v>4963.8070000000007</v>
      </c>
      <c r="O537" s="1">
        <v>94312.332999999999</v>
      </c>
      <c r="P537" s="1">
        <v>73563.619739999995</v>
      </c>
      <c r="Q537" s="1">
        <v>20748.71326</v>
      </c>
      <c r="R537" s="1">
        <v>22.000000000000011</v>
      </c>
      <c r="S537" s="1" t="s">
        <v>93</v>
      </c>
    </row>
    <row r="538" spans="1:19" x14ac:dyDescent="0.35">
      <c r="A538" s="1" t="s">
        <v>865</v>
      </c>
      <c r="B538" s="3">
        <v>45963</v>
      </c>
      <c r="C538" s="1" t="s">
        <v>56</v>
      </c>
      <c r="D538" s="1">
        <v>11</v>
      </c>
      <c r="E538" s="1" t="s">
        <v>373</v>
      </c>
      <c r="F538" s="1" t="s">
        <v>47</v>
      </c>
      <c r="G538" s="1" t="s">
        <v>64</v>
      </c>
      <c r="H538" s="1" t="s">
        <v>77</v>
      </c>
      <c r="I538" s="1" t="s">
        <v>103</v>
      </c>
      <c r="J538" s="1">
        <v>3</v>
      </c>
      <c r="K538" s="1">
        <v>438.8</v>
      </c>
      <c r="L538" s="1">
        <v>0.05</v>
      </c>
      <c r="M538" s="1">
        <v>1316.4</v>
      </c>
      <c r="N538" s="1">
        <v>65.820000000000007</v>
      </c>
      <c r="O538" s="1">
        <v>1250.58</v>
      </c>
      <c r="P538" s="1">
        <v>900.41760000000011</v>
      </c>
      <c r="Q538" s="1">
        <v>350.16239999999999</v>
      </c>
      <c r="R538" s="1">
        <v>28</v>
      </c>
      <c r="S538" s="1" t="s">
        <v>26</v>
      </c>
    </row>
    <row r="539" spans="1:19" x14ac:dyDescent="0.35">
      <c r="A539" s="1" t="s">
        <v>866</v>
      </c>
      <c r="B539" s="3">
        <v>45875</v>
      </c>
      <c r="C539" s="1" t="s">
        <v>113</v>
      </c>
      <c r="D539" s="1">
        <v>8</v>
      </c>
      <c r="E539" s="1" t="s">
        <v>867</v>
      </c>
      <c r="F539" s="1" t="s">
        <v>69</v>
      </c>
      <c r="G539" s="1" t="s">
        <v>64</v>
      </c>
      <c r="H539" s="1" t="s">
        <v>24</v>
      </c>
      <c r="I539" s="1" t="s">
        <v>25</v>
      </c>
      <c r="J539" s="1">
        <v>1</v>
      </c>
      <c r="K539" s="1">
        <v>730.8</v>
      </c>
      <c r="L539" s="1">
        <v>0.1</v>
      </c>
      <c r="M539" s="1">
        <v>730.8</v>
      </c>
      <c r="N539" s="1">
        <v>73.08</v>
      </c>
      <c r="O539" s="1">
        <v>657.71999999999991</v>
      </c>
      <c r="P539" s="1">
        <v>361.74599999999998</v>
      </c>
      <c r="Q539" s="1">
        <v>295.97399999999988</v>
      </c>
      <c r="R539" s="1">
        <v>44.999999999999993</v>
      </c>
      <c r="S539" s="1" t="s">
        <v>33</v>
      </c>
    </row>
    <row r="540" spans="1:19" x14ac:dyDescent="0.35">
      <c r="A540" s="1" t="s">
        <v>868</v>
      </c>
      <c r="B540" s="3">
        <v>45901</v>
      </c>
      <c r="C540" s="1" t="s">
        <v>50</v>
      </c>
      <c r="D540" s="1">
        <v>9</v>
      </c>
      <c r="E540" s="1" t="s">
        <v>564</v>
      </c>
      <c r="F540" s="1" t="s">
        <v>69</v>
      </c>
      <c r="G540" s="1" t="s">
        <v>38</v>
      </c>
      <c r="H540" s="1" t="s">
        <v>53</v>
      </c>
      <c r="I540" s="1" t="s">
        <v>128</v>
      </c>
      <c r="J540" s="1">
        <v>3</v>
      </c>
      <c r="K540" s="1">
        <v>1458.04</v>
      </c>
      <c r="L540" s="1">
        <v>0.25</v>
      </c>
      <c r="M540" s="1">
        <v>4374.12</v>
      </c>
      <c r="N540" s="1">
        <v>1093.53</v>
      </c>
      <c r="O540" s="1">
        <v>3280.59</v>
      </c>
      <c r="P540" s="1">
        <v>1902.7421999999999</v>
      </c>
      <c r="Q540" s="1">
        <v>1377.8478</v>
      </c>
      <c r="R540" s="1">
        <v>42.000000000000007</v>
      </c>
      <c r="S540" s="1" t="s">
        <v>26</v>
      </c>
    </row>
    <row r="541" spans="1:19" x14ac:dyDescent="0.35">
      <c r="A541" s="1" t="s">
        <v>869</v>
      </c>
      <c r="B541" s="3">
        <v>45688</v>
      </c>
      <c r="C541" s="1" t="s">
        <v>193</v>
      </c>
      <c r="D541" s="1">
        <v>1</v>
      </c>
      <c r="E541" s="1" t="s">
        <v>399</v>
      </c>
      <c r="F541" s="1" t="s">
        <v>43</v>
      </c>
      <c r="G541" s="1" t="s">
        <v>23</v>
      </c>
      <c r="H541" s="1" t="s">
        <v>24</v>
      </c>
      <c r="I541" s="1" t="s">
        <v>25</v>
      </c>
      <c r="J541" s="1">
        <v>5</v>
      </c>
      <c r="K541" s="1">
        <v>943.38</v>
      </c>
      <c r="L541" s="1">
        <v>0.25</v>
      </c>
      <c r="M541" s="1">
        <v>4716.8999999999996</v>
      </c>
      <c r="N541" s="1">
        <v>1179.2249999999999</v>
      </c>
      <c r="O541" s="1">
        <v>3537.6750000000002</v>
      </c>
      <c r="P541" s="1">
        <v>1945.7212500000001</v>
      </c>
      <c r="Q541" s="1">
        <v>1591.9537499999999</v>
      </c>
      <c r="R541" s="1">
        <v>44.999999999999993</v>
      </c>
      <c r="S541" s="1" t="s">
        <v>73</v>
      </c>
    </row>
    <row r="542" spans="1:19" x14ac:dyDescent="0.35">
      <c r="A542" s="1" t="s">
        <v>870</v>
      </c>
      <c r="B542" s="3">
        <v>45765</v>
      </c>
      <c r="C542" s="1" t="s">
        <v>20</v>
      </c>
      <c r="D542" s="1">
        <v>4</v>
      </c>
      <c r="E542" s="1" t="s">
        <v>283</v>
      </c>
      <c r="F542" s="1" t="s">
        <v>22</v>
      </c>
      <c r="G542" s="1" t="s">
        <v>64</v>
      </c>
      <c r="H542" s="1" t="s">
        <v>24</v>
      </c>
      <c r="I542" s="1" t="s">
        <v>117</v>
      </c>
      <c r="J542" s="1">
        <v>6</v>
      </c>
      <c r="K542" s="1">
        <v>2478.87</v>
      </c>
      <c r="L542" s="1">
        <v>0.1</v>
      </c>
      <c r="M542" s="1">
        <v>14873.22</v>
      </c>
      <c r="N542" s="1">
        <v>1487.3219999999999</v>
      </c>
      <c r="O542" s="1">
        <v>13385.897999999999</v>
      </c>
      <c r="P542" s="1">
        <v>7362.2439000000004</v>
      </c>
      <c r="Q542" s="1">
        <v>6023.6540999999988</v>
      </c>
      <c r="R542" s="1">
        <v>44.999999999999993</v>
      </c>
      <c r="S542" s="1" t="s">
        <v>73</v>
      </c>
    </row>
    <row r="543" spans="1:19" x14ac:dyDescent="0.35">
      <c r="A543" s="1" t="s">
        <v>871</v>
      </c>
      <c r="B543" s="3">
        <v>46003</v>
      </c>
      <c r="C543" s="1" t="s">
        <v>67</v>
      </c>
      <c r="D543" s="1">
        <v>12</v>
      </c>
      <c r="E543" s="1" t="s">
        <v>114</v>
      </c>
      <c r="F543" s="1" t="s">
        <v>52</v>
      </c>
      <c r="G543" s="1" t="s">
        <v>38</v>
      </c>
      <c r="H543" s="1" t="s">
        <v>99</v>
      </c>
      <c r="I543" s="1" t="s">
        <v>120</v>
      </c>
      <c r="J543" s="1">
        <v>5</v>
      </c>
      <c r="K543" s="1">
        <v>11368.06</v>
      </c>
      <c r="L543" s="1">
        <v>0.15</v>
      </c>
      <c r="M543" s="1">
        <v>56840.3</v>
      </c>
      <c r="N543" s="1">
        <v>8526.0449999999983</v>
      </c>
      <c r="O543" s="1">
        <v>48314.254999999997</v>
      </c>
      <c r="P543" s="1">
        <v>32853.693399999996</v>
      </c>
      <c r="Q543" s="1">
        <v>15460.56159999999</v>
      </c>
      <c r="R543" s="1">
        <v>31.999999999999989</v>
      </c>
      <c r="S543" s="1" t="s">
        <v>73</v>
      </c>
    </row>
    <row r="544" spans="1:19" x14ac:dyDescent="0.35">
      <c r="A544" s="1" t="s">
        <v>872</v>
      </c>
      <c r="B544" s="3">
        <v>45752</v>
      </c>
      <c r="C544" s="1" t="s">
        <v>20</v>
      </c>
      <c r="D544" s="1">
        <v>4</v>
      </c>
      <c r="E544" s="1" t="s">
        <v>250</v>
      </c>
      <c r="F544" s="1" t="s">
        <v>52</v>
      </c>
      <c r="G544" s="1" t="s">
        <v>23</v>
      </c>
      <c r="H544" s="1" t="s">
        <v>77</v>
      </c>
      <c r="I544" s="1" t="s">
        <v>90</v>
      </c>
      <c r="J544" s="1">
        <v>5</v>
      </c>
      <c r="K544" s="1">
        <v>62.07</v>
      </c>
      <c r="L544" s="1">
        <v>0.25</v>
      </c>
      <c r="M544" s="1">
        <v>310.35000000000002</v>
      </c>
      <c r="N544" s="1">
        <v>77.587500000000006</v>
      </c>
      <c r="O544" s="1">
        <v>232.76249999999999</v>
      </c>
      <c r="P544" s="1">
        <v>167.589</v>
      </c>
      <c r="Q544" s="1">
        <v>65.173500000000018</v>
      </c>
      <c r="R544" s="1">
        <v>28.000000000000011</v>
      </c>
      <c r="S544" s="1" t="s">
        <v>60</v>
      </c>
    </row>
    <row r="545" spans="1:19" x14ac:dyDescent="0.35">
      <c r="A545" s="1" t="s">
        <v>873</v>
      </c>
      <c r="B545" s="3">
        <v>45903</v>
      </c>
      <c r="C545" s="1" t="s">
        <v>50</v>
      </c>
      <c r="D545" s="1">
        <v>9</v>
      </c>
      <c r="E545" s="1" t="s">
        <v>538</v>
      </c>
      <c r="F545" s="1" t="s">
        <v>111</v>
      </c>
      <c r="G545" s="1" t="s">
        <v>38</v>
      </c>
      <c r="H545" s="1" t="s">
        <v>31</v>
      </c>
      <c r="I545" s="1" t="s">
        <v>32</v>
      </c>
      <c r="J545" s="1">
        <v>4</v>
      </c>
      <c r="K545" s="1">
        <v>2887.48</v>
      </c>
      <c r="L545" s="1">
        <v>0.05</v>
      </c>
      <c r="M545" s="1">
        <v>11549.92</v>
      </c>
      <c r="N545" s="1">
        <v>577.49599999999998</v>
      </c>
      <c r="O545" s="1">
        <v>10972.424000000001</v>
      </c>
      <c r="P545" s="1">
        <v>5705.6604799999996</v>
      </c>
      <c r="Q545" s="1">
        <v>5266.7635200000004</v>
      </c>
      <c r="R545" s="1">
        <v>48</v>
      </c>
      <c r="S545" s="1" t="s">
        <v>33</v>
      </c>
    </row>
    <row r="546" spans="1:19" x14ac:dyDescent="0.35">
      <c r="A546" s="1" t="s">
        <v>874</v>
      </c>
      <c r="B546" s="3">
        <v>45829</v>
      </c>
      <c r="C546" s="1" t="s">
        <v>82</v>
      </c>
      <c r="D546" s="1">
        <v>6</v>
      </c>
      <c r="E546" s="1" t="s">
        <v>875</v>
      </c>
      <c r="F546" s="1" t="s">
        <v>52</v>
      </c>
      <c r="G546" s="1" t="s">
        <v>64</v>
      </c>
      <c r="H546" s="1" t="s">
        <v>77</v>
      </c>
      <c r="I546" s="1" t="s">
        <v>201</v>
      </c>
      <c r="J546" s="1">
        <v>2</v>
      </c>
      <c r="K546" s="1">
        <v>739.38</v>
      </c>
      <c r="L546" s="1">
        <v>0.25</v>
      </c>
      <c r="M546" s="1">
        <v>1478.76</v>
      </c>
      <c r="N546" s="1">
        <v>369.69</v>
      </c>
      <c r="O546" s="1">
        <v>1109.07</v>
      </c>
      <c r="P546" s="1">
        <v>798.53039999999987</v>
      </c>
      <c r="Q546" s="1">
        <v>310.53960000000012</v>
      </c>
      <c r="R546" s="1">
        <v>28.000000000000011</v>
      </c>
      <c r="S546" s="1" t="s">
        <v>60</v>
      </c>
    </row>
    <row r="547" spans="1:19" x14ac:dyDescent="0.35">
      <c r="A547" s="1" t="s">
        <v>876</v>
      </c>
      <c r="B547" s="3">
        <v>46021</v>
      </c>
      <c r="C547" s="1" t="s">
        <v>67</v>
      </c>
      <c r="D547" s="1">
        <v>12</v>
      </c>
      <c r="E547" s="1" t="s">
        <v>263</v>
      </c>
      <c r="F547" s="1" t="s">
        <v>58</v>
      </c>
      <c r="G547" s="1" t="s">
        <v>64</v>
      </c>
      <c r="H547" s="1" t="s">
        <v>53</v>
      </c>
      <c r="I547" s="1" t="s">
        <v>54</v>
      </c>
      <c r="J547" s="1">
        <v>7</v>
      </c>
      <c r="K547" s="1">
        <v>2069.17</v>
      </c>
      <c r="L547" s="1">
        <v>0.2</v>
      </c>
      <c r="M547" s="1">
        <v>14484.19</v>
      </c>
      <c r="N547" s="1">
        <v>2896.8380000000002</v>
      </c>
      <c r="O547" s="1">
        <v>11587.352000000001</v>
      </c>
      <c r="P547" s="1">
        <v>6720.6641600000003</v>
      </c>
      <c r="Q547" s="1">
        <v>4866.6878400000014</v>
      </c>
      <c r="R547" s="1">
        <v>42.000000000000007</v>
      </c>
      <c r="S547" s="1" t="s">
        <v>93</v>
      </c>
    </row>
    <row r="548" spans="1:19" x14ac:dyDescent="0.35">
      <c r="A548" s="1" t="s">
        <v>877</v>
      </c>
      <c r="B548" s="3">
        <v>45679</v>
      </c>
      <c r="C548" s="1" t="s">
        <v>193</v>
      </c>
      <c r="D548" s="1">
        <v>1</v>
      </c>
      <c r="E548" s="1" t="s">
        <v>878</v>
      </c>
      <c r="F548" s="1" t="s">
        <v>111</v>
      </c>
      <c r="G548" s="1" t="s">
        <v>38</v>
      </c>
      <c r="H548" s="1" t="s">
        <v>99</v>
      </c>
      <c r="I548" s="1" t="s">
        <v>100</v>
      </c>
      <c r="J548" s="1">
        <v>4</v>
      </c>
      <c r="K548" s="1">
        <v>23546.01</v>
      </c>
      <c r="L548" s="1">
        <v>0.1</v>
      </c>
      <c r="M548" s="1">
        <v>94184.04</v>
      </c>
      <c r="N548" s="1">
        <v>9418.4040000000005</v>
      </c>
      <c r="O548" s="1">
        <v>84765.635999999999</v>
      </c>
      <c r="P548" s="1">
        <v>57640.63248</v>
      </c>
      <c r="Q548" s="1">
        <v>27125.003519999998</v>
      </c>
      <c r="R548" s="1">
        <v>32</v>
      </c>
      <c r="S548" s="1" t="s">
        <v>33</v>
      </c>
    </row>
    <row r="549" spans="1:19" x14ac:dyDescent="0.35">
      <c r="A549" s="1" t="s">
        <v>879</v>
      </c>
      <c r="B549" s="3">
        <v>45881</v>
      </c>
      <c r="C549" s="1" t="s">
        <v>113</v>
      </c>
      <c r="D549" s="1">
        <v>8</v>
      </c>
      <c r="E549" s="1" t="s">
        <v>880</v>
      </c>
      <c r="F549" s="1" t="s">
        <v>111</v>
      </c>
      <c r="G549" s="1" t="s">
        <v>38</v>
      </c>
      <c r="H549" s="1" t="s">
        <v>24</v>
      </c>
      <c r="I549" s="1" t="s">
        <v>139</v>
      </c>
      <c r="J549" s="1">
        <v>3</v>
      </c>
      <c r="K549" s="1">
        <v>3941.08</v>
      </c>
      <c r="L549" s="1">
        <v>0.15</v>
      </c>
      <c r="M549" s="1">
        <v>11823.24</v>
      </c>
      <c r="N549" s="1">
        <v>1773.4860000000001</v>
      </c>
      <c r="O549" s="1">
        <v>10049.754000000001</v>
      </c>
      <c r="P549" s="1">
        <v>5527.364700000001</v>
      </c>
      <c r="Q549" s="1">
        <v>4522.3892999999998</v>
      </c>
      <c r="R549" s="1">
        <v>44.999999999999993</v>
      </c>
      <c r="S549" s="1" t="s">
        <v>73</v>
      </c>
    </row>
    <row r="550" spans="1:19" x14ac:dyDescent="0.35">
      <c r="A550" s="1" t="s">
        <v>881</v>
      </c>
      <c r="B550" s="3">
        <v>45710</v>
      </c>
      <c r="C550" s="1" t="s">
        <v>42</v>
      </c>
      <c r="D550" s="1">
        <v>2</v>
      </c>
      <c r="E550" s="1" t="s">
        <v>259</v>
      </c>
      <c r="F550" s="1" t="s">
        <v>69</v>
      </c>
      <c r="G550" s="1" t="s">
        <v>38</v>
      </c>
      <c r="H550" s="1" t="s">
        <v>53</v>
      </c>
      <c r="I550" s="1" t="s">
        <v>54</v>
      </c>
      <c r="J550" s="1">
        <v>2</v>
      </c>
      <c r="K550" s="1">
        <v>1403.2</v>
      </c>
      <c r="L550" s="1">
        <v>0.1</v>
      </c>
      <c r="M550" s="1">
        <v>2806.4</v>
      </c>
      <c r="N550" s="1">
        <v>280.64</v>
      </c>
      <c r="O550" s="1">
        <v>2525.7600000000002</v>
      </c>
      <c r="P550" s="1">
        <v>1464.9408000000001</v>
      </c>
      <c r="Q550" s="1">
        <v>1060.8191999999999</v>
      </c>
      <c r="R550" s="1">
        <v>42.000000000000007</v>
      </c>
      <c r="S550" s="1" t="s">
        <v>33</v>
      </c>
    </row>
    <row r="551" spans="1:19" x14ac:dyDescent="0.35">
      <c r="A551" s="1" t="s">
        <v>882</v>
      </c>
      <c r="B551" s="3">
        <v>45686</v>
      </c>
      <c r="C551" s="1" t="s">
        <v>193</v>
      </c>
      <c r="D551" s="1">
        <v>1</v>
      </c>
      <c r="E551" s="1" t="s">
        <v>105</v>
      </c>
      <c r="F551" s="1" t="s">
        <v>69</v>
      </c>
      <c r="G551" s="1" t="s">
        <v>38</v>
      </c>
      <c r="H551" s="1" t="s">
        <v>53</v>
      </c>
      <c r="I551" s="1" t="s">
        <v>54</v>
      </c>
      <c r="J551" s="1">
        <v>6</v>
      </c>
      <c r="K551" s="1">
        <v>1024.25</v>
      </c>
      <c r="L551" s="1">
        <v>0.2</v>
      </c>
      <c r="M551" s="1">
        <v>6145.5</v>
      </c>
      <c r="N551" s="1">
        <v>1229.0999999999999</v>
      </c>
      <c r="O551" s="1">
        <v>4916.3999999999996</v>
      </c>
      <c r="P551" s="1">
        <v>2851.5120000000002</v>
      </c>
      <c r="Q551" s="1">
        <v>2064.8879999999999</v>
      </c>
      <c r="R551" s="1">
        <v>42.000000000000007</v>
      </c>
      <c r="S551" s="1" t="s">
        <v>33</v>
      </c>
    </row>
    <row r="552" spans="1:19" x14ac:dyDescent="0.35">
      <c r="A552" s="1" t="s">
        <v>883</v>
      </c>
      <c r="B552" s="3">
        <v>45832</v>
      </c>
      <c r="C552" s="1" t="s">
        <v>82</v>
      </c>
      <c r="D552" s="1">
        <v>6</v>
      </c>
      <c r="E552" s="1" t="s">
        <v>622</v>
      </c>
      <c r="F552" s="1" t="s">
        <v>69</v>
      </c>
      <c r="G552" s="1" t="s">
        <v>64</v>
      </c>
      <c r="H552" s="1" t="s">
        <v>24</v>
      </c>
      <c r="I552" s="1" t="s">
        <v>48</v>
      </c>
      <c r="J552" s="1">
        <v>3</v>
      </c>
      <c r="K552" s="1">
        <v>841.23</v>
      </c>
      <c r="L552" s="1">
        <v>0</v>
      </c>
      <c r="M552" s="1">
        <v>2523.69</v>
      </c>
      <c r="N552" s="1">
        <v>0</v>
      </c>
      <c r="O552" s="1">
        <v>2523.69</v>
      </c>
      <c r="P552" s="1">
        <v>1388.0295000000001</v>
      </c>
      <c r="Q552" s="1">
        <v>1135.6605</v>
      </c>
      <c r="R552" s="1">
        <v>44.999999999999993</v>
      </c>
      <c r="S552" s="1" t="s">
        <v>93</v>
      </c>
    </row>
    <row r="553" spans="1:19" x14ac:dyDescent="0.35">
      <c r="A553" s="1" t="s">
        <v>884</v>
      </c>
      <c r="B553" s="3">
        <v>45984</v>
      </c>
      <c r="C553" s="1" t="s">
        <v>56</v>
      </c>
      <c r="D553" s="1">
        <v>11</v>
      </c>
      <c r="E553" s="1" t="s">
        <v>220</v>
      </c>
      <c r="F553" s="1" t="s">
        <v>37</v>
      </c>
      <c r="G553" s="1" t="s">
        <v>38</v>
      </c>
      <c r="H553" s="1" t="s">
        <v>77</v>
      </c>
      <c r="I553" s="1" t="s">
        <v>148</v>
      </c>
      <c r="J553" s="1">
        <v>2</v>
      </c>
      <c r="K553" s="1">
        <v>263.07</v>
      </c>
      <c r="L553" s="1">
        <v>0.1</v>
      </c>
      <c r="M553" s="1">
        <v>526.14</v>
      </c>
      <c r="N553" s="1">
        <v>52.613999999999997</v>
      </c>
      <c r="O553" s="1">
        <v>473.52600000000001</v>
      </c>
      <c r="P553" s="1">
        <v>340.93871999999988</v>
      </c>
      <c r="Q553" s="1">
        <v>132.58727999999999</v>
      </c>
      <c r="R553" s="1">
        <v>28.000000000000011</v>
      </c>
      <c r="S553" s="1" t="s">
        <v>60</v>
      </c>
    </row>
    <row r="554" spans="1:19" x14ac:dyDescent="0.35">
      <c r="A554" s="1" t="s">
        <v>885</v>
      </c>
      <c r="B554" s="3">
        <v>45963</v>
      </c>
      <c r="C554" s="1" t="s">
        <v>56</v>
      </c>
      <c r="D554" s="1">
        <v>11</v>
      </c>
      <c r="E554" s="1" t="s">
        <v>886</v>
      </c>
      <c r="F554" s="1" t="s">
        <v>52</v>
      </c>
      <c r="G554" s="1" t="s">
        <v>38</v>
      </c>
      <c r="H554" s="1" t="s">
        <v>24</v>
      </c>
      <c r="I554" s="1" t="s">
        <v>139</v>
      </c>
      <c r="J554" s="1">
        <v>1</v>
      </c>
      <c r="K554" s="1">
        <v>1198.19</v>
      </c>
      <c r="L554" s="1">
        <v>0.05</v>
      </c>
      <c r="M554" s="1">
        <v>1198.19</v>
      </c>
      <c r="N554" s="1">
        <v>59.909500000000008</v>
      </c>
      <c r="O554" s="1">
        <v>1138.2805000000001</v>
      </c>
      <c r="P554" s="1">
        <v>626.05427500000008</v>
      </c>
      <c r="Q554" s="1">
        <v>512.226225</v>
      </c>
      <c r="R554" s="1">
        <v>44.999999999999993</v>
      </c>
      <c r="S554" s="1" t="s">
        <v>26</v>
      </c>
    </row>
    <row r="555" spans="1:19" x14ac:dyDescent="0.35">
      <c r="A555" s="1" t="s">
        <v>887</v>
      </c>
      <c r="B555" s="3">
        <v>45682</v>
      </c>
      <c r="C555" s="1" t="s">
        <v>193</v>
      </c>
      <c r="D555" s="1">
        <v>1</v>
      </c>
      <c r="E555" s="1" t="s">
        <v>564</v>
      </c>
      <c r="F555" s="1" t="s">
        <v>43</v>
      </c>
      <c r="G555" s="1" t="s">
        <v>38</v>
      </c>
      <c r="H555" s="1" t="s">
        <v>99</v>
      </c>
      <c r="I555" s="1" t="s">
        <v>100</v>
      </c>
      <c r="J555" s="1">
        <v>6</v>
      </c>
      <c r="K555" s="1">
        <v>11098.14</v>
      </c>
      <c r="L555" s="1">
        <v>0.15</v>
      </c>
      <c r="M555" s="1">
        <v>66588.84</v>
      </c>
      <c r="N555" s="1">
        <v>9988.3259999999991</v>
      </c>
      <c r="O555" s="1">
        <v>56600.514000000003</v>
      </c>
      <c r="P555" s="1">
        <v>38488.349520000003</v>
      </c>
      <c r="Q555" s="1">
        <v>18112.164479999989</v>
      </c>
      <c r="R555" s="1">
        <v>31.999999999999989</v>
      </c>
      <c r="S555" s="1" t="s">
        <v>60</v>
      </c>
    </row>
    <row r="556" spans="1:19" x14ac:dyDescent="0.35">
      <c r="A556" s="1" t="s">
        <v>888</v>
      </c>
      <c r="B556" s="3">
        <v>45889</v>
      </c>
      <c r="C556" s="1" t="s">
        <v>113</v>
      </c>
      <c r="D556" s="1">
        <v>8</v>
      </c>
      <c r="E556" s="1" t="s">
        <v>204</v>
      </c>
      <c r="F556" s="1" t="s">
        <v>30</v>
      </c>
      <c r="G556" s="1" t="s">
        <v>38</v>
      </c>
      <c r="H556" s="1" t="s">
        <v>24</v>
      </c>
      <c r="I556" s="1" t="s">
        <v>139</v>
      </c>
      <c r="J556" s="1">
        <v>4</v>
      </c>
      <c r="K556" s="1">
        <v>2344.54</v>
      </c>
      <c r="L556" s="1">
        <v>0.05</v>
      </c>
      <c r="M556" s="1">
        <v>9378.16</v>
      </c>
      <c r="N556" s="1">
        <v>468.90800000000002</v>
      </c>
      <c r="O556" s="1">
        <v>8909.2520000000004</v>
      </c>
      <c r="P556" s="1">
        <v>4900.088600000001</v>
      </c>
      <c r="Q556" s="1">
        <v>4009.163399999999</v>
      </c>
      <c r="R556" s="1">
        <v>44.999999999999993</v>
      </c>
      <c r="S556" s="1" t="s">
        <v>93</v>
      </c>
    </row>
    <row r="557" spans="1:19" x14ac:dyDescent="0.35">
      <c r="A557" s="1" t="s">
        <v>889</v>
      </c>
      <c r="B557" s="3">
        <v>45854</v>
      </c>
      <c r="C557" s="1" t="s">
        <v>62</v>
      </c>
      <c r="D557" s="1">
        <v>7</v>
      </c>
      <c r="E557" s="1" t="s">
        <v>389</v>
      </c>
      <c r="F557" s="1" t="s">
        <v>37</v>
      </c>
      <c r="G557" s="1" t="s">
        <v>38</v>
      </c>
      <c r="H557" s="1" t="s">
        <v>39</v>
      </c>
      <c r="I557" s="1" t="s">
        <v>155</v>
      </c>
      <c r="J557" s="1">
        <v>4</v>
      </c>
      <c r="K557" s="1">
        <v>18204.8</v>
      </c>
      <c r="L557" s="1">
        <v>0.2</v>
      </c>
      <c r="M557" s="1">
        <v>72819.199999999997</v>
      </c>
      <c r="N557" s="1">
        <v>14563.84</v>
      </c>
      <c r="O557" s="1">
        <v>58255.360000000001</v>
      </c>
      <c r="P557" s="1">
        <v>45439.180800000002</v>
      </c>
      <c r="Q557" s="1">
        <v>12816.1792</v>
      </c>
      <c r="R557" s="1">
        <v>22</v>
      </c>
      <c r="S557" s="1" t="s">
        <v>73</v>
      </c>
    </row>
    <row r="558" spans="1:19" x14ac:dyDescent="0.35">
      <c r="A558" s="1" t="s">
        <v>890</v>
      </c>
      <c r="B558" s="3">
        <v>45832</v>
      </c>
      <c r="C558" s="1" t="s">
        <v>82</v>
      </c>
      <c r="D558" s="1">
        <v>6</v>
      </c>
      <c r="E558" s="1" t="s">
        <v>646</v>
      </c>
      <c r="F558" s="1" t="s">
        <v>69</v>
      </c>
      <c r="G558" s="1" t="s">
        <v>38</v>
      </c>
      <c r="H558" s="1" t="s">
        <v>24</v>
      </c>
      <c r="I558" s="1" t="s">
        <v>139</v>
      </c>
      <c r="J558" s="1">
        <v>7</v>
      </c>
      <c r="K558" s="1">
        <v>2903.78</v>
      </c>
      <c r="L558" s="1">
        <v>0.15</v>
      </c>
      <c r="M558" s="1">
        <v>20326.46</v>
      </c>
      <c r="N558" s="1">
        <v>3048.969000000001</v>
      </c>
      <c r="O558" s="1">
        <v>17277.491000000002</v>
      </c>
      <c r="P558" s="1">
        <v>9502.6200500000014</v>
      </c>
      <c r="Q558" s="1">
        <v>7774.8709500000004</v>
      </c>
      <c r="R558" s="1">
        <v>44.999999999999993</v>
      </c>
      <c r="S558" s="1" t="s">
        <v>73</v>
      </c>
    </row>
    <row r="559" spans="1:19" x14ac:dyDescent="0.35">
      <c r="A559" s="1" t="s">
        <v>891</v>
      </c>
      <c r="B559" s="3">
        <v>45895</v>
      </c>
      <c r="C559" s="1" t="s">
        <v>113</v>
      </c>
      <c r="D559" s="1">
        <v>8</v>
      </c>
      <c r="E559" s="1" t="s">
        <v>301</v>
      </c>
      <c r="F559" s="1" t="s">
        <v>69</v>
      </c>
      <c r="G559" s="1" t="s">
        <v>38</v>
      </c>
      <c r="H559" s="1" t="s">
        <v>77</v>
      </c>
      <c r="I559" s="1" t="s">
        <v>90</v>
      </c>
      <c r="J559" s="1">
        <v>6</v>
      </c>
      <c r="K559" s="1">
        <v>889.78</v>
      </c>
      <c r="L559" s="1">
        <v>0.1</v>
      </c>
      <c r="M559" s="1">
        <v>5338.68</v>
      </c>
      <c r="N559" s="1">
        <v>533.86800000000005</v>
      </c>
      <c r="O559" s="1">
        <v>4804.8119999999999</v>
      </c>
      <c r="P559" s="1">
        <v>3459.4646400000001</v>
      </c>
      <c r="Q559" s="1">
        <v>1345.34736</v>
      </c>
      <c r="R559" s="1">
        <v>28</v>
      </c>
      <c r="S559" s="1" t="s">
        <v>73</v>
      </c>
    </row>
    <row r="560" spans="1:19" x14ac:dyDescent="0.35">
      <c r="A560" s="1" t="s">
        <v>892</v>
      </c>
      <c r="B560" s="3">
        <v>45733</v>
      </c>
      <c r="C560" s="1" t="s">
        <v>28</v>
      </c>
      <c r="D560" s="1">
        <v>3</v>
      </c>
      <c r="E560" s="1" t="s">
        <v>71</v>
      </c>
      <c r="F560" s="1" t="s">
        <v>58</v>
      </c>
      <c r="G560" s="1" t="s">
        <v>64</v>
      </c>
      <c r="H560" s="1" t="s">
        <v>24</v>
      </c>
      <c r="I560" s="1" t="s">
        <v>117</v>
      </c>
      <c r="J560" s="1">
        <v>4</v>
      </c>
      <c r="K560" s="1">
        <v>4523.59</v>
      </c>
      <c r="L560" s="1">
        <v>0.1</v>
      </c>
      <c r="M560" s="1">
        <v>18094.36</v>
      </c>
      <c r="N560" s="1">
        <v>1809.4359999999999</v>
      </c>
      <c r="O560" s="1">
        <v>16284.924000000001</v>
      </c>
      <c r="P560" s="1">
        <v>8956.7082000000009</v>
      </c>
      <c r="Q560" s="1">
        <v>7328.2157999999999</v>
      </c>
      <c r="R560" s="1">
        <v>44.999999999999993</v>
      </c>
      <c r="S560" s="1" t="s">
        <v>93</v>
      </c>
    </row>
    <row r="561" spans="1:19" x14ac:dyDescent="0.35">
      <c r="A561" s="1" t="s">
        <v>893</v>
      </c>
      <c r="B561" s="3">
        <v>45756</v>
      </c>
      <c r="C561" s="1" t="s">
        <v>20</v>
      </c>
      <c r="D561" s="1">
        <v>4</v>
      </c>
      <c r="E561" s="1" t="s">
        <v>894</v>
      </c>
      <c r="F561" s="1" t="s">
        <v>22</v>
      </c>
      <c r="G561" s="1" t="s">
        <v>23</v>
      </c>
      <c r="H561" s="1" t="s">
        <v>99</v>
      </c>
      <c r="I561" s="1" t="s">
        <v>108</v>
      </c>
      <c r="J561" s="1">
        <v>7</v>
      </c>
      <c r="K561" s="1">
        <v>11855.92</v>
      </c>
      <c r="L561" s="1">
        <v>0.1</v>
      </c>
      <c r="M561" s="1">
        <v>82991.44</v>
      </c>
      <c r="N561" s="1">
        <v>8299.1440000000002</v>
      </c>
      <c r="O561" s="1">
        <v>74692.296000000002</v>
      </c>
      <c r="P561" s="1">
        <v>50790.761280000013</v>
      </c>
      <c r="Q561" s="1">
        <v>23901.53472</v>
      </c>
      <c r="R561" s="1">
        <v>32</v>
      </c>
      <c r="S561" s="1" t="s">
        <v>26</v>
      </c>
    </row>
    <row r="562" spans="1:19" x14ac:dyDescent="0.35">
      <c r="A562" s="1" t="s">
        <v>895</v>
      </c>
      <c r="B562" s="3">
        <v>45830</v>
      </c>
      <c r="C562" s="1" t="s">
        <v>82</v>
      </c>
      <c r="D562" s="1">
        <v>6</v>
      </c>
      <c r="E562" s="1" t="s">
        <v>896</v>
      </c>
      <c r="F562" s="1" t="s">
        <v>30</v>
      </c>
      <c r="G562" s="1" t="s">
        <v>64</v>
      </c>
      <c r="H562" s="1" t="s">
        <v>77</v>
      </c>
      <c r="I562" s="1" t="s">
        <v>148</v>
      </c>
      <c r="J562" s="1">
        <v>4</v>
      </c>
      <c r="K562" s="1">
        <v>889.7</v>
      </c>
      <c r="L562" s="1">
        <v>0.15</v>
      </c>
      <c r="M562" s="1">
        <v>3558.8</v>
      </c>
      <c r="N562" s="1">
        <v>533.82000000000005</v>
      </c>
      <c r="O562" s="1">
        <v>3024.98</v>
      </c>
      <c r="P562" s="1">
        <v>2177.9856</v>
      </c>
      <c r="Q562" s="1">
        <v>846.99440000000004</v>
      </c>
      <c r="R562" s="1">
        <v>28</v>
      </c>
      <c r="S562" s="1" t="s">
        <v>60</v>
      </c>
    </row>
    <row r="563" spans="1:19" x14ac:dyDescent="0.35">
      <c r="A563" s="1" t="s">
        <v>897</v>
      </c>
      <c r="B563" s="3">
        <v>45722</v>
      </c>
      <c r="C563" s="1" t="s">
        <v>28</v>
      </c>
      <c r="D563" s="1">
        <v>3</v>
      </c>
      <c r="E563" s="1" t="s">
        <v>278</v>
      </c>
      <c r="F563" s="1" t="s">
        <v>47</v>
      </c>
      <c r="G563" s="1" t="s">
        <v>38</v>
      </c>
      <c r="H563" s="1" t="s">
        <v>77</v>
      </c>
      <c r="I563" s="1" t="s">
        <v>148</v>
      </c>
      <c r="J563" s="1">
        <v>7</v>
      </c>
      <c r="K563" s="1">
        <v>398.25</v>
      </c>
      <c r="L563" s="1">
        <v>0.15</v>
      </c>
      <c r="M563" s="1">
        <v>2787.75</v>
      </c>
      <c r="N563" s="1">
        <v>418.16250000000002</v>
      </c>
      <c r="O563" s="1">
        <v>2369.5875000000001</v>
      </c>
      <c r="P563" s="1">
        <v>1706.1030000000001</v>
      </c>
      <c r="Q563" s="1">
        <v>663.48450000000003</v>
      </c>
      <c r="R563" s="1">
        <v>28</v>
      </c>
      <c r="S563" s="1" t="s">
        <v>93</v>
      </c>
    </row>
    <row r="564" spans="1:19" x14ac:dyDescent="0.35">
      <c r="A564" s="1" t="s">
        <v>898</v>
      </c>
      <c r="B564" s="3">
        <v>45970</v>
      </c>
      <c r="C564" s="1" t="s">
        <v>56</v>
      </c>
      <c r="D564" s="1">
        <v>11</v>
      </c>
      <c r="E564" s="1" t="s">
        <v>668</v>
      </c>
      <c r="F564" s="1" t="s">
        <v>69</v>
      </c>
      <c r="G564" s="1" t="s">
        <v>23</v>
      </c>
      <c r="H564" s="1" t="s">
        <v>53</v>
      </c>
      <c r="I564" s="1" t="s">
        <v>54</v>
      </c>
      <c r="J564" s="1">
        <v>5</v>
      </c>
      <c r="K564" s="1">
        <v>639.04999999999995</v>
      </c>
      <c r="L564" s="1">
        <v>0</v>
      </c>
      <c r="M564" s="1">
        <v>3195.25</v>
      </c>
      <c r="N564" s="1">
        <v>0</v>
      </c>
      <c r="O564" s="1">
        <v>3195.25</v>
      </c>
      <c r="P564" s="1">
        <v>1853.2449999999999</v>
      </c>
      <c r="Q564" s="1">
        <v>1342.0050000000001</v>
      </c>
      <c r="R564" s="1">
        <v>42.000000000000007</v>
      </c>
      <c r="S564" s="1" t="s">
        <v>33</v>
      </c>
    </row>
    <row r="565" spans="1:19" x14ac:dyDescent="0.35">
      <c r="A565" s="1" t="s">
        <v>899</v>
      </c>
      <c r="B565" s="3">
        <v>46004</v>
      </c>
      <c r="C565" s="1" t="s">
        <v>67</v>
      </c>
      <c r="D565" s="1">
        <v>12</v>
      </c>
      <c r="E565" s="1" t="s">
        <v>900</v>
      </c>
      <c r="F565" s="1" t="s">
        <v>111</v>
      </c>
      <c r="G565" s="1" t="s">
        <v>23</v>
      </c>
      <c r="H565" s="1" t="s">
        <v>77</v>
      </c>
      <c r="I565" s="1" t="s">
        <v>78</v>
      </c>
      <c r="J565" s="1">
        <v>3</v>
      </c>
      <c r="K565" s="1">
        <v>849.2</v>
      </c>
      <c r="L565" s="1">
        <v>0.15</v>
      </c>
      <c r="M565" s="1">
        <v>2547.6</v>
      </c>
      <c r="N565" s="1">
        <v>382.14</v>
      </c>
      <c r="O565" s="1">
        <v>2165.46</v>
      </c>
      <c r="P565" s="1">
        <v>1559.1312</v>
      </c>
      <c r="Q565" s="1">
        <v>606.32880000000023</v>
      </c>
      <c r="R565" s="1">
        <v>28</v>
      </c>
      <c r="S565" s="1" t="s">
        <v>93</v>
      </c>
    </row>
    <row r="566" spans="1:19" x14ac:dyDescent="0.35">
      <c r="A566" s="1" t="s">
        <v>901</v>
      </c>
      <c r="B566" s="3">
        <v>45834</v>
      </c>
      <c r="C566" s="1" t="s">
        <v>82</v>
      </c>
      <c r="D566" s="1">
        <v>6</v>
      </c>
      <c r="E566" s="1" t="s">
        <v>71</v>
      </c>
      <c r="F566" s="1" t="s">
        <v>43</v>
      </c>
      <c r="G566" s="1" t="s">
        <v>23</v>
      </c>
      <c r="H566" s="1" t="s">
        <v>24</v>
      </c>
      <c r="I566" s="1" t="s">
        <v>117</v>
      </c>
      <c r="J566" s="1">
        <v>5</v>
      </c>
      <c r="K566" s="1">
        <v>5515.78</v>
      </c>
      <c r="L566" s="1">
        <v>0</v>
      </c>
      <c r="M566" s="1">
        <v>27578.9</v>
      </c>
      <c r="N566" s="1">
        <v>0</v>
      </c>
      <c r="O566" s="1">
        <v>27578.9</v>
      </c>
      <c r="P566" s="1">
        <v>15168.395</v>
      </c>
      <c r="Q566" s="1">
        <v>12410.504999999999</v>
      </c>
      <c r="R566" s="1">
        <v>44.999999999999993</v>
      </c>
      <c r="S566" s="1" t="s">
        <v>73</v>
      </c>
    </row>
    <row r="567" spans="1:19" x14ac:dyDescent="0.35">
      <c r="A567" s="1" t="s">
        <v>902</v>
      </c>
      <c r="B567" s="3">
        <v>45954</v>
      </c>
      <c r="C567" s="1" t="s">
        <v>35</v>
      </c>
      <c r="D567" s="1">
        <v>10</v>
      </c>
      <c r="E567" s="1" t="s">
        <v>295</v>
      </c>
      <c r="F567" s="1" t="s">
        <v>47</v>
      </c>
      <c r="G567" s="1" t="s">
        <v>38</v>
      </c>
      <c r="H567" s="1" t="s">
        <v>77</v>
      </c>
      <c r="I567" s="1" t="s">
        <v>78</v>
      </c>
      <c r="J567" s="1">
        <v>3</v>
      </c>
      <c r="K567" s="1">
        <v>378.47</v>
      </c>
      <c r="L567" s="1">
        <v>0.15</v>
      </c>
      <c r="M567" s="1">
        <v>1135.4100000000001</v>
      </c>
      <c r="N567" s="1">
        <v>170.3115</v>
      </c>
      <c r="O567" s="1">
        <v>965.09850000000006</v>
      </c>
      <c r="P567" s="1">
        <v>694.87092000000007</v>
      </c>
      <c r="Q567" s="1">
        <v>270.22757999999999</v>
      </c>
      <c r="R567" s="1">
        <v>28</v>
      </c>
      <c r="S567" s="1" t="s">
        <v>26</v>
      </c>
    </row>
    <row r="568" spans="1:19" x14ac:dyDescent="0.35">
      <c r="A568" s="1" t="s">
        <v>903</v>
      </c>
      <c r="B568" s="3">
        <v>45882</v>
      </c>
      <c r="C568" s="1" t="s">
        <v>113</v>
      </c>
      <c r="D568" s="1">
        <v>8</v>
      </c>
      <c r="E568" s="1" t="s">
        <v>252</v>
      </c>
      <c r="F568" s="1" t="s">
        <v>69</v>
      </c>
      <c r="G568" s="1" t="s">
        <v>23</v>
      </c>
      <c r="H568" s="1" t="s">
        <v>53</v>
      </c>
      <c r="I568" s="1" t="s">
        <v>185</v>
      </c>
      <c r="J568" s="1">
        <v>2</v>
      </c>
      <c r="K568" s="1">
        <v>1814.59</v>
      </c>
      <c r="L568" s="1">
        <v>0.1</v>
      </c>
      <c r="M568" s="1">
        <v>3629.18</v>
      </c>
      <c r="N568" s="1">
        <v>362.91800000000001</v>
      </c>
      <c r="O568" s="1">
        <v>3266.2620000000002</v>
      </c>
      <c r="P568" s="1">
        <v>1894.4319599999999</v>
      </c>
      <c r="Q568" s="1">
        <v>1371.8300400000001</v>
      </c>
      <c r="R568" s="1">
        <v>42.000000000000007</v>
      </c>
      <c r="S568" s="1" t="s">
        <v>33</v>
      </c>
    </row>
    <row r="569" spans="1:19" x14ac:dyDescent="0.35">
      <c r="A569" s="1" t="s">
        <v>904</v>
      </c>
      <c r="B569" s="3">
        <v>45810</v>
      </c>
      <c r="C569" s="1" t="s">
        <v>82</v>
      </c>
      <c r="D569" s="1">
        <v>6</v>
      </c>
      <c r="E569" s="1" t="s">
        <v>236</v>
      </c>
      <c r="F569" s="1" t="s">
        <v>69</v>
      </c>
      <c r="G569" s="1" t="s">
        <v>38</v>
      </c>
      <c r="H569" s="1" t="s">
        <v>31</v>
      </c>
      <c r="I569" s="1" t="s">
        <v>190</v>
      </c>
      <c r="J569" s="1">
        <v>1</v>
      </c>
      <c r="K569" s="1">
        <v>3043.49</v>
      </c>
      <c r="L569" s="1">
        <v>0.15</v>
      </c>
      <c r="M569" s="1">
        <v>3043.49</v>
      </c>
      <c r="N569" s="1">
        <v>456.52350000000001</v>
      </c>
      <c r="O569" s="1">
        <v>2586.9665</v>
      </c>
      <c r="P569" s="1">
        <v>1345.2225800000001</v>
      </c>
      <c r="Q569" s="1">
        <v>1241.7439199999999</v>
      </c>
      <c r="R569" s="1">
        <v>48</v>
      </c>
      <c r="S569" s="1" t="s">
        <v>60</v>
      </c>
    </row>
    <row r="570" spans="1:19" x14ac:dyDescent="0.35">
      <c r="A570" s="1" t="s">
        <v>905</v>
      </c>
      <c r="B570" s="3">
        <v>45673</v>
      </c>
      <c r="C570" s="1" t="s">
        <v>193</v>
      </c>
      <c r="D570" s="1">
        <v>1</v>
      </c>
      <c r="E570" s="1" t="s">
        <v>875</v>
      </c>
      <c r="F570" s="1" t="s">
        <v>30</v>
      </c>
      <c r="G570" s="1" t="s">
        <v>38</v>
      </c>
      <c r="H570" s="1" t="s">
        <v>77</v>
      </c>
      <c r="I570" s="1" t="s">
        <v>201</v>
      </c>
      <c r="J570" s="1">
        <v>3</v>
      </c>
      <c r="K570" s="1">
        <v>344.11</v>
      </c>
      <c r="L570" s="1">
        <v>0.1</v>
      </c>
      <c r="M570" s="1">
        <v>1032.33</v>
      </c>
      <c r="N570" s="1">
        <v>103.233</v>
      </c>
      <c r="O570" s="1">
        <v>929.09699999999998</v>
      </c>
      <c r="P570" s="1">
        <v>668.94983999999999</v>
      </c>
      <c r="Q570" s="1">
        <v>260.14715999999999</v>
      </c>
      <c r="R570" s="1">
        <v>28</v>
      </c>
      <c r="S570" s="1" t="s">
        <v>73</v>
      </c>
    </row>
    <row r="571" spans="1:19" x14ac:dyDescent="0.35">
      <c r="A571" s="1" t="s">
        <v>906</v>
      </c>
      <c r="B571" s="3">
        <v>46002</v>
      </c>
      <c r="C571" s="1" t="s">
        <v>67</v>
      </c>
      <c r="D571" s="1">
        <v>12</v>
      </c>
      <c r="E571" s="1" t="s">
        <v>465</v>
      </c>
      <c r="F571" s="1" t="s">
        <v>22</v>
      </c>
      <c r="G571" s="1" t="s">
        <v>38</v>
      </c>
      <c r="H571" s="1" t="s">
        <v>31</v>
      </c>
      <c r="I571" s="1" t="s">
        <v>32</v>
      </c>
      <c r="J571" s="1">
        <v>5</v>
      </c>
      <c r="K571" s="1">
        <v>2140.37</v>
      </c>
      <c r="L571" s="1">
        <v>0.1</v>
      </c>
      <c r="M571" s="1">
        <v>10701.85</v>
      </c>
      <c r="N571" s="1">
        <v>1070.1849999999999</v>
      </c>
      <c r="O571" s="1">
        <v>9631.6649999999991</v>
      </c>
      <c r="P571" s="1">
        <v>5008.4657999999999</v>
      </c>
      <c r="Q571" s="1">
        <v>4623.1991999999991</v>
      </c>
      <c r="R571" s="1">
        <v>48</v>
      </c>
      <c r="S571" s="1" t="s">
        <v>73</v>
      </c>
    </row>
    <row r="572" spans="1:19" x14ac:dyDescent="0.35">
      <c r="A572" s="1" t="s">
        <v>907</v>
      </c>
      <c r="B572" s="3">
        <v>45687</v>
      </c>
      <c r="C572" s="1" t="s">
        <v>193</v>
      </c>
      <c r="D572" s="1">
        <v>1</v>
      </c>
      <c r="E572" s="1" t="s">
        <v>908</v>
      </c>
      <c r="F572" s="1" t="s">
        <v>58</v>
      </c>
      <c r="G572" s="1" t="s">
        <v>38</v>
      </c>
      <c r="H572" s="1" t="s">
        <v>39</v>
      </c>
      <c r="I572" s="1" t="s">
        <v>87</v>
      </c>
      <c r="J572" s="1">
        <v>4</v>
      </c>
      <c r="K572" s="1">
        <v>41001.730000000003</v>
      </c>
      <c r="L572" s="1">
        <v>0</v>
      </c>
      <c r="M572" s="1">
        <v>164006.92000000001</v>
      </c>
      <c r="N572" s="1">
        <v>0</v>
      </c>
      <c r="O572" s="1">
        <v>164006.92000000001</v>
      </c>
      <c r="P572" s="1">
        <v>127925.3976</v>
      </c>
      <c r="Q572" s="1">
        <v>36081.522400000002</v>
      </c>
      <c r="R572" s="1">
        <v>22</v>
      </c>
      <c r="S572" s="1" t="s">
        <v>93</v>
      </c>
    </row>
    <row r="573" spans="1:19" x14ac:dyDescent="0.35">
      <c r="A573" s="1" t="s">
        <v>909</v>
      </c>
      <c r="B573" s="3">
        <v>45794</v>
      </c>
      <c r="C573" s="1" t="s">
        <v>97</v>
      </c>
      <c r="D573" s="1">
        <v>5</v>
      </c>
      <c r="E573" s="1" t="s">
        <v>405</v>
      </c>
      <c r="F573" s="1" t="s">
        <v>22</v>
      </c>
      <c r="G573" s="1" t="s">
        <v>64</v>
      </c>
      <c r="H573" s="1" t="s">
        <v>99</v>
      </c>
      <c r="I573" s="1" t="s">
        <v>108</v>
      </c>
      <c r="J573" s="1">
        <v>4</v>
      </c>
      <c r="K573" s="1">
        <v>8484.9500000000007</v>
      </c>
      <c r="L573" s="1">
        <v>0.1</v>
      </c>
      <c r="M573" s="1">
        <v>33939.800000000003</v>
      </c>
      <c r="N573" s="1">
        <v>3393.98</v>
      </c>
      <c r="O573" s="1">
        <v>30545.82</v>
      </c>
      <c r="P573" s="1">
        <v>20771.157599999999</v>
      </c>
      <c r="Q573" s="1">
        <v>9774.6624000000011</v>
      </c>
      <c r="R573" s="1">
        <v>32</v>
      </c>
      <c r="S573" s="1" t="s">
        <v>73</v>
      </c>
    </row>
    <row r="574" spans="1:19" x14ac:dyDescent="0.35">
      <c r="A574" s="1" t="s">
        <v>910</v>
      </c>
      <c r="B574" s="3">
        <v>45768</v>
      </c>
      <c r="C574" s="1" t="s">
        <v>20</v>
      </c>
      <c r="D574" s="1">
        <v>4</v>
      </c>
      <c r="E574" s="1" t="s">
        <v>867</v>
      </c>
      <c r="F574" s="1" t="s">
        <v>43</v>
      </c>
      <c r="G574" s="1" t="s">
        <v>38</v>
      </c>
      <c r="H574" s="1" t="s">
        <v>99</v>
      </c>
      <c r="I574" s="1" t="s">
        <v>223</v>
      </c>
      <c r="J574" s="1">
        <v>5</v>
      </c>
      <c r="K574" s="1">
        <v>23464.16</v>
      </c>
      <c r="L574" s="1">
        <v>0.3</v>
      </c>
      <c r="M574" s="1">
        <v>117320.8</v>
      </c>
      <c r="N574" s="1">
        <v>35196.239999999998</v>
      </c>
      <c r="O574" s="1">
        <v>82124.56</v>
      </c>
      <c r="P574" s="1">
        <v>55844.700800000013</v>
      </c>
      <c r="Q574" s="1">
        <v>26279.859199999992</v>
      </c>
      <c r="R574" s="1">
        <v>31.999999999999989</v>
      </c>
      <c r="S574" s="1" t="s">
        <v>93</v>
      </c>
    </row>
    <row r="575" spans="1:19" x14ac:dyDescent="0.35">
      <c r="A575" s="1" t="s">
        <v>911</v>
      </c>
      <c r="B575" s="3">
        <v>45924</v>
      </c>
      <c r="C575" s="1" t="s">
        <v>50</v>
      </c>
      <c r="D575" s="1">
        <v>9</v>
      </c>
      <c r="E575" s="1" t="s">
        <v>912</v>
      </c>
      <c r="F575" s="1" t="s">
        <v>111</v>
      </c>
      <c r="G575" s="1" t="s">
        <v>23</v>
      </c>
      <c r="H575" s="1" t="s">
        <v>53</v>
      </c>
      <c r="I575" s="1" t="s">
        <v>72</v>
      </c>
      <c r="J575" s="1">
        <v>5</v>
      </c>
      <c r="K575" s="1">
        <v>431.5</v>
      </c>
      <c r="L575" s="1">
        <v>0.2</v>
      </c>
      <c r="M575" s="1">
        <v>2157.5</v>
      </c>
      <c r="N575" s="1">
        <v>431.5</v>
      </c>
      <c r="O575" s="1">
        <v>1726</v>
      </c>
      <c r="P575" s="1">
        <v>1001.08</v>
      </c>
      <c r="Q575" s="1">
        <v>724.92000000000007</v>
      </c>
      <c r="R575" s="1">
        <v>42.000000000000007</v>
      </c>
      <c r="S575" s="1" t="s">
        <v>60</v>
      </c>
    </row>
    <row r="576" spans="1:19" x14ac:dyDescent="0.35">
      <c r="A576" s="1" t="s">
        <v>913</v>
      </c>
      <c r="B576" s="3">
        <v>45965</v>
      </c>
      <c r="C576" s="1" t="s">
        <v>56</v>
      </c>
      <c r="D576" s="1">
        <v>11</v>
      </c>
      <c r="E576" s="1" t="s">
        <v>914</v>
      </c>
      <c r="F576" s="1" t="s">
        <v>22</v>
      </c>
      <c r="G576" s="1" t="s">
        <v>64</v>
      </c>
      <c r="H576" s="1" t="s">
        <v>99</v>
      </c>
      <c r="I576" s="1" t="s">
        <v>120</v>
      </c>
      <c r="J576" s="1">
        <v>6</v>
      </c>
      <c r="K576" s="1">
        <v>11740.36</v>
      </c>
      <c r="L576" s="1">
        <v>0.05</v>
      </c>
      <c r="M576" s="1">
        <v>70442.16</v>
      </c>
      <c r="N576" s="1">
        <v>3522.1080000000002</v>
      </c>
      <c r="O576" s="1">
        <v>66920.051999999996</v>
      </c>
      <c r="P576" s="1">
        <v>45505.63536</v>
      </c>
      <c r="Q576" s="1">
        <v>21414.416639999999</v>
      </c>
      <c r="R576" s="1">
        <v>32</v>
      </c>
      <c r="S576" s="1" t="s">
        <v>73</v>
      </c>
    </row>
    <row r="577" spans="1:19" x14ac:dyDescent="0.35">
      <c r="A577" s="1" t="s">
        <v>915</v>
      </c>
      <c r="B577" s="3">
        <v>45836</v>
      </c>
      <c r="C577" s="1" t="s">
        <v>82</v>
      </c>
      <c r="D577" s="1">
        <v>6</v>
      </c>
      <c r="E577" s="1" t="s">
        <v>448</v>
      </c>
      <c r="F577" s="1" t="s">
        <v>22</v>
      </c>
      <c r="G577" s="1" t="s">
        <v>64</v>
      </c>
      <c r="H577" s="1" t="s">
        <v>31</v>
      </c>
      <c r="I577" s="1" t="s">
        <v>65</v>
      </c>
      <c r="J577" s="1">
        <v>7</v>
      </c>
      <c r="K577" s="1">
        <v>699.52</v>
      </c>
      <c r="L577" s="1">
        <v>0.05</v>
      </c>
      <c r="M577" s="1">
        <v>4896.6399999999994</v>
      </c>
      <c r="N577" s="1">
        <v>244.83199999999999</v>
      </c>
      <c r="O577" s="1">
        <v>4651.8079999999991</v>
      </c>
      <c r="P577" s="1">
        <v>2418.9401600000001</v>
      </c>
      <c r="Q577" s="1">
        <v>2232.867839999999</v>
      </c>
      <c r="R577" s="1">
        <v>48</v>
      </c>
      <c r="S577" s="1" t="s">
        <v>73</v>
      </c>
    </row>
    <row r="578" spans="1:19" x14ac:dyDescent="0.35">
      <c r="A578" s="1" t="s">
        <v>916</v>
      </c>
      <c r="B578" s="3">
        <v>45810</v>
      </c>
      <c r="C578" s="1" t="s">
        <v>82</v>
      </c>
      <c r="D578" s="1">
        <v>6</v>
      </c>
      <c r="E578" s="1" t="s">
        <v>431</v>
      </c>
      <c r="F578" s="1" t="s">
        <v>69</v>
      </c>
      <c r="G578" s="1" t="s">
        <v>23</v>
      </c>
      <c r="H578" s="1" t="s">
        <v>31</v>
      </c>
      <c r="I578" s="1" t="s">
        <v>190</v>
      </c>
      <c r="J578" s="1">
        <v>2</v>
      </c>
      <c r="K578" s="1">
        <v>2097.6999999999998</v>
      </c>
      <c r="L578" s="1">
        <v>0.05</v>
      </c>
      <c r="M578" s="1">
        <v>4195.3999999999996</v>
      </c>
      <c r="N578" s="1">
        <v>209.77</v>
      </c>
      <c r="O578" s="1">
        <v>3985.63</v>
      </c>
      <c r="P578" s="1">
        <v>2072.5275999999999</v>
      </c>
      <c r="Q578" s="1">
        <v>1913.1024</v>
      </c>
      <c r="R578" s="1">
        <v>48</v>
      </c>
      <c r="S578" s="1" t="s">
        <v>73</v>
      </c>
    </row>
    <row r="579" spans="1:19" x14ac:dyDescent="0.35">
      <c r="A579" s="1" t="s">
        <v>917</v>
      </c>
      <c r="B579" s="3">
        <v>45732</v>
      </c>
      <c r="C579" s="1" t="s">
        <v>28</v>
      </c>
      <c r="D579" s="1">
        <v>3</v>
      </c>
      <c r="E579" s="1" t="s">
        <v>918</v>
      </c>
      <c r="F579" s="1" t="s">
        <v>30</v>
      </c>
      <c r="G579" s="1" t="s">
        <v>64</v>
      </c>
      <c r="H579" s="1" t="s">
        <v>77</v>
      </c>
      <c r="I579" s="1" t="s">
        <v>103</v>
      </c>
      <c r="J579" s="1">
        <v>4</v>
      </c>
      <c r="K579" s="1">
        <v>907</v>
      </c>
      <c r="L579" s="1">
        <v>0.05</v>
      </c>
      <c r="M579" s="1">
        <v>3628</v>
      </c>
      <c r="N579" s="1">
        <v>181.4</v>
      </c>
      <c r="O579" s="1">
        <v>3446.6</v>
      </c>
      <c r="P579" s="1">
        <v>2481.5520000000001</v>
      </c>
      <c r="Q579" s="1">
        <v>965.04800000000023</v>
      </c>
      <c r="R579" s="1">
        <v>28.000000000000011</v>
      </c>
      <c r="S579" s="1" t="s">
        <v>60</v>
      </c>
    </row>
    <row r="580" spans="1:19" x14ac:dyDescent="0.35">
      <c r="A580" s="1" t="s">
        <v>919</v>
      </c>
      <c r="B580" s="3">
        <v>45692</v>
      </c>
      <c r="C580" s="1" t="s">
        <v>42</v>
      </c>
      <c r="D580" s="1">
        <v>2</v>
      </c>
      <c r="E580" s="1" t="s">
        <v>484</v>
      </c>
      <c r="F580" s="1" t="s">
        <v>69</v>
      </c>
      <c r="G580" s="1" t="s">
        <v>64</v>
      </c>
      <c r="H580" s="1" t="s">
        <v>77</v>
      </c>
      <c r="I580" s="1" t="s">
        <v>148</v>
      </c>
      <c r="J580" s="1">
        <v>1</v>
      </c>
      <c r="K580" s="1">
        <v>806.37</v>
      </c>
      <c r="L580" s="1">
        <v>0.15</v>
      </c>
      <c r="M580" s="1">
        <v>806.37</v>
      </c>
      <c r="N580" s="1">
        <v>120.9555</v>
      </c>
      <c r="O580" s="1">
        <v>685.41449999999998</v>
      </c>
      <c r="P580" s="1">
        <v>493.49844000000002</v>
      </c>
      <c r="Q580" s="1">
        <v>191.91605999999999</v>
      </c>
      <c r="R580" s="1">
        <v>28</v>
      </c>
      <c r="S580" s="1" t="s">
        <v>26</v>
      </c>
    </row>
    <row r="581" spans="1:19" x14ac:dyDescent="0.35">
      <c r="A581" s="1" t="s">
        <v>920</v>
      </c>
      <c r="B581" s="3">
        <v>45729</v>
      </c>
      <c r="C581" s="1" t="s">
        <v>28</v>
      </c>
      <c r="D581" s="1">
        <v>3</v>
      </c>
      <c r="E581" s="1" t="s">
        <v>171</v>
      </c>
      <c r="F581" s="1" t="s">
        <v>22</v>
      </c>
      <c r="G581" s="1" t="s">
        <v>38</v>
      </c>
      <c r="H581" s="1" t="s">
        <v>99</v>
      </c>
      <c r="I581" s="1" t="s">
        <v>145</v>
      </c>
      <c r="J581" s="1">
        <v>4</v>
      </c>
      <c r="K581" s="1">
        <v>15999.28</v>
      </c>
      <c r="L581" s="1">
        <v>0.1</v>
      </c>
      <c r="M581" s="1">
        <v>63997.120000000003</v>
      </c>
      <c r="N581" s="1">
        <v>6399.7120000000004</v>
      </c>
      <c r="O581" s="1">
        <v>57597.408000000003</v>
      </c>
      <c r="P581" s="1">
        <v>39166.237439999997</v>
      </c>
      <c r="Q581" s="1">
        <v>18431.170559999999</v>
      </c>
      <c r="R581" s="1">
        <v>32</v>
      </c>
      <c r="S581" s="1" t="s">
        <v>73</v>
      </c>
    </row>
    <row r="582" spans="1:19" x14ac:dyDescent="0.35">
      <c r="A582" s="1" t="s">
        <v>921</v>
      </c>
      <c r="B582" s="3">
        <v>45693</v>
      </c>
      <c r="C582" s="1" t="s">
        <v>42</v>
      </c>
      <c r="D582" s="1">
        <v>2</v>
      </c>
      <c r="E582" s="1" t="s">
        <v>396</v>
      </c>
      <c r="F582" s="1" t="s">
        <v>43</v>
      </c>
      <c r="G582" s="1" t="s">
        <v>38</v>
      </c>
      <c r="H582" s="1" t="s">
        <v>39</v>
      </c>
      <c r="I582" s="1" t="s">
        <v>87</v>
      </c>
      <c r="J582" s="1">
        <v>6</v>
      </c>
      <c r="K582" s="1">
        <v>47348.4</v>
      </c>
      <c r="L582" s="1">
        <v>0.25</v>
      </c>
      <c r="M582" s="1">
        <v>284090.40000000002</v>
      </c>
      <c r="N582" s="1">
        <v>71022.600000000006</v>
      </c>
      <c r="O582" s="1">
        <v>213067.8</v>
      </c>
      <c r="P582" s="1">
        <v>166192.88399999999</v>
      </c>
      <c r="Q582" s="1">
        <v>46874.915999999997</v>
      </c>
      <c r="R582" s="1">
        <v>22</v>
      </c>
      <c r="S582" s="1" t="s">
        <v>26</v>
      </c>
    </row>
    <row r="583" spans="1:19" x14ac:dyDescent="0.35">
      <c r="A583" s="1" t="s">
        <v>922</v>
      </c>
      <c r="B583" s="3">
        <v>45683</v>
      </c>
      <c r="C583" s="1" t="s">
        <v>193</v>
      </c>
      <c r="D583" s="1">
        <v>1</v>
      </c>
      <c r="E583" s="1" t="s">
        <v>923</v>
      </c>
      <c r="F583" s="1" t="s">
        <v>69</v>
      </c>
      <c r="G583" s="1" t="s">
        <v>23</v>
      </c>
      <c r="H583" s="1" t="s">
        <v>53</v>
      </c>
      <c r="I583" s="1" t="s">
        <v>123</v>
      </c>
      <c r="J583" s="1">
        <v>6</v>
      </c>
      <c r="K583" s="1">
        <v>848.95</v>
      </c>
      <c r="L583" s="1">
        <v>0.2</v>
      </c>
      <c r="M583" s="1">
        <v>5093.7000000000007</v>
      </c>
      <c r="N583" s="1">
        <v>1018.74</v>
      </c>
      <c r="O583" s="1">
        <v>4074.96</v>
      </c>
      <c r="P583" s="1">
        <v>2363.4767999999999</v>
      </c>
      <c r="Q583" s="1">
        <v>1711.483200000001</v>
      </c>
      <c r="R583" s="1">
        <v>42.000000000000007</v>
      </c>
      <c r="S583" s="1" t="s">
        <v>26</v>
      </c>
    </row>
    <row r="584" spans="1:19" x14ac:dyDescent="0.35">
      <c r="A584" s="1" t="s">
        <v>924</v>
      </c>
      <c r="B584" s="3">
        <v>45985</v>
      </c>
      <c r="C584" s="1" t="s">
        <v>56</v>
      </c>
      <c r="D584" s="1">
        <v>11</v>
      </c>
      <c r="E584" s="1" t="s">
        <v>701</v>
      </c>
      <c r="F584" s="1" t="s">
        <v>76</v>
      </c>
      <c r="G584" s="1" t="s">
        <v>64</v>
      </c>
      <c r="H584" s="1" t="s">
        <v>53</v>
      </c>
      <c r="I584" s="1" t="s">
        <v>72</v>
      </c>
      <c r="J584" s="1">
        <v>4</v>
      </c>
      <c r="K584" s="1">
        <v>794.66</v>
      </c>
      <c r="L584" s="1">
        <v>0.2</v>
      </c>
      <c r="M584" s="1">
        <v>3178.64</v>
      </c>
      <c r="N584" s="1">
        <v>635.72800000000007</v>
      </c>
      <c r="O584" s="1">
        <v>2542.9119999999998</v>
      </c>
      <c r="P584" s="1">
        <v>1474.88896</v>
      </c>
      <c r="Q584" s="1">
        <v>1068.02304</v>
      </c>
      <c r="R584" s="1">
        <v>42.000000000000007</v>
      </c>
      <c r="S584" s="1" t="s">
        <v>26</v>
      </c>
    </row>
    <row r="585" spans="1:19" x14ac:dyDescent="0.35">
      <c r="A585" s="1" t="s">
        <v>925</v>
      </c>
      <c r="B585" s="3">
        <v>45903</v>
      </c>
      <c r="C585" s="1" t="s">
        <v>50</v>
      </c>
      <c r="D585" s="1">
        <v>9</v>
      </c>
      <c r="E585" s="1" t="s">
        <v>748</v>
      </c>
      <c r="F585" s="1" t="s">
        <v>22</v>
      </c>
      <c r="G585" s="1" t="s">
        <v>38</v>
      </c>
      <c r="H585" s="1" t="s">
        <v>31</v>
      </c>
      <c r="I585" s="1" t="s">
        <v>167</v>
      </c>
      <c r="J585" s="1">
        <v>7</v>
      </c>
      <c r="K585" s="1">
        <v>2567.63</v>
      </c>
      <c r="L585" s="1">
        <v>0.1</v>
      </c>
      <c r="M585" s="1">
        <v>17973.41</v>
      </c>
      <c r="N585" s="1">
        <v>1797.3409999999999</v>
      </c>
      <c r="O585" s="1">
        <v>16176.069</v>
      </c>
      <c r="P585" s="1">
        <v>8411.5558799999999</v>
      </c>
      <c r="Q585" s="1">
        <v>7764.5131199999996</v>
      </c>
      <c r="R585" s="1">
        <v>48</v>
      </c>
      <c r="S585" s="1" t="s">
        <v>26</v>
      </c>
    </row>
    <row r="586" spans="1:19" x14ac:dyDescent="0.35">
      <c r="A586" s="1" t="s">
        <v>926</v>
      </c>
      <c r="B586" s="3">
        <v>45988</v>
      </c>
      <c r="C586" s="1" t="s">
        <v>56</v>
      </c>
      <c r="D586" s="1">
        <v>11</v>
      </c>
      <c r="E586" s="1" t="s">
        <v>927</v>
      </c>
      <c r="F586" s="1" t="s">
        <v>43</v>
      </c>
      <c r="G586" s="1" t="s">
        <v>38</v>
      </c>
      <c r="H586" s="1" t="s">
        <v>99</v>
      </c>
      <c r="I586" s="1" t="s">
        <v>223</v>
      </c>
      <c r="J586" s="1">
        <v>5</v>
      </c>
      <c r="K586" s="1">
        <v>16811.07</v>
      </c>
      <c r="L586" s="1">
        <v>0.1</v>
      </c>
      <c r="M586" s="1">
        <v>84055.35</v>
      </c>
      <c r="N586" s="1">
        <v>8405.5350000000017</v>
      </c>
      <c r="O586" s="1">
        <v>75649.815000000002</v>
      </c>
      <c r="P586" s="1">
        <v>51441.874200000013</v>
      </c>
      <c r="Q586" s="1">
        <v>24207.9408</v>
      </c>
      <c r="R586" s="1">
        <v>32</v>
      </c>
      <c r="S586" s="1" t="s">
        <v>26</v>
      </c>
    </row>
    <row r="587" spans="1:19" x14ac:dyDescent="0.35">
      <c r="A587" s="1" t="s">
        <v>928</v>
      </c>
      <c r="B587" s="3">
        <v>45705</v>
      </c>
      <c r="C587" s="1" t="s">
        <v>42</v>
      </c>
      <c r="D587" s="1">
        <v>2</v>
      </c>
      <c r="E587" s="1" t="s">
        <v>812</v>
      </c>
      <c r="F587" s="1" t="s">
        <v>76</v>
      </c>
      <c r="G587" s="1" t="s">
        <v>38</v>
      </c>
      <c r="H587" s="1" t="s">
        <v>53</v>
      </c>
      <c r="I587" s="1" t="s">
        <v>54</v>
      </c>
      <c r="J587" s="1">
        <v>4</v>
      </c>
      <c r="K587" s="1">
        <v>2341.2800000000002</v>
      </c>
      <c r="L587" s="1">
        <v>0.1</v>
      </c>
      <c r="M587" s="1">
        <v>9365.1200000000008</v>
      </c>
      <c r="N587" s="1">
        <v>936.51200000000017</v>
      </c>
      <c r="O587" s="1">
        <v>8428.6080000000002</v>
      </c>
      <c r="P587" s="1">
        <v>4888.5926399999998</v>
      </c>
      <c r="Q587" s="1">
        <v>3540.0153599999999</v>
      </c>
      <c r="R587" s="1">
        <v>42.000000000000007</v>
      </c>
      <c r="S587" s="1" t="s">
        <v>73</v>
      </c>
    </row>
    <row r="588" spans="1:19" x14ac:dyDescent="0.35">
      <c r="A588" s="1" t="s">
        <v>929</v>
      </c>
      <c r="B588" s="3">
        <v>45863</v>
      </c>
      <c r="C588" s="1" t="s">
        <v>62</v>
      </c>
      <c r="D588" s="1">
        <v>7</v>
      </c>
      <c r="E588" s="1" t="s">
        <v>930</v>
      </c>
      <c r="F588" s="1" t="s">
        <v>58</v>
      </c>
      <c r="G588" s="1" t="s">
        <v>38</v>
      </c>
      <c r="H588" s="1" t="s">
        <v>99</v>
      </c>
      <c r="I588" s="1" t="s">
        <v>100</v>
      </c>
      <c r="J588" s="1">
        <v>7</v>
      </c>
      <c r="K588" s="1">
        <v>4095.61</v>
      </c>
      <c r="L588" s="1">
        <v>0.1</v>
      </c>
      <c r="M588" s="1">
        <v>28669.27</v>
      </c>
      <c r="N588" s="1">
        <v>2866.9270000000001</v>
      </c>
      <c r="O588" s="1">
        <v>25802.343000000001</v>
      </c>
      <c r="P588" s="1">
        <v>17545.593239999998</v>
      </c>
      <c r="Q588" s="1">
        <v>8256.7497599999988</v>
      </c>
      <c r="R588" s="1">
        <v>32</v>
      </c>
      <c r="S588" s="1" t="s">
        <v>93</v>
      </c>
    </row>
    <row r="589" spans="1:19" x14ac:dyDescent="0.35">
      <c r="A589" s="1" t="s">
        <v>931</v>
      </c>
      <c r="B589" s="3">
        <v>46018</v>
      </c>
      <c r="C589" s="1" t="s">
        <v>67</v>
      </c>
      <c r="D589" s="1">
        <v>12</v>
      </c>
      <c r="E589" s="1" t="s">
        <v>932</v>
      </c>
      <c r="F589" s="1" t="s">
        <v>76</v>
      </c>
      <c r="G589" s="1" t="s">
        <v>23</v>
      </c>
      <c r="H589" s="1" t="s">
        <v>99</v>
      </c>
      <c r="I589" s="1" t="s">
        <v>108</v>
      </c>
      <c r="J589" s="1">
        <v>5</v>
      </c>
      <c r="K589" s="1">
        <v>5633.22</v>
      </c>
      <c r="L589" s="1">
        <v>0</v>
      </c>
      <c r="M589" s="1">
        <v>28166.1</v>
      </c>
      <c r="N589" s="1">
        <v>0</v>
      </c>
      <c r="O589" s="1">
        <v>28166.1</v>
      </c>
      <c r="P589" s="1">
        <v>19152.948</v>
      </c>
      <c r="Q589" s="1">
        <v>9013.1519999999982</v>
      </c>
      <c r="R589" s="1">
        <v>31.999999999999989</v>
      </c>
      <c r="S589" s="1" t="s">
        <v>60</v>
      </c>
    </row>
    <row r="590" spans="1:19" x14ac:dyDescent="0.35">
      <c r="A590" s="1" t="s">
        <v>933</v>
      </c>
      <c r="B590" s="3">
        <v>46006</v>
      </c>
      <c r="C590" s="1" t="s">
        <v>67</v>
      </c>
      <c r="D590" s="1">
        <v>12</v>
      </c>
      <c r="E590" s="1" t="s">
        <v>726</v>
      </c>
      <c r="F590" s="1" t="s">
        <v>43</v>
      </c>
      <c r="G590" s="1" t="s">
        <v>23</v>
      </c>
      <c r="H590" s="1" t="s">
        <v>99</v>
      </c>
      <c r="I590" s="1" t="s">
        <v>100</v>
      </c>
      <c r="J590" s="1">
        <v>2</v>
      </c>
      <c r="K590" s="1">
        <v>12414.96</v>
      </c>
      <c r="L590" s="1">
        <v>0.25</v>
      </c>
      <c r="M590" s="1">
        <v>24829.919999999998</v>
      </c>
      <c r="N590" s="1">
        <v>6207.48</v>
      </c>
      <c r="O590" s="1">
        <v>18622.439999999999</v>
      </c>
      <c r="P590" s="1">
        <v>12663.2592</v>
      </c>
      <c r="Q590" s="1">
        <v>5959.1807999999983</v>
      </c>
      <c r="R590" s="1">
        <v>32</v>
      </c>
      <c r="S590" s="1" t="s">
        <v>73</v>
      </c>
    </row>
    <row r="591" spans="1:19" x14ac:dyDescent="0.35">
      <c r="A591" s="1" t="s">
        <v>934</v>
      </c>
      <c r="B591" s="3">
        <v>45866</v>
      </c>
      <c r="C591" s="1" t="s">
        <v>62</v>
      </c>
      <c r="D591" s="1">
        <v>7</v>
      </c>
      <c r="E591" s="1" t="s">
        <v>521</v>
      </c>
      <c r="F591" s="1" t="s">
        <v>111</v>
      </c>
      <c r="G591" s="1" t="s">
        <v>23</v>
      </c>
      <c r="H591" s="1" t="s">
        <v>31</v>
      </c>
      <c r="I591" s="1" t="s">
        <v>190</v>
      </c>
      <c r="J591" s="1">
        <v>6</v>
      </c>
      <c r="K591" s="1">
        <v>3068.28</v>
      </c>
      <c r="L591" s="1">
        <v>0.1</v>
      </c>
      <c r="M591" s="1">
        <v>18409.68</v>
      </c>
      <c r="N591" s="1">
        <v>1840.9680000000001</v>
      </c>
      <c r="O591" s="1">
        <v>16568.712</v>
      </c>
      <c r="P591" s="1">
        <v>8615.7302400000008</v>
      </c>
      <c r="Q591" s="1">
        <v>7952.9817599999988</v>
      </c>
      <c r="R591" s="1">
        <v>47.999999999999993</v>
      </c>
      <c r="S591" s="1" t="s">
        <v>93</v>
      </c>
    </row>
    <row r="592" spans="1:19" x14ac:dyDescent="0.35">
      <c r="A592" s="1" t="s">
        <v>935</v>
      </c>
      <c r="B592" s="3">
        <v>45929</v>
      </c>
      <c r="C592" s="1" t="s">
        <v>50</v>
      </c>
      <c r="D592" s="1">
        <v>9</v>
      </c>
      <c r="E592" s="1" t="s">
        <v>936</v>
      </c>
      <c r="F592" s="1" t="s">
        <v>58</v>
      </c>
      <c r="G592" s="1" t="s">
        <v>64</v>
      </c>
      <c r="H592" s="1" t="s">
        <v>99</v>
      </c>
      <c r="I592" s="1" t="s">
        <v>145</v>
      </c>
      <c r="J592" s="1">
        <v>2</v>
      </c>
      <c r="K592" s="1">
        <v>17654.8</v>
      </c>
      <c r="L592" s="1">
        <v>0.05</v>
      </c>
      <c r="M592" s="1">
        <v>35309.599999999999</v>
      </c>
      <c r="N592" s="1">
        <v>1765.48</v>
      </c>
      <c r="O592" s="1">
        <v>33544.120000000003</v>
      </c>
      <c r="P592" s="1">
        <v>22810.0016</v>
      </c>
      <c r="Q592" s="1">
        <v>10734.118399999999</v>
      </c>
      <c r="R592" s="1">
        <v>31.999999999999989</v>
      </c>
      <c r="S592" s="1" t="s">
        <v>60</v>
      </c>
    </row>
    <row r="593" spans="1:19" x14ac:dyDescent="0.35">
      <c r="A593" s="1" t="s">
        <v>937</v>
      </c>
      <c r="B593" s="3">
        <v>45982</v>
      </c>
      <c r="C593" s="1" t="s">
        <v>56</v>
      </c>
      <c r="D593" s="1">
        <v>11</v>
      </c>
      <c r="E593" s="1" t="s">
        <v>927</v>
      </c>
      <c r="F593" s="1" t="s">
        <v>30</v>
      </c>
      <c r="G593" s="1" t="s">
        <v>64</v>
      </c>
      <c r="H593" s="1" t="s">
        <v>31</v>
      </c>
      <c r="I593" s="1" t="s">
        <v>65</v>
      </c>
      <c r="J593" s="1">
        <v>4</v>
      </c>
      <c r="K593" s="1">
        <v>205.42</v>
      </c>
      <c r="L593" s="1">
        <v>0.1</v>
      </c>
      <c r="M593" s="1">
        <v>821.68</v>
      </c>
      <c r="N593" s="1">
        <v>82.168000000000006</v>
      </c>
      <c r="O593" s="1">
        <v>739.51199999999994</v>
      </c>
      <c r="P593" s="1">
        <v>384.54624000000001</v>
      </c>
      <c r="Q593" s="1">
        <v>354.96575999999988</v>
      </c>
      <c r="R593" s="1">
        <v>47.999999999999993</v>
      </c>
      <c r="S593" s="1" t="s">
        <v>73</v>
      </c>
    </row>
    <row r="594" spans="1:19" x14ac:dyDescent="0.35">
      <c r="A594" s="1" t="s">
        <v>938</v>
      </c>
      <c r="B594" s="3">
        <v>45842</v>
      </c>
      <c r="C594" s="1" t="s">
        <v>62</v>
      </c>
      <c r="D594" s="1">
        <v>7</v>
      </c>
      <c r="E594" s="1" t="s">
        <v>363</v>
      </c>
      <c r="F594" s="1" t="s">
        <v>52</v>
      </c>
      <c r="G594" s="1" t="s">
        <v>23</v>
      </c>
      <c r="H594" s="1" t="s">
        <v>99</v>
      </c>
      <c r="I594" s="1" t="s">
        <v>120</v>
      </c>
      <c r="J594" s="1">
        <v>1</v>
      </c>
      <c r="K594" s="1">
        <v>14961.03</v>
      </c>
      <c r="L594" s="1">
        <v>0.1</v>
      </c>
      <c r="M594" s="1">
        <v>14961.03</v>
      </c>
      <c r="N594" s="1">
        <v>1496.1030000000001</v>
      </c>
      <c r="O594" s="1">
        <v>13464.927</v>
      </c>
      <c r="P594" s="1">
        <v>9156.1503599999996</v>
      </c>
      <c r="Q594" s="1">
        <v>4308.77664</v>
      </c>
      <c r="R594" s="1">
        <v>32</v>
      </c>
      <c r="S594" s="1" t="s">
        <v>26</v>
      </c>
    </row>
    <row r="595" spans="1:19" x14ac:dyDescent="0.35">
      <c r="A595" s="1" t="s">
        <v>939</v>
      </c>
      <c r="B595" s="3">
        <v>45754</v>
      </c>
      <c r="C595" s="1" t="s">
        <v>20</v>
      </c>
      <c r="D595" s="1">
        <v>4</v>
      </c>
      <c r="E595" s="1" t="s">
        <v>549</v>
      </c>
      <c r="F595" s="1" t="s">
        <v>58</v>
      </c>
      <c r="G595" s="1" t="s">
        <v>64</v>
      </c>
      <c r="H595" s="1" t="s">
        <v>99</v>
      </c>
      <c r="I595" s="1" t="s">
        <v>145</v>
      </c>
      <c r="J595" s="1">
        <v>7</v>
      </c>
      <c r="K595" s="1">
        <v>23398.18</v>
      </c>
      <c r="L595" s="1">
        <v>0.1</v>
      </c>
      <c r="M595" s="1">
        <v>163787.26</v>
      </c>
      <c r="N595" s="1">
        <v>16378.726000000001</v>
      </c>
      <c r="O595" s="1">
        <v>147408.53400000001</v>
      </c>
      <c r="P595" s="1">
        <v>100237.80312</v>
      </c>
      <c r="Q595" s="1">
        <v>47170.730880000003</v>
      </c>
      <c r="R595" s="1">
        <v>32</v>
      </c>
      <c r="S595" s="1" t="s">
        <v>26</v>
      </c>
    </row>
    <row r="596" spans="1:19" x14ac:dyDescent="0.35">
      <c r="A596" s="1" t="s">
        <v>940</v>
      </c>
      <c r="B596" s="3">
        <v>45828</v>
      </c>
      <c r="C596" s="1" t="s">
        <v>82</v>
      </c>
      <c r="D596" s="1">
        <v>6</v>
      </c>
      <c r="E596" s="1" t="s">
        <v>657</v>
      </c>
      <c r="F596" s="1" t="s">
        <v>52</v>
      </c>
      <c r="G596" s="1" t="s">
        <v>23</v>
      </c>
      <c r="H596" s="1" t="s">
        <v>53</v>
      </c>
      <c r="I596" s="1" t="s">
        <v>54</v>
      </c>
      <c r="J596" s="1">
        <v>1</v>
      </c>
      <c r="K596" s="1">
        <v>1824.92</v>
      </c>
      <c r="L596" s="1">
        <v>0</v>
      </c>
      <c r="M596" s="1">
        <v>1824.92</v>
      </c>
      <c r="N596" s="1">
        <v>0</v>
      </c>
      <c r="O596" s="1">
        <v>1824.92</v>
      </c>
      <c r="P596" s="1">
        <v>1058.4536000000001</v>
      </c>
      <c r="Q596" s="1">
        <v>766.46640000000002</v>
      </c>
      <c r="R596" s="1">
        <v>42</v>
      </c>
      <c r="S596" s="1" t="s">
        <v>73</v>
      </c>
    </row>
    <row r="597" spans="1:19" x14ac:dyDescent="0.35">
      <c r="A597" s="1" t="s">
        <v>941</v>
      </c>
      <c r="B597" s="3">
        <v>46019</v>
      </c>
      <c r="C597" s="1" t="s">
        <v>67</v>
      </c>
      <c r="D597" s="1">
        <v>12</v>
      </c>
      <c r="E597" s="1" t="s">
        <v>225</v>
      </c>
      <c r="F597" s="1" t="s">
        <v>111</v>
      </c>
      <c r="G597" s="1" t="s">
        <v>38</v>
      </c>
      <c r="H597" s="1" t="s">
        <v>39</v>
      </c>
      <c r="I597" s="1" t="s">
        <v>155</v>
      </c>
      <c r="J597" s="1">
        <v>5</v>
      </c>
      <c r="K597" s="1">
        <v>12626.36</v>
      </c>
      <c r="L597" s="1">
        <v>0.1</v>
      </c>
      <c r="M597" s="1">
        <v>63131.8</v>
      </c>
      <c r="N597" s="1">
        <v>6313.18</v>
      </c>
      <c r="O597" s="1">
        <v>56818.62</v>
      </c>
      <c r="P597" s="1">
        <v>44318.5236</v>
      </c>
      <c r="Q597" s="1">
        <v>12500.0964</v>
      </c>
      <c r="R597" s="1">
        <v>22</v>
      </c>
      <c r="S597" s="1" t="s">
        <v>73</v>
      </c>
    </row>
    <row r="598" spans="1:19" x14ac:dyDescent="0.35">
      <c r="A598" s="1" t="s">
        <v>942</v>
      </c>
      <c r="B598" s="3">
        <v>45736</v>
      </c>
      <c r="C598" s="1" t="s">
        <v>28</v>
      </c>
      <c r="D598" s="1">
        <v>3</v>
      </c>
      <c r="E598" s="1" t="s">
        <v>580</v>
      </c>
      <c r="F598" s="1" t="s">
        <v>69</v>
      </c>
      <c r="G598" s="1" t="s">
        <v>38</v>
      </c>
      <c r="H598" s="1" t="s">
        <v>99</v>
      </c>
      <c r="I598" s="1" t="s">
        <v>145</v>
      </c>
      <c r="J598" s="1">
        <v>7</v>
      </c>
      <c r="K598" s="1">
        <v>17610.72</v>
      </c>
      <c r="L598" s="1">
        <v>0</v>
      </c>
      <c r="M598" s="1">
        <v>123275.04</v>
      </c>
      <c r="N598" s="1">
        <v>0</v>
      </c>
      <c r="O598" s="1">
        <v>123275.04</v>
      </c>
      <c r="P598" s="1">
        <v>83827.027200000011</v>
      </c>
      <c r="Q598" s="1">
        <v>39448.012799999997</v>
      </c>
      <c r="R598" s="1">
        <v>32</v>
      </c>
      <c r="S598" s="1" t="s">
        <v>73</v>
      </c>
    </row>
    <row r="599" spans="1:19" x14ac:dyDescent="0.35">
      <c r="A599" s="1" t="s">
        <v>943</v>
      </c>
      <c r="B599" s="3">
        <v>45920</v>
      </c>
      <c r="C599" s="1" t="s">
        <v>50</v>
      </c>
      <c r="D599" s="1">
        <v>9</v>
      </c>
      <c r="E599" s="1" t="s">
        <v>418</v>
      </c>
      <c r="F599" s="1" t="s">
        <v>47</v>
      </c>
      <c r="G599" s="1" t="s">
        <v>38</v>
      </c>
      <c r="H599" s="1" t="s">
        <v>77</v>
      </c>
      <c r="I599" s="1" t="s">
        <v>78</v>
      </c>
      <c r="J599" s="1">
        <v>6</v>
      </c>
      <c r="K599" s="1">
        <v>949.88</v>
      </c>
      <c r="L599" s="1">
        <v>0.25</v>
      </c>
      <c r="M599" s="1">
        <v>5699.28</v>
      </c>
      <c r="N599" s="1">
        <v>1424.82</v>
      </c>
      <c r="O599" s="1">
        <v>4274.46</v>
      </c>
      <c r="P599" s="1">
        <v>3077.6111999999998</v>
      </c>
      <c r="Q599" s="1">
        <v>1196.8488</v>
      </c>
      <c r="R599" s="1">
        <v>28</v>
      </c>
      <c r="S599" s="1" t="s">
        <v>93</v>
      </c>
    </row>
    <row r="600" spans="1:19" x14ac:dyDescent="0.35">
      <c r="A600" s="1" t="s">
        <v>944</v>
      </c>
      <c r="B600" s="3">
        <v>45991</v>
      </c>
      <c r="C600" s="1" t="s">
        <v>56</v>
      </c>
      <c r="D600" s="1">
        <v>11</v>
      </c>
      <c r="E600" s="1" t="s">
        <v>796</v>
      </c>
      <c r="F600" s="1" t="s">
        <v>69</v>
      </c>
      <c r="G600" s="1" t="s">
        <v>23</v>
      </c>
      <c r="H600" s="1" t="s">
        <v>39</v>
      </c>
      <c r="I600" s="1" t="s">
        <v>234</v>
      </c>
      <c r="J600" s="1">
        <v>3</v>
      </c>
      <c r="K600" s="1">
        <v>26575.24</v>
      </c>
      <c r="L600" s="1">
        <v>0.3</v>
      </c>
      <c r="M600" s="1">
        <v>79725.72</v>
      </c>
      <c r="N600" s="1">
        <v>23917.716</v>
      </c>
      <c r="O600" s="1">
        <v>55808.004000000001</v>
      </c>
      <c r="P600" s="1">
        <v>43530.243119999999</v>
      </c>
      <c r="Q600" s="1">
        <v>12277.76088</v>
      </c>
      <c r="R600" s="1">
        <v>22</v>
      </c>
      <c r="S600" s="1" t="s">
        <v>26</v>
      </c>
    </row>
    <row r="601" spans="1:19" x14ac:dyDescent="0.35">
      <c r="A601" s="1" t="s">
        <v>945</v>
      </c>
      <c r="B601" s="3">
        <v>45985</v>
      </c>
      <c r="C601" s="1" t="s">
        <v>56</v>
      </c>
      <c r="D601" s="1">
        <v>11</v>
      </c>
      <c r="E601" s="1" t="s">
        <v>540</v>
      </c>
      <c r="F601" s="1" t="s">
        <v>52</v>
      </c>
      <c r="G601" s="1" t="s">
        <v>38</v>
      </c>
      <c r="H601" s="1" t="s">
        <v>39</v>
      </c>
      <c r="I601" s="1" t="s">
        <v>87</v>
      </c>
      <c r="J601" s="1">
        <v>6</v>
      </c>
      <c r="K601" s="1">
        <v>21746.42</v>
      </c>
      <c r="L601" s="1">
        <v>0.05</v>
      </c>
      <c r="M601" s="1">
        <v>130478.52</v>
      </c>
      <c r="N601" s="1">
        <v>6523.9259999999986</v>
      </c>
      <c r="O601" s="1">
        <v>123954.594</v>
      </c>
      <c r="P601" s="1">
        <v>96684.583319999991</v>
      </c>
      <c r="Q601" s="1">
        <v>27270.010679999988</v>
      </c>
      <c r="R601" s="1">
        <v>22</v>
      </c>
      <c r="S601" s="1" t="s">
        <v>33</v>
      </c>
    </row>
    <row r="602" spans="1:19" x14ac:dyDescent="0.35">
      <c r="A602" s="1" t="s">
        <v>946</v>
      </c>
      <c r="B602" s="3">
        <v>45756</v>
      </c>
      <c r="C602" s="1" t="s">
        <v>20</v>
      </c>
      <c r="D602" s="1">
        <v>4</v>
      </c>
      <c r="E602" s="1" t="s">
        <v>894</v>
      </c>
      <c r="F602" s="1" t="s">
        <v>69</v>
      </c>
      <c r="G602" s="1" t="s">
        <v>64</v>
      </c>
      <c r="H602" s="1" t="s">
        <v>77</v>
      </c>
      <c r="I602" s="1" t="s">
        <v>201</v>
      </c>
      <c r="J602" s="1">
        <v>6</v>
      </c>
      <c r="K602" s="1">
        <v>554.44000000000005</v>
      </c>
      <c r="L602" s="1">
        <v>0.3</v>
      </c>
      <c r="M602" s="1">
        <v>3326.64</v>
      </c>
      <c r="N602" s="1">
        <v>997.99200000000008</v>
      </c>
      <c r="O602" s="1">
        <v>2328.6480000000001</v>
      </c>
      <c r="P602" s="1">
        <v>1676.6265599999999</v>
      </c>
      <c r="Q602" s="1">
        <v>652.02144000000021</v>
      </c>
      <c r="R602" s="1">
        <v>28.000000000000011</v>
      </c>
      <c r="S602" s="1" t="s">
        <v>73</v>
      </c>
    </row>
    <row r="603" spans="1:19" x14ac:dyDescent="0.35">
      <c r="A603" s="1" t="s">
        <v>947</v>
      </c>
      <c r="B603" s="3">
        <v>45688</v>
      </c>
      <c r="C603" s="1" t="s">
        <v>193</v>
      </c>
      <c r="D603" s="1">
        <v>1</v>
      </c>
      <c r="E603" s="1" t="s">
        <v>378</v>
      </c>
      <c r="F603" s="1" t="s">
        <v>30</v>
      </c>
      <c r="G603" s="1" t="s">
        <v>23</v>
      </c>
      <c r="H603" s="1" t="s">
        <v>77</v>
      </c>
      <c r="I603" s="1" t="s">
        <v>90</v>
      </c>
      <c r="J603" s="1">
        <v>2</v>
      </c>
      <c r="K603" s="1">
        <v>392.3</v>
      </c>
      <c r="L603" s="1">
        <v>0.05</v>
      </c>
      <c r="M603" s="1">
        <v>784.6</v>
      </c>
      <c r="N603" s="1">
        <v>39.229999999999997</v>
      </c>
      <c r="O603" s="1">
        <v>745.37</v>
      </c>
      <c r="P603" s="1">
        <v>536.66639999999995</v>
      </c>
      <c r="Q603" s="1">
        <v>208.70360000000011</v>
      </c>
      <c r="R603" s="1">
        <v>28.000000000000011</v>
      </c>
      <c r="S603" s="1" t="s">
        <v>26</v>
      </c>
    </row>
    <row r="604" spans="1:19" x14ac:dyDescent="0.35">
      <c r="A604" s="1" t="s">
        <v>948</v>
      </c>
      <c r="B604" s="3">
        <v>45714</v>
      </c>
      <c r="C604" s="1" t="s">
        <v>42</v>
      </c>
      <c r="D604" s="1">
        <v>2</v>
      </c>
      <c r="E604" s="1" t="s">
        <v>608</v>
      </c>
      <c r="F604" s="1" t="s">
        <v>111</v>
      </c>
      <c r="G604" s="1" t="s">
        <v>64</v>
      </c>
      <c r="H604" s="1" t="s">
        <v>24</v>
      </c>
      <c r="I604" s="1" t="s">
        <v>25</v>
      </c>
      <c r="J604" s="1">
        <v>2</v>
      </c>
      <c r="K604" s="1">
        <v>5501.86</v>
      </c>
      <c r="L604" s="1">
        <v>0.05</v>
      </c>
      <c r="M604" s="1">
        <v>11003.72</v>
      </c>
      <c r="N604" s="1">
        <v>550.18600000000004</v>
      </c>
      <c r="O604" s="1">
        <v>10453.534</v>
      </c>
      <c r="P604" s="1">
        <v>5749.4437000000007</v>
      </c>
      <c r="Q604" s="1">
        <v>4704.0902999999989</v>
      </c>
      <c r="R604" s="1">
        <v>44.999999999999993</v>
      </c>
      <c r="S604" s="1" t="s">
        <v>60</v>
      </c>
    </row>
    <row r="605" spans="1:19" x14ac:dyDescent="0.35">
      <c r="A605" s="1" t="s">
        <v>949</v>
      </c>
      <c r="B605" s="3">
        <v>45876</v>
      </c>
      <c r="C605" s="1" t="s">
        <v>113</v>
      </c>
      <c r="D605" s="1">
        <v>8</v>
      </c>
      <c r="E605" s="1" t="s">
        <v>95</v>
      </c>
      <c r="F605" s="1" t="s">
        <v>30</v>
      </c>
      <c r="G605" s="1" t="s">
        <v>23</v>
      </c>
      <c r="H605" s="1" t="s">
        <v>31</v>
      </c>
      <c r="I605" s="1" t="s">
        <v>59</v>
      </c>
      <c r="J605" s="1">
        <v>5</v>
      </c>
      <c r="K605" s="1">
        <v>658.71</v>
      </c>
      <c r="L605" s="1">
        <v>0.1</v>
      </c>
      <c r="M605" s="1">
        <v>3293.55</v>
      </c>
      <c r="N605" s="1">
        <v>329.35500000000002</v>
      </c>
      <c r="O605" s="1">
        <v>2964.1950000000002</v>
      </c>
      <c r="P605" s="1">
        <v>1541.3814</v>
      </c>
      <c r="Q605" s="1">
        <v>1422.8136</v>
      </c>
      <c r="R605" s="1">
        <v>48</v>
      </c>
      <c r="S605" s="1" t="s">
        <v>60</v>
      </c>
    </row>
    <row r="606" spans="1:19" x14ac:dyDescent="0.35">
      <c r="A606" s="1" t="s">
        <v>950</v>
      </c>
      <c r="B606" s="3">
        <v>45757</v>
      </c>
      <c r="C606" s="1" t="s">
        <v>20</v>
      </c>
      <c r="D606" s="1">
        <v>4</v>
      </c>
      <c r="E606" s="1" t="s">
        <v>341</v>
      </c>
      <c r="F606" s="1" t="s">
        <v>22</v>
      </c>
      <c r="G606" s="1" t="s">
        <v>38</v>
      </c>
      <c r="H606" s="1" t="s">
        <v>99</v>
      </c>
      <c r="I606" s="1" t="s">
        <v>145</v>
      </c>
      <c r="J606" s="1">
        <v>3</v>
      </c>
      <c r="K606" s="1">
        <v>2823.58</v>
      </c>
      <c r="L606" s="1">
        <v>0.2</v>
      </c>
      <c r="M606" s="1">
        <v>8470.74</v>
      </c>
      <c r="N606" s="1">
        <v>1694.1479999999999</v>
      </c>
      <c r="O606" s="1">
        <v>6776.5919999999996</v>
      </c>
      <c r="P606" s="1">
        <v>4608.0825599999998</v>
      </c>
      <c r="Q606" s="1">
        <v>2168.5094399999998</v>
      </c>
      <c r="R606" s="1">
        <v>32</v>
      </c>
      <c r="S606" s="1" t="s">
        <v>93</v>
      </c>
    </row>
    <row r="607" spans="1:19" x14ac:dyDescent="0.35">
      <c r="A607" s="1" t="s">
        <v>951</v>
      </c>
      <c r="B607" s="3">
        <v>45863</v>
      </c>
      <c r="C607" s="1" t="s">
        <v>62</v>
      </c>
      <c r="D607" s="1">
        <v>7</v>
      </c>
      <c r="E607" s="1" t="s">
        <v>513</v>
      </c>
      <c r="F607" s="1" t="s">
        <v>76</v>
      </c>
      <c r="G607" s="1" t="s">
        <v>64</v>
      </c>
      <c r="H607" s="1" t="s">
        <v>77</v>
      </c>
      <c r="I607" s="1" t="s">
        <v>103</v>
      </c>
      <c r="J607" s="1">
        <v>7</v>
      </c>
      <c r="K607" s="1">
        <v>731.05</v>
      </c>
      <c r="L607" s="1">
        <v>0.15</v>
      </c>
      <c r="M607" s="1">
        <v>5117.3499999999995</v>
      </c>
      <c r="N607" s="1">
        <v>767.60249999999985</v>
      </c>
      <c r="O607" s="1">
        <v>4349.7474999999986</v>
      </c>
      <c r="P607" s="1">
        <v>3131.8182000000002</v>
      </c>
      <c r="Q607" s="1">
        <v>1217.9293</v>
      </c>
      <c r="R607" s="1">
        <v>28</v>
      </c>
      <c r="S607" s="1" t="s">
        <v>60</v>
      </c>
    </row>
    <row r="608" spans="1:19" x14ac:dyDescent="0.35">
      <c r="A608" s="1" t="s">
        <v>952</v>
      </c>
      <c r="B608" s="3">
        <v>45997</v>
      </c>
      <c r="C608" s="1" t="s">
        <v>67</v>
      </c>
      <c r="D608" s="1">
        <v>12</v>
      </c>
      <c r="E608" s="1" t="s">
        <v>376</v>
      </c>
      <c r="F608" s="1" t="s">
        <v>47</v>
      </c>
      <c r="G608" s="1" t="s">
        <v>23</v>
      </c>
      <c r="H608" s="1" t="s">
        <v>39</v>
      </c>
      <c r="I608" s="1" t="s">
        <v>155</v>
      </c>
      <c r="J608" s="1">
        <v>6</v>
      </c>
      <c r="K608" s="1">
        <v>14738.68</v>
      </c>
      <c r="L608" s="1">
        <v>0.1</v>
      </c>
      <c r="M608" s="1">
        <v>88432.08</v>
      </c>
      <c r="N608" s="1">
        <v>8843.2080000000005</v>
      </c>
      <c r="O608" s="1">
        <v>79588.872000000003</v>
      </c>
      <c r="P608" s="1">
        <v>62079.320160000003</v>
      </c>
      <c r="Q608" s="1">
        <v>17509.55184</v>
      </c>
      <c r="R608" s="1">
        <v>22</v>
      </c>
      <c r="S608" s="1" t="s">
        <v>60</v>
      </c>
    </row>
    <row r="609" spans="1:19" x14ac:dyDescent="0.35">
      <c r="A609" s="1" t="s">
        <v>953</v>
      </c>
      <c r="B609" s="3">
        <v>45936</v>
      </c>
      <c r="C609" s="1" t="s">
        <v>35</v>
      </c>
      <c r="D609" s="1">
        <v>10</v>
      </c>
      <c r="E609" s="1" t="s">
        <v>896</v>
      </c>
      <c r="F609" s="1" t="s">
        <v>76</v>
      </c>
      <c r="G609" s="1" t="s">
        <v>38</v>
      </c>
      <c r="H609" s="1" t="s">
        <v>99</v>
      </c>
      <c r="I609" s="1" t="s">
        <v>108</v>
      </c>
      <c r="J609" s="1">
        <v>5</v>
      </c>
      <c r="K609" s="1">
        <v>24002.11</v>
      </c>
      <c r="L609" s="1">
        <v>0.3</v>
      </c>
      <c r="M609" s="1">
        <v>120010.55</v>
      </c>
      <c r="N609" s="1">
        <v>36003.165000000001</v>
      </c>
      <c r="O609" s="1">
        <v>84007.385000000009</v>
      </c>
      <c r="P609" s="1">
        <v>57125.02180000001</v>
      </c>
      <c r="Q609" s="1">
        <v>26882.3632</v>
      </c>
      <c r="R609" s="1">
        <v>32</v>
      </c>
      <c r="S609" s="1" t="s">
        <v>93</v>
      </c>
    </row>
    <row r="610" spans="1:19" x14ac:dyDescent="0.35">
      <c r="A610" s="1" t="s">
        <v>954</v>
      </c>
      <c r="B610" s="3">
        <v>45712</v>
      </c>
      <c r="C610" s="1" t="s">
        <v>42</v>
      </c>
      <c r="D610" s="1">
        <v>2</v>
      </c>
      <c r="E610" s="1" t="s">
        <v>955</v>
      </c>
      <c r="F610" s="1" t="s">
        <v>22</v>
      </c>
      <c r="G610" s="1" t="s">
        <v>23</v>
      </c>
      <c r="H610" s="1" t="s">
        <v>53</v>
      </c>
      <c r="I610" s="1" t="s">
        <v>123</v>
      </c>
      <c r="J610" s="1">
        <v>1</v>
      </c>
      <c r="K610" s="1">
        <v>1794.29</v>
      </c>
      <c r="L610" s="1">
        <v>0.1</v>
      </c>
      <c r="M610" s="1">
        <v>1794.29</v>
      </c>
      <c r="N610" s="1">
        <v>179.429</v>
      </c>
      <c r="O610" s="1">
        <v>1614.8610000000001</v>
      </c>
      <c r="P610" s="1">
        <v>936.61937999999986</v>
      </c>
      <c r="Q610" s="1">
        <v>678.24162000000001</v>
      </c>
      <c r="R610" s="1">
        <v>42.000000000000007</v>
      </c>
      <c r="S610" s="1" t="s">
        <v>73</v>
      </c>
    </row>
    <row r="611" spans="1:19" x14ac:dyDescent="0.35">
      <c r="A611" s="1" t="s">
        <v>956</v>
      </c>
      <c r="B611" s="3">
        <v>45692</v>
      </c>
      <c r="C611" s="1" t="s">
        <v>42</v>
      </c>
      <c r="D611" s="1">
        <v>2</v>
      </c>
      <c r="E611" s="1" t="s">
        <v>662</v>
      </c>
      <c r="F611" s="1" t="s">
        <v>22</v>
      </c>
      <c r="G611" s="1" t="s">
        <v>38</v>
      </c>
      <c r="H611" s="1" t="s">
        <v>53</v>
      </c>
      <c r="I611" s="1" t="s">
        <v>128</v>
      </c>
      <c r="J611" s="1">
        <v>7</v>
      </c>
      <c r="K611" s="1">
        <v>1619.83</v>
      </c>
      <c r="L611" s="1">
        <v>0.1</v>
      </c>
      <c r="M611" s="1">
        <v>11338.81</v>
      </c>
      <c r="N611" s="1">
        <v>1133.8810000000001</v>
      </c>
      <c r="O611" s="1">
        <v>10204.929</v>
      </c>
      <c r="P611" s="1">
        <v>5918.8588199999986</v>
      </c>
      <c r="Q611" s="1">
        <v>4286.0701800000006</v>
      </c>
      <c r="R611" s="1">
        <v>42.000000000000007</v>
      </c>
      <c r="S611" s="1" t="s">
        <v>73</v>
      </c>
    </row>
    <row r="612" spans="1:19" x14ac:dyDescent="0.35">
      <c r="A612" s="1" t="s">
        <v>957</v>
      </c>
      <c r="B612" s="3">
        <v>45689</v>
      </c>
      <c r="C612" s="1" t="s">
        <v>42</v>
      </c>
      <c r="D612" s="1">
        <v>2</v>
      </c>
      <c r="E612" s="1" t="s">
        <v>812</v>
      </c>
      <c r="F612" s="1" t="s">
        <v>58</v>
      </c>
      <c r="G612" s="1" t="s">
        <v>23</v>
      </c>
      <c r="H612" s="1" t="s">
        <v>99</v>
      </c>
      <c r="I612" s="1" t="s">
        <v>145</v>
      </c>
      <c r="J612" s="1">
        <v>3</v>
      </c>
      <c r="K612" s="1">
        <v>4053.33</v>
      </c>
      <c r="L612" s="1">
        <v>0.1</v>
      </c>
      <c r="M612" s="1">
        <v>12159.99</v>
      </c>
      <c r="N612" s="1">
        <v>1215.999</v>
      </c>
      <c r="O612" s="1">
        <v>10943.991</v>
      </c>
      <c r="P612" s="1">
        <v>7441.913880000001</v>
      </c>
      <c r="Q612" s="1">
        <v>3502.077119999999</v>
      </c>
      <c r="R612" s="1">
        <v>31.999999999999989</v>
      </c>
      <c r="S612" s="1" t="s">
        <v>73</v>
      </c>
    </row>
    <row r="613" spans="1:19" x14ac:dyDescent="0.35">
      <c r="A613" s="1" t="s">
        <v>958</v>
      </c>
      <c r="B613" s="3">
        <v>45883</v>
      </c>
      <c r="C613" s="1" t="s">
        <v>113</v>
      </c>
      <c r="D613" s="1">
        <v>8</v>
      </c>
      <c r="E613" s="1" t="s">
        <v>955</v>
      </c>
      <c r="F613" s="1" t="s">
        <v>37</v>
      </c>
      <c r="G613" s="1" t="s">
        <v>38</v>
      </c>
      <c r="H613" s="1" t="s">
        <v>77</v>
      </c>
      <c r="I613" s="1" t="s">
        <v>201</v>
      </c>
      <c r="J613" s="1">
        <v>4</v>
      </c>
      <c r="K613" s="1">
        <v>684.73</v>
      </c>
      <c r="L613" s="1">
        <v>0.05</v>
      </c>
      <c r="M613" s="1">
        <v>2738.92</v>
      </c>
      <c r="N613" s="1">
        <v>136.946</v>
      </c>
      <c r="O613" s="1">
        <v>2601.9740000000002</v>
      </c>
      <c r="P613" s="1">
        <v>1873.42128</v>
      </c>
      <c r="Q613" s="1">
        <v>728.55272000000014</v>
      </c>
      <c r="R613" s="1">
        <v>28</v>
      </c>
      <c r="S613" s="1" t="s">
        <v>26</v>
      </c>
    </row>
    <row r="614" spans="1:19" x14ac:dyDescent="0.35">
      <c r="A614" s="1" t="s">
        <v>959</v>
      </c>
      <c r="B614" s="3">
        <v>45861</v>
      </c>
      <c r="C614" s="1" t="s">
        <v>62</v>
      </c>
      <c r="D614" s="1">
        <v>7</v>
      </c>
      <c r="E614" s="1" t="s">
        <v>696</v>
      </c>
      <c r="F614" s="1" t="s">
        <v>47</v>
      </c>
      <c r="G614" s="1" t="s">
        <v>23</v>
      </c>
      <c r="H614" s="1" t="s">
        <v>39</v>
      </c>
      <c r="I614" s="1" t="s">
        <v>214</v>
      </c>
      <c r="J614" s="1">
        <v>7</v>
      </c>
      <c r="K614" s="1">
        <v>51280.72</v>
      </c>
      <c r="L614" s="1">
        <v>0.15</v>
      </c>
      <c r="M614" s="1">
        <v>358965.04</v>
      </c>
      <c r="N614" s="1">
        <v>53844.756000000001</v>
      </c>
      <c r="O614" s="1">
        <v>305120.28399999999</v>
      </c>
      <c r="P614" s="1">
        <v>237993.82152000011</v>
      </c>
      <c r="Q614" s="1">
        <v>67126.462479999987</v>
      </c>
      <c r="R614" s="1">
        <v>21.999999999999989</v>
      </c>
      <c r="S614" s="1" t="s">
        <v>33</v>
      </c>
    </row>
    <row r="615" spans="1:19" x14ac:dyDescent="0.35">
      <c r="A615" s="1" t="s">
        <v>960</v>
      </c>
      <c r="B615" s="3">
        <v>45771</v>
      </c>
      <c r="C615" s="1" t="s">
        <v>20</v>
      </c>
      <c r="D615" s="1">
        <v>4</v>
      </c>
      <c r="E615" s="1" t="s">
        <v>646</v>
      </c>
      <c r="F615" s="1" t="s">
        <v>37</v>
      </c>
      <c r="G615" s="1" t="s">
        <v>64</v>
      </c>
      <c r="H615" s="1" t="s">
        <v>31</v>
      </c>
      <c r="I615" s="1" t="s">
        <v>65</v>
      </c>
      <c r="J615" s="1">
        <v>7</v>
      </c>
      <c r="K615" s="1">
        <v>857.84</v>
      </c>
      <c r="L615" s="1">
        <v>0.1</v>
      </c>
      <c r="M615" s="1">
        <v>6004.88</v>
      </c>
      <c r="N615" s="1">
        <v>600.48800000000006</v>
      </c>
      <c r="O615" s="1">
        <v>5404.3919999999998</v>
      </c>
      <c r="P615" s="1">
        <v>2810.2838400000001</v>
      </c>
      <c r="Q615" s="1">
        <v>2594.1081600000002</v>
      </c>
      <c r="R615" s="1">
        <v>48</v>
      </c>
      <c r="S615" s="1" t="s">
        <v>26</v>
      </c>
    </row>
    <row r="616" spans="1:19" x14ac:dyDescent="0.35">
      <c r="A616" s="1" t="s">
        <v>961</v>
      </c>
      <c r="B616" s="3">
        <v>45774</v>
      </c>
      <c r="C616" s="1" t="s">
        <v>20</v>
      </c>
      <c r="D616" s="1">
        <v>4</v>
      </c>
      <c r="E616" s="1" t="s">
        <v>394</v>
      </c>
      <c r="F616" s="1" t="s">
        <v>76</v>
      </c>
      <c r="G616" s="1" t="s">
        <v>64</v>
      </c>
      <c r="H616" s="1" t="s">
        <v>77</v>
      </c>
      <c r="I616" s="1" t="s">
        <v>78</v>
      </c>
      <c r="J616" s="1">
        <v>1</v>
      </c>
      <c r="K616" s="1">
        <v>142.66999999999999</v>
      </c>
      <c r="L616" s="1">
        <v>0.05</v>
      </c>
      <c r="M616" s="1">
        <v>142.66999999999999</v>
      </c>
      <c r="N616" s="1">
        <v>7.1334999999999997</v>
      </c>
      <c r="O616" s="1">
        <v>135.53649999999999</v>
      </c>
      <c r="P616" s="1">
        <v>97.586279999999988</v>
      </c>
      <c r="Q616" s="1">
        <v>37.950220000000002</v>
      </c>
      <c r="R616" s="1">
        <v>28</v>
      </c>
      <c r="S616" s="1" t="s">
        <v>60</v>
      </c>
    </row>
    <row r="617" spans="1:19" x14ac:dyDescent="0.35">
      <c r="A617" s="1" t="s">
        <v>962</v>
      </c>
      <c r="B617" s="3">
        <v>45787</v>
      </c>
      <c r="C617" s="1" t="s">
        <v>97</v>
      </c>
      <c r="D617" s="1">
        <v>5</v>
      </c>
      <c r="E617" s="1" t="s">
        <v>171</v>
      </c>
      <c r="F617" s="1" t="s">
        <v>111</v>
      </c>
      <c r="G617" s="1" t="s">
        <v>23</v>
      </c>
      <c r="H617" s="1" t="s">
        <v>39</v>
      </c>
      <c r="I617" s="1" t="s">
        <v>214</v>
      </c>
      <c r="J617" s="1">
        <v>4</v>
      </c>
      <c r="K617" s="1">
        <v>15025.11</v>
      </c>
      <c r="L617" s="1">
        <v>0.1</v>
      </c>
      <c r="M617" s="1">
        <v>60100.44</v>
      </c>
      <c r="N617" s="1">
        <v>6010.0440000000008</v>
      </c>
      <c r="O617" s="1">
        <v>54090.396000000001</v>
      </c>
      <c r="P617" s="1">
        <v>42190.508880000001</v>
      </c>
      <c r="Q617" s="1">
        <v>11899.887119999999</v>
      </c>
      <c r="R617" s="1">
        <v>22</v>
      </c>
      <c r="S617" s="1" t="s">
        <v>26</v>
      </c>
    </row>
    <row r="618" spans="1:19" x14ac:dyDescent="0.35">
      <c r="A618" s="1" t="s">
        <v>963</v>
      </c>
      <c r="B618" s="3">
        <v>45998</v>
      </c>
      <c r="C618" s="1" t="s">
        <v>67</v>
      </c>
      <c r="D618" s="1">
        <v>12</v>
      </c>
      <c r="E618" s="1" t="s">
        <v>964</v>
      </c>
      <c r="F618" s="1" t="s">
        <v>37</v>
      </c>
      <c r="G618" s="1" t="s">
        <v>64</v>
      </c>
      <c r="H618" s="1" t="s">
        <v>31</v>
      </c>
      <c r="I618" s="1" t="s">
        <v>65</v>
      </c>
      <c r="J618" s="1">
        <v>2</v>
      </c>
      <c r="K618" s="1">
        <v>3118.78</v>
      </c>
      <c r="L618" s="1">
        <v>0.15</v>
      </c>
      <c r="M618" s="1">
        <v>6237.56</v>
      </c>
      <c r="N618" s="1">
        <v>935.63400000000001</v>
      </c>
      <c r="O618" s="1">
        <v>5301.9260000000004</v>
      </c>
      <c r="P618" s="1">
        <v>2757.0015199999998</v>
      </c>
      <c r="Q618" s="1">
        <v>2544.9244800000001</v>
      </c>
      <c r="R618" s="1">
        <v>48</v>
      </c>
      <c r="S618" s="1" t="s">
        <v>73</v>
      </c>
    </row>
    <row r="619" spans="1:19" x14ac:dyDescent="0.35">
      <c r="A619" s="1" t="s">
        <v>965</v>
      </c>
      <c r="B619" s="3">
        <v>45674</v>
      </c>
      <c r="C619" s="1" t="s">
        <v>193</v>
      </c>
      <c r="D619" s="1">
        <v>1</v>
      </c>
      <c r="E619" s="1" t="s">
        <v>142</v>
      </c>
      <c r="F619" s="1" t="s">
        <v>43</v>
      </c>
      <c r="G619" s="1" t="s">
        <v>64</v>
      </c>
      <c r="H619" s="1" t="s">
        <v>39</v>
      </c>
      <c r="I619" s="1" t="s">
        <v>40</v>
      </c>
      <c r="J619" s="1">
        <v>6</v>
      </c>
      <c r="K619" s="1">
        <v>51309.95</v>
      </c>
      <c r="L619" s="1">
        <v>0.1</v>
      </c>
      <c r="M619" s="1">
        <v>307859.7</v>
      </c>
      <c r="N619" s="1">
        <v>30785.97</v>
      </c>
      <c r="O619" s="1">
        <v>277073.73</v>
      </c>
      <c r="P619" s="1">
        <v>216117.50940000001</v>
      </c>
      <c r="Q619" s="1">
        <v>60956.220600000001</v>
      </c>
      <c r="R619" s="1">
        <v>22</v>
      </c>
      <c r="S619" s="1" t="s">
        <v>33</v>
      </c>
    </row>
    <row r="620" spans="1:19" x14ac:dyDescent="0.35">
      <c r="A620" s="1" t="s">
        <v>966</v>
      </c>
      <c r="B620" s="3">
        <v>45904</v>
      </c>
      <c r="C620" s="1" t="s">
        <v>50</v>
      </c>
      <c r="D620" s="1">
        <v>9</v>
      </c>
      <c r="E620" s="1" t="s">
        <v>274</v>
      </c>
      <c r="F620" s="1" t="s">
        <v>76</v>
      </c>
      <c r="G620" s="1" t="s">
        <v>23</v>
      </c>
      <c r="H620" s="1" t="s">
        <v>53</v>
      </c>
      <c r="I620" s="1" t="s">
        <v>123</v>
      </c>
      <c r="J620" s="1">
        <v>2</v>
      </c>
      <c r="K620" s="1">
        <v>2306.1</v>
      </c>
      <c r="L620" s="1">
        <v>0.1</v>
      </c>
      <c r="M620" s="1">
        <v>4612.2</v>
      </c>
      <c r="N620" s="1">
        <v>461.22</v>
      </c>
      <c r="O620" s="1">
        <v>4150.9799999999996</v>
      </c>
      <c r="P620" s="1">
        <v>2407.5684000000001</v>
      </c>
      <c r="Q620" s="1">
        <v>1743.4115999999999</v>
      </c>
      <c r="R620" s="1">
        <v>42.000000000000007</v>
      </c>
      <c r="S620" s="1" t="s">
        <v>26</v>
      </c>
    </row>
    <row r="621" spans="1:19" x14ac:dyDescent="0.35">
      <c r="A621" s="1" t="s">
        <v>967</v>
      </c>
      <c r="B621" s="3">
        <v>45955</v>
      </c>
      <c r="C621" s="1" t="s">
        <v>35</v>
      </c>
      <c r="D621" s="1">
        <v>10</v>
      </c>
      <c r="E621" s="1" t="s">
        <v>796</v>
      </c>
      <c r="F621" s="1" t="s">
        <v>69</v>
      </c>
      <c r="G621" s="1" t="s">
        <v>38</v>
      </c>
      <c r="H621" s="1" t="s">
        <v>53</v>
      </c>
      <c r="I621" s="1" t="s">
        <v>185</v>
      </c>
      <c r="J621" s="1">
        <v>1</v>
      </c>
      <c r="K621" s="1">
        <v>818.16</v>
      </c>
      <c r="L621" s="1">
        <v>0.1</v>
      </c>
      <c r="M621" s="1">
        <v>818.16</v>
      </c>
      <c r="N621" s="1">
        <v>81.816000000000003</v>
      </c>
      <c r="O621" s="1">
        <v>736.34399999999994</v>
      </c>
      <c r="P621" s="1">
        <v>427.07951999999989</v>
      </c>
      <c r="Q621" s="1">
        <v>309.26447999999999</v>
      </c>
      <c r="R621" s="1">
        <v>42.000000000000007</v>
      </c>
      <c r="S621" s="1" t="s">
        <v>73</v>
      </c>
    </row>
    <row r="622" spans="1:19" x14ac:dyDescent="0.35">
      <c r="A622" s="1" t="s">
        <v>968</v>
      </c>
      <c r="B622" s="3">
        <v>46012</v>
      </c>
      <c r="C622" s="1" t="s">
        <v>67</v>
      </c>
      <c r="D622" s="1">
        <v>12</v>
      </c>
      <c r="E622" s="1" t="s">
        <v>867</v>
      </c>
      <c r="F622" s="1" t="s">
        <v>52</v>
      </c>
      <c r="G622" s="1" t="s">
        <v>23</v>
      </c>
      <c r="H622" s="1" t="s">
        <v>24</v>
      </c>
      <c r="I622" s="1" t="s">
        <v>117</v>
      </c>
      <c r="J622" s="1">
        <v>4</v>
      </c>
      <c r="K622" s="1">
        <v>5675.46</v>
      </c>
      <c r="L622" s="1">
        <v>0.15</v>
      </c>
      <c r="M622" s="1">
        <v>22701.84</v>
      </c>
      <c r="N622" s="1">
        <v>3405.2759999999998</v>
      </c>
      <c r="O622" s="1">
        <v>19296.563999999998</v>
      </c>
      <c r="P622" s="1">
        <v>10613.110199999999</v>
      </c>
      <c r="Q622" s="1">
        <v>8683.4537999999993</v>
      </c>
      <c r="R622" s="1">
        <v>45</v>
      </c>
      <c r="S622" s="1" t="s">
        <v>60</v>
      </c>
    </row>
    <row r="623" spans="1:19" x14ac:dyDescent="0.35">
      <c r="A623" s="1" t="s">
        <v>969</v>
      </c>
      <c r="B623" s="3">
        <v>45682</v>
      </c>
      <c r="C623" s="1" t="s">
        <v>193</v>
      </c>
      <c r="D623" s="1">
        <v>1</v>
      </c>
      <c r="E623" s="1" t="s">
        <v>970</v>
      </c>
      <c r="F623" s="1" t="s">
        <v>22</v>
      </c>
      <c r="G623" s="1" t="s">
        <v>23</v>
      </c>
      <c r="H623" s="1" t="s">
        <v>99</v>
      </c>
      <c r="I623" s="1" t="s">
        <v>108</v>
      </c>
      <c r="J623" s="1">
        <v>6</v>
      </c>
      <c r="K623" s="1">
        <v>17659.52</v>
      </c>
      <c r="L623" s="1">
        <v>0.1</v>
      </c>
      <c r="M623" s="1">
        <v>105957.12</v>
      </c>
      <c r="N623" s="1">
        <v>10595.712</v>
      </c>
      <c r="O623" s="1">
        <v>95361.407999999996</v>
      </c>
      <c r="P623" s="1">
        <v>64845.757440000001</v>
      </c>
      <c r="Q623" s="1">
        <v>30515.650559999991</v>
      </c>
      <c r="R623" s="1">
        <v>32</v>
      </c>
      <c r="S623" s="1" t="s">
        <v>60</v>
      </c>
    </row>
    <row r="624" spans="1:19" x14ac:dyDescent="0.35">
      <c r="A624" s="1" t="s">
        <v>971</v>
      </c>
      <c r="B624" s="3">
        <v>45991</v>
      </c>
      <c r="C624" s="1" t="s">
        <v>56</v>
      </c>
      <c r="D624" s="1">
        <v>11</v>
      </c>
      <c r="E624" s="1" t="s">
        <v>424</v>
      </c>
      <c r="F624" s="1" t="s">
        <v>43</v>
      </c>
      <c r="G624" s="1" t="s">
        <v>64</v>
      </c>
      <c r="H624" s="1" t="s">
        <v>53</v>
      </c>
      <c r="I624" s="1" t="s">
        <v>72</v>
      </c>
      <c r="J624" s="1">
        <v>2</v>
      </c>
      <c r="K624" s="1">
        <v>589.75</v>
      </c>
      <c r="L624" s="1">
        <v>0.05</v>
      </c>
      <c r="M624" s="1">
        <v>1179.5</v>
      </c>
      <c r="N624" s="1">
        <v>58.975000000000001</v>
      </c>
      <c r="O624" s="1">
        <v>1120.5250000000001</v>
      </c>
      <c r="P624" s="1">
        <v>649.90449999999998</v>
      </c>
      <c r="Q624" s="1">
        <v>470.62050000000011</v>
      </c>
      <c r="R624" s="1">
        <v>42.000000000000007</v>
      </c>
      <c r="S624" s="1" t="s">
        <v>26</v>
      </c>
    </row>
    <row r="625" spans="1:19" x14ac:dyDescent="0.35">
      <c r="A625" s="1" t="s">
        <v>972</v>
      </c>
      <c r="B625" s="3">
        <v>45725</v>
      </c>
      <c r="C625" s="1" t="s">
        <v>28</v>
      </c>
      <c r="D625" s="1">
        <v>3</v>
      </c>
      <c r="E625" s="1" t="s">
        <v>543</v>
      </c>
      <c r="F625" s="1" t="s">
        <v>76</v>
      </c>
      <c r="G625" s="1" t="s">
        <v>23</v>
      </c>
      <c r="H625" s="1" t="s">
        <v>31</v>
      </c>
      <c r="I625" s="1" t="s">
        <v>59</v>
      </c>
      <c r="J625" s="1">
        <v>2</v>
      </c>
      <c r="K625" s="1">
        <v>3358.54</v>
      </c>
      <c r="L625" s="1">
        <v>0.1</v>
      </c>
      <c r="M625" s="1">
        <v>6717.08</v>
      </c>
      <c r="N625" s="1">
        <v>671.70800000000008</v>
      </c>
      <c r="O625" s="1">
        <v>6045.3719999999994</v>
      </c>
      <c r="P625" s="1">
        <v>3143.5934400000001</v>
      </c>
      <c r="Q625" s="1">
        <v>2901.7785600000002</v>
      </c>
      <c r="R625" s="1">
        <v>48</v>
      </c>
      <c r="S625" s="1" t="s">
        <v>60</v>
      </c>
    </row>
    <row r="626" spans="1:19" x14ac:dyDescent="0.35">
      <c r="A626" s="1" t="s">
        <v>973</v>
      </c>
      <c r="B626" s="3">
        <v>45926</v>
      </c>
      <c r="C626" s="1" t="s">
        <v>50</v>
      </c>
      <c r="D626" s="1">
        <v>9</v>
      </c>
      <c r="E626" s="1" t="s">
        <v>389</v>
      </c>
      <c r="F626" s="1" t="s">
        <v>37</v>
      </c>
      <c r="G626" s="1" t="s">
        <v>64</v>
      </c>
      <c r="H626" s="1" t="s">
        <v>77</v>
      </c>
      <c r="I626" s="1" t="s">
        <v>78</v>
      </c>
      <c r="J626" s="1">
        <v>6</v>
      </c>
      <c r="K626" s="1">
        <v>563.74</v>
      </c>
      <c r="L626" s="1">
        <v>0.05</v>
      </c>
      <c r="M626" s="1">
        <v>3382.44</v>
      </c>
      <c r="N626" s="1">
        <v>169.12200000000001</v>
      </c>
      <c r="O626" s="1">
        <v>3213.3180000000002</v>
      </c>
      <c r="P626" s="1">
        <v>2313.58896</v>
      </c>
      <c r="Q626" s="1">
        <v>899.72904000000017</v>
      </c>
      <c r="R626" s="1">
        <v>28</v>
      </c>
      <c r="S626" s="1" t="s">
        <v>60</v>
      </c>
    </row>
    <row r="627" spans="1:19" x14ac:dyDescent="0.35">
      <c r="A627" s="1" t="s">
        <v>974</v>
      </c>
      <c r="B627" s="3">
        <v>45911</v>
      </c>
      <c r="C627" s="1" t="s">
        <v>50</v>
      </c>
      <c r="D627" s="1">
        <v>9</v>
      </c>
      <c r="E627" s="1" t="s">
        <v>316</v>
      </c>
      <c r="F627" s="1" t="s">
        <v>30</v>
      </c>
      <c r="G627" s="1" t="s">
        <v>23</v>
      </c>
      <c r="H627" s="1" t="s">
        <v>24</v>
      </c>
      <c r="I627" s="1" t="s">
        <v>48</v>
      </c>
      <c r="J627" s="1">
        <v>2</v>
      </c>
      <c r="K627" s="1">
        <v>1342.29</v>
      </c>
      <c r="L627" s="1">
        <v>0.15</v>
      </c>
      <c r="M627" s="1">
        <v>2684.58</v>
      </c>
      <c r="N627" s="1">
        <v>402.68700000000001</v>
      </c>
      <c r="O627" s="1">
        <v>2281.893</v>
      </c>
      <c r="P627" s="1">
        <v>1255.04115</v>
      </c>
      <c r="Q627" s="1">
        <v>1026.85185</v>
      </c>
      <c r="R627" s="1">
        <v>45</v>
      </c>
      <c r="S627" s="1" t="s">
        <v>26</v>
      </c>
    </row>
    <row r="628" spans="1:19" x14ac:dyDescent="0.35">
      <c r="A628" s="1" t="s">
        <v>975</v>
      </c>
      <c r="B628" s="3">
        <v>45819</v>
      </c>
      <c r="C628" s="1" t="s">
        <v>82</v>
      </c>
      <c r="D628" s="1">
        <v>6</v>
      </c>
      <c r="E628" s="1" t="s">
        <v>628</v>
      </c>
      <c r="F628" s="1" t="s">
        <v>47</v>
      </c>
      <c r="G628" s="1" t="s">
        <v>38</v>
      </c>
      <c r="H628" s="1" t="s">
        <v>24</v>
      </c>
      <c r="I628" s="1" t="s">
        <v>139</v>
      </c>
      <c r="J628" s="1">
        <v>5</v>
      </c>
      <c r="K628" s="1">
        <v>3336.22</v>
      </c>
      <c r="L628" s="1">
        <v>0.1</v>
      </c>
      <c r="M628" s="1">
        <v>16681.099999999999</v>
      </c>
      <c r="N628" s="1">
        <v>1668.11</v>
      </c>
      <c r="O628" s="1">
        <v>15012.99</v>
      </c>
      <c r="P628" s="1">
        <v>8257.1445000000003</v>
      </c>
      <c r="Q628" s="1">
        <v>6755.8454999999976</v>
      </c>
      <c r="R628" s="1">
        <v>44.999999999999993</v>
      </c>
      <c r="S628" s="1" t="s">
        <v>26</v>
      </c>
    </row>
    <row r="629" spans="1:19" x14ac:dyDescent="0.35">
      <c r="A629" s="1" t="s">
        <v>976</v>
      </c>
      <c r="B629" s="3">
        <v>45728</v>
      </c>
      <c r="C629" s="1" t="s">
        <v>28</v>
      </c>
      <c r="D629" s="1">
        <v>3</v>
      </c>
      <c r="E629" s="1" t="s">
        <v>977</v>
      </c>
      <c r="F629" s="1" t="s">
        <v>111</v>
      </c>
      <c r="G629" s="1" t="s">
        <v>38</v>
      </c>
      <c r="H629" s="1" t="s">
        <v>53</v>
      </c>
      <c r="I629" s="1" t="s">
        <v>128</v>
      </c>
      <c r="J629" s="1">
        <v>6</v>
      </c>
      <c r="K629" s="1">
        <v>596.78</v>
      </c>
      <c r="L629" s="1">
        <v>0.2</v>
      </c>
      <c r="M629" s="1">
        <v>3580.68</v>
      </c>
      <c r="N629" s="1">
        <v>716.13599999999997</v>
      </c>
      <c r="O629" s="1">
        <v>2864.5439999999999</v>
      </c>
      <c r="P629" s="1">
        <v>1661.43552</v>
      </c>
      <c r="Q629" s="1">
        <v>1203.1084800000001</v>
      </c>
      <c r="R629" s="1">
        <v>42.000000000000007</v>
      </c>
      <c r="S629" s="1" t="s">
        <v>73</v>
      </c>
    </row>
    <row r="630" spans="1:19" x14ac:dyDescent="0.35">
      <c r="A630" s="1" t="s">
        <v>978</v>
      </c>
      <c r="B630" s="3">
        <v>45726</v>
      </c>
      <c r="C630" s="1" t="s">
        <v>28</v>
      </c>
      <c r="D630" s="1">
        <v>3</v>
      </c>
      <c r="E630" s="1" t="s">
        <v>127</v>
      </c>
      <c r="F630" s="1" t="s">
        <v>37</v>
      </c>
      <c r="G630" s="1" t="s">
        <v>64</v>
      </c>
      <c r="H630" s="1" t="s">
        <v>31</v>
      </c>
      <c r="I630" s="1" t="s">
        <v>65</v>
      </c>
      <c r="J630" s="1">
        <v>5</v>
      </c>
      <c r="K630" s="1">
        <v>593.04999999999995</v>
      </c>
      <c r="L630" s="1">
        <v>0.05</v>
      </c>
      <c r="M630" s="1">
        <v>2965.25</v>
      </c>
      <c r="N630" s="1">
        <v>148.26249999999999</v>
      </c>
      <c r="O630" s="1">
        <v>2816.9875000000002</v>
      </c>
      <c r="P630" s="1">
        <v>1464.8335</v>
      </c>
      <c r="Q630" s="1">
        <v>1352.154</v>
      </c>
      <c r="R630" s="1">
        <v>48</v>
      </c>
      <c r="S630" s="1" t="s">
        <v>60</v>
      </c>
    </row>
    <row r="631" spans="1:19" x14ac:dyDescent="0.35">
      <c r="A631" s="1" t="s">
        <v>979</v>
      </c>
      <c r="B631" s="3">
        <v>45924</v>
      </c>
      <c r="C631" s="1" t="s">
        <v>50</v>
      </c>
      <c r="D631" s="1">
        <v>9</v>
      </c>
      <c r="E631" s="1" t="s">
        <v>458</v>
      </c>
      <c r="F631" s="1" t="s">
        <v>22</v>
      </c>
      <c r="G631" s="1" t="s">
        <v>23</v>
      </c>
      <c r="H631" s="1" t="s">
        <v>77</v>
      </c>
      <c r="I631" s="1" t="s">
        <v>201</v>
      </c>
      <c r="J631" s="1">
        <v>2</v>
      </c>
      <c r="K631" s="1">
        <v>816.97</v>
      </c>
      <c r="L631" s="1">
        <v>0.1</v>
      </c>
      <c r="M631" s="1">
        <v>1633.94</v>
      </c>
      <c r="N631" s="1">
        <v>163.39400000000001</v>
      </c>
      <c r="O631" s="1">
        <v>1470.546</v>
      </c>
      <c r="P631" s="1">
        <v>1058.79312</v>
      </c>
      <c r="Q631" s="1">
        <v>411.75288</v>
      </c>
      <c r="R631" s="1">
        <v>28</v>
      </c>
      <c r="S631" s="1" t="s">
        <v>33</v>
      </c>
    </row>
    <row r="632" spans="1:19" x14ac:dyDescent="0.35">
      <c r="A632" s="1" t="s">
        <v>980</v>
      </c>
      <c r="B632" s="3">
        <v>45951</v>
      </c>
      <c r="C632" s="1" t="s">
        <v>35</v>
      </c>
      <c r="D632" s="1">
        <v>10</v>
      </c>
      <c r="E632" s="1" t="s">
        <v>981</v>
      </c>
      <c r="F632" s="1" t="s">
        <v>76</v>
      </c>
      <c r="G632" s="1" t="s">
        <v>64</v>
      </c>
      <c r="H632" s="1" t="s">
        <v>24</v>
      </c>
      <c r="I632" s="1" t="s">
        <v>25</v>
      </c>
      <c r="J632" s="1">
        <v>7</v>
      </c>
      <c r="K632" s="1">
        <v>1923.97</v>
      </c>
      <c r="L632" s="1">
        <v>0</v>
      </c>
      <c r="M632" s="1">
        <v>13467.79</v>
      </c>
      <c r="N632" s="1">
        <v>0</v>
      </c>
      <c r="O632" s="1">
        <v>13467.79</v>
      </c>
      <c r="P632" s="1">
        <v>7407.2845000000007</v>
      </c>
      <c r="Q632" s="1">
        <v>6060.5055000000002</v>
      </c>
      <c r="R632" s="1">
        <v>45</v>
      </c>
      <c r="S632" s="1" t="s">
        <v>26</v>
      </c>
    </row>
    <row r="633" spans="1:19" x14ac:dyDescent="0.35">
      <c r="A633" s="1" t="s">
        <v>982</v>
      </c>
      <c r="B633" s="3">
        <v>45914</v>
      </c>
      <c r="C633" s="1" t="s">
        <v>50</v>
      </c>
      <c r="D633" s="1">
        <v>9</v>
      </c>
      <c r="E633" s="1" t="s">
        <v>265</v>
      </c>
      <c r="F633" s="1" t="s">
        <v>111</v>
      </c>
      <c r="G633" s="1" t="s">
        <v>23</v>
      </c>
      <c r="H633" s="1" t="s">
        <v>24</v>
      </c>
      <c r="I633" s="1" t="s">
        <v>117</v>
      </c>
      <c r="J633" s="1">
        <v>7</v>
      </c>
      <c r="K633" s="1">
        <v>3803.21</v>
      </c>
      <c r="L633" s="1">
        <v>0.05</v>
      </c>
      <c r="M633" s="1">
        <v>26622.47</v>
      </c>
      <c r="N633" s="1">
        <v>1331.1234999999999</v>
      </c>
      <c r="O633" s="1">
        <v>25291.3465</v>
      </c>
      <c r="P633" s="1">
        <v>13910.240575</v>
      </c>
      <c r="Q633" s="1">
        <v>11381.105925</v>
      </c>
      <c r="R633" s="1">
        <v>44.999999999999993</v>
      </c>
      <c r="S633" s="1" t="s">
        <v>33</v>
      </c>
    </row>
    <row r="634" spans="1:19" x14ac:dyDescent="0.35">
      <c r="A634" s="1" t="s">
        <v>983</v>
      </c>
      <c r="B634" s="3">
        <v>45995</v>
      </c>
      <c r="C634" s="1" t="s">
        <v>67</v>
      </c>
      <c r="D634" s="1">
        <v>12</v>
      </c>
      <c r="E634" s="1" t="s">
        <v>984</v>
      </c>
      <c r="F634" s="1" t="s">
        <v>30</v>
      </c>
      <c r="G634" s="1" t="s">
        <v>64</v>
      </c>
      <c r="H634" s="1" t="s">
        <v>31</v>
      </c>
      <c r="I634" s="1" t="s">
        <v>190</v>
      </c>
      <c r="J634" s="1">
        <v>3</v>
      </c>
      <c r="K634" s="1">
        <v>3244.59</v>
      </c>
      <c r="L634" s="1">
        <v>0.2</v>
      </c>
      <c r="M634" s="1">
        <v>9733.77</v>
      </c>
      <c r="N634" s="1">
        <v>1946.7539999999999</v>
      </c>
      <c r="O634" s="1">
        <v>7787.0160000000014</v>
      </c>
      <c r="P634" s="1">
        <v>4049.2483200000011</v>
      </c>
      <c r="Q634" s="1">
        <v>3737.7676799999999</v>
      </c>
      <c r="R634" s="1">
        <v>48</v>
      </c>
      <c r="S634" s="1" t="s">
        <v>26</v>
      </c>
    </row>
    <row r="635" spans="1:19" x14ac:dyDescent="0.35">
      <c r="A635" s="1" t="s">
        <v>985</v>
      </c>
      <c r="B635" s="3">
        <v>45797</v>
      </c>
      <c r="C635" s="1" t="s">
        <v>97</v>
      </c>
      <c r="D635" s="1">
        <v>5</v>
      </c>
      <c r="E635" s="1" t="s">
        <v>657</v>
      </c>
      <c r="F635" s="1" t="s">
        <v>37</v>
      </c>
      <c r="G635" s="1" t="s">
        <v>64</v>
      </c>
      <c r="H635" s="1" t="s">
        <v>39</v>
      </c>
      <c r="I635" s="1" t="s">
        <v>234</v>
      </c>
      <c r="J635" s="1">
        <v>2</v>
      </c>
      <c r="K635" s="1">
        <v>38133.43</v>
      </c>
      <c r="L635" s="1">
        <v>0.1</v>
      </c>
      <c r="M635" s="1">
        <v>76266.86</v>
      </c>
      <c r="N635" s="1">
        <v>7626.6860000000006</v>
      </c>
      <c r="O635" s="1">
        <v>68640.173999999999</v>
      </c>
      <c r="P635" s="1">
        <v>53539.335720000003</v>
      </c>
      <c r="Q635" s="1">
        <v>15100.83828</v>
      </c>
      <c r="R635" s="1">
        <v>21.999999999999989</v>
      </c>
      <c r="S635" s="1" t="s">
        <v>33</v>
      </c>
    </row>
    <row r="636" spans="1:19" x14ac:dyDescent="0.35">
      <c r="A636" s="1" t="s">
        <v>986</v>
      </c>
      <c r="B636" s="3">
        <v>46019</v>
      </c>
      <c r="C636" s="1" t="s">
        <v>67</v>
      </c>
      <c r="D636" s="1">
        <v>12</v>
      </c>
      <c r="E636" s="1" t="s">
        <v>269</v>
      </c>
      <c r="F636" s="1" t="s">
        <v>47</v>
      </c>
      <c r="G636" s="1" t="s">
        <v>23</v>
      </c>
      <c r="H636" s="1" t="s">
        <v>24</v>
      </c>
      <c r="I636" s="1" t="s">
        <v>48</v>
      </c>
      <c r="J636" s="1">
        <v>5</v>
      </c>
      <c r="K636" s="1">
        <v>4120.6899999999996</v>
      </c>
      <c r="L636" s="1">
        <v>0.1</v>
      </c>
      <c r="M636" s="1">
        <v>20603.45</v>
      </c>
      <c r="N636" s="1">
        <v>2060.3449999999998</v>
      </c>
      <c r="O636" s="1">
        <v>18543.105</v>
      </c>
      <c r="P636" s="1">
        <v>10198.70775</v>
      </c>
      <c r="Q636" s="1">
        <v>8344.3972499999982</v>
      </c>
      <c r="R636" s="1">
        <v>45</v>
      </c>
      <c r="S636" s="1" t="s">
        <v>60</v>
      </c>
    </row>
    <row r="637" spans="1:19" x14ac:dyDescent="0.35">
      <c r="A637" s="1" t="s">
        <v>987</v>
      </c>
      <c r="B637" s="3">
        <v>45786</v>
      </c>
      <c r="C637" s="1" t="s">
        <v>97</v>
      </c>
      <c r="D637" s="1">
        <v>5</v>
      </c>
      <c r="E637" s="1" t="s">
        <v>152</v>
      </c>
      <c r="F637" s="1" t="s">
        <v>37</v>
      </c>
      <c r="G637" s="1" t="s">
        <v>38</v>
      </c>
      <c r="H637" s="1" t="s">
        <v>99</v>
      </c>
      <c r="I637" s="1" t="s">
        <v>145</v>
      </c>
      <c r="J637" s="1">
        <v>6</v>
      </c>
      <c r="K637" s="1">
        <v>21319.35</v>
      </c>
      <c r="L637" s="1">
        <v>0.2</v>
      </c>
      <c r="M637" s="1">
        <v>127916.1</v>
      </c>
      <c r="N637" s="1">
        <v>25583.22</v>
      </c>
      <c r="O637" s="1">
        <v>102332.88</v>
      </c>
      <c r="P637" s="1">
        <v>69586.358399999997</v>
      </c>
      <c r="Q637" s="1">
        <v>32746.521599999989</v>
      </c>
      <c r="R637" s="1">
        <v>32</v>
      </c>
      <c r="S637" s="1" t="s">
        <v>60</v>
      </c>
    </row>
    <row r="638" spans="1:19" x14ac:dyDescent="0.35">
      <c r="A638" s="1" t="s">
        <v>988</v>
      </c>
      <c r="B638" s="3">
        <v>45708</v>
      </c>
      <c r="C638" s="1" t="s">
        <v>42</v>
      </c>
      <c r="D638" s="1">
        <v>2</v>
      </c>
      <c r="E638" s="1" t="s">
        <v>767</v>
      </c>
      <c r="F638" s="1" t="s">
        <v>111</v>
      </c>
      <c r="G638" s="1" t="s">
        <v>23</v>
      </c>
      <c r="H638" s="1" t="s">
        <v>99</v>
      </c>
      <c r="I638" s="1" t="s">
        <v>120</v>
      </c>
      <c r="J638" s="1">
        <v>6</v>
      </c>
      <c r="K638" s="1">
        <v>13412.9</v>
      </c>
      <c r="L638" s="1">
        <v>0</v>
      </c>
      <c r="M638" s="1">
        <v>80477.399999999994</v>
      </c>
      <c r="N638" s="1">
        <v>0</v>
      </c>
      <c r="O638" s="1">
        <v>80477.399999999994</v>
      </c>
      <c r="P638" s="1">
        <v>54724.631999999998</v>
      </c>
      <c r="Q638" s="1">
        <v>25752.768</v>
      </c>
      <c r="R638" s="1">
        <v>32</v>
      </c>
      <c r="S638" s="1" t="s">
        <v>60</v>
      </c>
    </row>
    <row r="639" spans="1:19" x14ac:dyDescent="0.35">
      <c r="A639" s="1" t="s">
        <v>989</v>
      </c>
      <c r="B639" s="3">
        <v>45696</v>
      </c>
      <c r="C639" s="1" t="s">
        <v>42</v>
      </c>
      <c r="D639" s="1">
        <v>2</v>
      </c>
      <c r="E639" s="1" t="s">
        <v>990</v>
      </c>
      <c r="F639" s="1" t="s">
        <v>37</v>
      </c>
      <c r="G639" s="1" t="s">
        <v>38</v>
      </c>
      <c r="H639" s="1" t="s">
        <v>39</v>
      </c>
      <c r="I639" s="1" t="s">
        <v>214</v>
      </c>
      <c r="J639" s="1">
        <v>3</v>
      </c>
      <c r="K639" s="1">
        <v>52631.01</v>
      </c>
      <c r="L639" s="1">
        <v>0.2</v>
      </c>
      <c r="M639" s="1">
        <v>157893.03</v>
      </c>
      <c r="N639" s="1">
        <v>31578.606</v>
      </c>
      <c r="O639" s="1">
        <v>126314.424</v>
      </c>
      <c r="P639" s="1">
        <v>98525.250719999996</v>
      </c>
      <c r="Q639" s="1">
        <v>27789.173279999999</v>
      </c>
      <c r="R639" s="1">
        <v>22</v>
      </c>
      <c r="S639" s="1" t="s">
        <v>60</v>
      </c>
    </row>
    <row r="640" spans="1:19" x14ac:dyDescent="0.35">
      <c r="A640" s="1" t="s">
        <v>991</v>
      </c>
      <c r="B640" s="3">
        <v>45837</v>
      </c>
      <c r="C640" s="1" t="s">
        <v>82</v>
      </c>
      <c r="D640" s="1">
        <v>6</v>
      </c>
      <c r="E640" s="1" t="s">
        <v>236</v>
      </c>
      <c r="F640" s="1" t="s">
        <v>43</v>
      </c>
      <c r="G640" s="1" t="s">
        <v>23</v>
      </c>
      <c r="H640" s="1" t="s">
        <v>99</v>
      </c>
      <c r="I640" s="1" t="s">
        <v>120</v>
      </c>
      <c r="J640" s="1">
        <v>2</v>
      </c>
      <c r="K640" s="1">
        <v>15478.18</v>
      </c>
      <c r="L640" s="1">
        <v>0</v>
      </c>
      <c r="M640" s="1">
        <v>30956.36</v>
      </c>
      <c r="N640" s="1">
        <v>0</v>
      </c>
      <c r="O640" s="1">
        <v>30956.36</v>
      </c>
      <c r="P640" s="1">
        <v>21050.324799999999</v>
      </c>
      <c r="Q640" s="1">
        <v>9906.0351999999984</v>
      </c>
      <c r="R640" s="1">
        <v>32</v>
      </c>
      <c r="S640" s="1" t="s">
        <v>60</v>
      </c>
    </row>
    <row r="641" spans="1:19" x14ac:dyDescent="0.35">
      <c r="A641" s="1" t="s">
        <v>992</v>
      </c>
      <c r="B641" s="3">
        <v>45870</v>
      </c>
      <c r="C641" s="1" t="s">
        <v>113</v>
      </c>
      <c r="D641" s="1">
        <v>8</v>
      </c>
      <c r="E641" s="1" t="s">
        <v>993</v>
      </c>
      <c r="F641" s="1" t="s">
        <v>69</v>
      </c>
      <c r="G641" s="1" t="s">
        <v>38</v>
      </c>
      <c r="H641" s="1" t="s">
        <v>99</v>
      </c>
      <c r="I641" s="1" t="s">
        <v>145</v>
      </c>
      <c r="J641" s="1">
        <v>2</v>
      </c>
      <c r="K641" s="1">
        <v>4762.66</v>
      </c>
      <c r="L641" s="1">
        <v>0.1</v>
      </c>
      <c r="M641" s="1">
        <v>9525.32</v>
      </c>
      <c r="N641" s="1">
        <v>952.53200000000004</v>
      </c>
      <c r="O641" s="1">
        <v>8572.7880000000005</v>
      </c>
      <c r="P641" s="1">
        <v>5829.4958399999996</v>
      </c>
      <c r="Q641" s="1">
        <v>2743.29216</v>
      </c>
      <c r="R641" s="1">
        <v>32</v>
      </c>
      <c r="S641" s="1" t="s">
        <v>93</v>
      </c>
    </row>
    <row r="642" spans="1:19" x14ac:dyDescent="0.35">
      <c r="A642" s="1" t="s">
        <v>994</v>
      </c>
      <c r="B642" s="3">
        <v>45903</v>
      </c>
      <c r="C642" s="1" t="s">
        <v>50</v>
      </c>
      <c r="D642" s="1">
        <v>9</v>
      </c>
      <c r="E642" s="1" t="s">
        <v>484</v>
      </c>
      <c r="F642" s="1" t="s">
        <v>111</v>
      </c>
      <c r="G642" s="1" t="s">
        <v>23</v>
      </c>
      <c r="H642" s="1" t="s">
        <v>99</v>
      </c>
      <c r="I642" s="1" t="s">
        <v>108</v>
      </c>
      <c r="J642" s="1">
        <v>6</v>
      </c>
      <c r="K642" s="1">
        <v>10379.469999999999</v>
      </c>
      <c r="L642" s="1">
        <v>0.15</v>
      </c>
      <c r="M642" s="1">
        <v>62276.819999999992</v>
      </c>
      <c r="N642" s="1">
        <v>9341.5229999999992</v>
      </c>
      <c r="O642" s="1">
        <v>52935.296999999991</v>
      </c>
      <c r="P642" s="1">
        <v>35996.001959999987</v>
      </c>
      <c r="Q642" s="1">
        <v>16939.295040000001</v>
      </c>
      <c r="R642" s="1">
        <v>32</v>
      </c>
      <c r="S642" s="1" t="s">
        <v>60</v>
      </c>
    </row>
    <row r="643" spans="1:19" x14ac:dyDescent="0.35">
      <c r="A643" s="1" t="s">
        <v>995</v>
      </c>
      <c r="B643" s="3">
        <v>45796</v>
      </c>
      <c r="C643" s="1" t="s">
        <v>97</v>
      </c>
      <c r="D643" s="1">
        <v>5</v>
      </c>
      <c r="E643" s="1" t="s">
        <v>231</v>
      </c>
      <c r="F643" s="1" t="s">
        <v>30</v>
      </c>
      <c r="G643" s="1" t="s">
        <v>64</v>
      </c>
      <c r="H643" s="1" t="s">
        <v>99</v>
      </c>
      <c r="I643" s="1" t="s">
        <v>108</v>
      </c>
      <c r="J643" s="1">
        <v>2</v>
      </c>
      <c r="K643" s="1">
        <v>15204.4</v>
      </c>
      <c r="L643" s="1">
        <v>0.1</v>
      </c>
      <c r="M643" s="1">
        <v>30408.799999999999</v>
      </c>
      <c r="N643" s="1">
        <v>3040.88</v>
      </c>
      <c r="O643" s="1">
        <v>27367.919999999998</v>
      </c>
      <c r="P643" s="1">
        <v>18610.185600000001</v>
      </c>
      <c r="Q643" s="1">
        <v>8757.7343999999975</v>
      </c>
      <c r="R643" s="1">
        <v>32</v>
      </c>
      <c r="S643" s="1" t="s">
        <v>73</v>
      </c>
    </row>
    <row r="644" spans="1:19" x14ac:dyDescent="0.35">
      <c r="A644" s="1" t="s">
        <v>996</v>
      </c>
      <c r="B644" s="3">
        <v>45867</v>
      </c>
      <c r="C644" s="1" t="s">
        <v>62</v>
      </c>
      <c r="D644" s="1">
        <v>7</v>
      </c>
      <c r="E644" s="1" t="s">
        <v>359</v>
      </c>
      <c r="F644" s="1" t="s">
        <v>76</v>
      </c>
      <c r="G644" s="1" t="s">
        <v>23</v>
      </c>
      <c r="H644" s="1" t="s">
        <v>31</v>
      </c>
      <c r="I644" s="1" t="s">
        <v>65</v>
      </c>
      <c r="J644" s="1">
        <v>6</v>
      </c>
      <c r="K644" s="1">
        <v>1790.66</v>
      </c>
      <c r="L644" s="1">
        <v>0.2</v>
      </c>
      <c r="M644" s="1">
        <v>10743.96</v>
      </c>
      <c r="N644" s="1">
        <v>2148.7919999999999</v>
      </c>
      <c r="O644" s="1">
        <v>8595.1680000000015</v>
      </c>
      <c r="P644" s="1">
        <v>4469.487360000001</v>
      </c>
      <c r="Q644" s="1">
        <v>4125.6806399999996</v>
      </c>
      <c r="R644" s="1">
        <v>48</v>
      </c>
      <c r="S644" s="1" t="s">
        <v>60</v>
      </c>
    </row>
    <row r="645" spans="1:19" x14ac:dyDescent="0.35">
      <c r="A645" s="1" t="s">
        <v>997</v>
      </c>
      <c r="B645" s="3">
        <v>45675</v>
      </c>
      <c r="C645" s="1" t="s">
        <v>193</v>
      </c>
      <c r="D645" s="1">
        <v>1</v>
      </c>
      <c r="E645" s="1" t="s">
        <v>396</v>
      </c>
      <c r="F645" s="1" t="s">
        <v>69</v>
      </c>
      <c r="G645" s="1" t="s">
        <v>23</v>
      </c>
      <c r="H645" s="1" t="s">
        <v>39</v>
      </c>
      <c r="I645" s="1" t="s">
        <v>40</v>
      </c>
      <c r="J645" s="1">
        <v>5</v>
      </c>
      <c r="K645" s="1">
        <v>17382.16</v>
      </c>
      <c r="L645" s="1">
        <v>0</v>
      </c>
      <c r="M645" s="1">
        <v>86910.8</v>
      </c>
      <c r="N645" s="1">
        <v>0</v>
      </c>
      <c r="O645" s="1">
        <v>86910.8</v>
      </c>
      <c r="P645" s="1">
        <v>67790.423999999999</v>
      </c>
      <c r="Q645" s="1">
        <v>19120.376</v>
      </c>
      <c r="R645" s="1">
        <v>22</v>
      </c>
      <c r="S645" s="1" t="s">
        <v>73</v>
      </c>
    </row>
    <row r="646" spans="1:19" x14ac:dyDescent="0.35">
      <c r="A646" s="1" t="s">
        <v>998</v>
      </c>
      <c r="B646" s="3">
        <v>45907</v>
      </c>
      <c r="C646" s="1" t="s">
        <v>50</v>
      </c>
      <c r="D646" s="1">
        <v>9</v>
      </c>
      <c r="E646" s="1" t="s">
        <v>764</v>
      </c>
      <c r="F646" s="1" t="s">
        <v>111</v>
      </c>
      <c r="G646" s="1" t="s">
        <v>23</v>
      </c>
      <c r="H646" s="1" t="s">
        <v>24</v>
      </c>
      <c r="I646" s="1" t="s">
        <v>48</v>
      </c>
      <c r="J646" s="1">
        <v>2</v>
      </c>
      <c r="K646" s="1">
        <v>588.15</v>
      </c>
      <c r="L646" s="1">
        <v>0.3</v>
      </c>
      <c r="M646" s="1">
        <v>1176.3</v>
      </c>
      <c r="N646" s="1">
        <v>352.89</v>
      </c>
      <c r="O646" s="1">
        <v>823.41</v>
      </c>
      <c r="P646" s="1">
        <v>452.87549999999999</v>
      </c>
      <c r="Q646" s="1">
        <v>370.53449999999992</v>
      </c>
      <c r="R646" s="1">
        <v>44.999999999999993</v>
      </c>
      <c r="S646" s="1" t="s">
        <v>73</v>
      </c>
    </row>
    <row r="647" spans="1:19" x14ac:dyDescent="0.35">
      <c r="A647" s="1" t="s">
        <v>999</v>
      </c>
      <c r="B647" s="3">
        <v>45784</v>
      </c>
      <c r="C647" s="1" t="s">
        <v>97</v>
      </c>
      <c r="D647" s="1">
        <v>5</v>
      </c>
      <c r="E647" s="1" t="s">
        <v>622</v>
      </c>
      <c r="F647" s="1" t="s">
        <v>22</v>
      </c>
      <c r="G647" s="1" t="s">
        <v>23</v>
      </c>
      <c r="H647" s="1" t="s">
        <v>31</v>
      </c>
      <c r="I647" s="1" t="s">
        <v>59</v>
      </c>
      <c r="J647" s="1">
        <v>7</v>
      </c>
      <c r="K647" s="1">
        <v>3277.47</v>
      </c>
      <c r="L647" s="1">
        <v>0.15</v>
      </c>
      <c r="M647" s="1">
        <v>22942.29</v>
      </c>
      <c r="N647" s="1">
        <v>3441.343499999999</v>
      </c>
      <c r="O647" s="1">
        <v>19500.946499999998</v>
      </c>
      <c r="P647" s="1">
        <v>10140.492179999999</v>
      </c>
      <c r="Q647" s="1">
        <v>9360.4543199999989</v>
      </c>
      <c r="R647" s="1">
        <v>48</v>
      </c>
      <c r="S647" s="1" t="s">
        <v>60</v>
      </c>
    </row>
    <row r="648" spans="1:19" x14ac:dyDescent="0.35">
      <c r="A648" s="1" t="s">
        <v>1000</v>
      </c>
      <c r="B648" s="3">
        <v>45689</v>
      </c>
      <c r="C648" s="1" t="s">
        <v>42</v>
      </c>
      <c r="D648" s="1">
        <v>2</v>
      </c>
      <c r="E648" s="1" t="s">
        <v>662</v>
      </c>
      <c r="F648" s="1" t="s">
        <v>111</v>
      </c>
      <c r="G648" s="1" t="s">
        <v>23</v>
      </c>
      <c r="H648" s="1" t="s">
        <v>31</v>
      </c>
      <c r="I648" s="1" t="s">
        <v>32</v>
      </c>
      <c r="J648" s="1">
        <v>5</v>
      </c>
      <c r="K648" s="1">
        <v>2340.65</v>
      </c>
      <c r="L648" s="1">
        <v>0.25</v>
      </c>
      <c r="M648" s="1">
        <v>11703.25</v>
      </c>
      <c r="N648" s="1">
        <v>2925.8125</v>
      </c>
      <c r="O648" s="1">
        <v>8777.4375</v>
      </c>
      <c r="P648" s="1">
        <v>4564.2674999999999</v>
      </c>
      <c r="Q648" s="1">
        <v>4213.17</v>
      </c>
      <c r="R648" s="1">
        <v>48</v>
      </c>
      <c r="S648" s="1" t="s">
        <v>73</v>
      </c>
    </row>
    <row r="649" spans="1:19" x14ac:dyDescent="0.35">
      <c r="A649" s="1" t="s">
        <v>1001</v>
      </c>
      <c r="B649" s="3">
        <v>45905</v>
      </c>
      <c r="C649" s="1" t="s">
        <v>50</v>
      </c>
      <c r="D649" s="1">
        <v>9</v>
      </c>
      <c r="E649" s="1" t="s">
        <v>608</v>
      </c>
      <c r="F649" s="1" t="s">
        <v>76</v>
      </c>
      <c r="G649" s="1" t="s">
        <v>38</v>
      </c>
      <c r="H649" s="1" t="s">
        <v>24</v>
      </c>
      <c r="I649" s="1" t="s">
        <v>48</v>
      </c>
      <c r="J649" s="1">
        <v>3</v>
      </c>
      <c r="K649" s="1">
        <v>2155.31</v>
      </c>
      <c r="L649" s="1">
        <v>0.05</v>
      </c>
      <c r="M649" s="1">
        <v>6465.93</v>
      </c>
      <c r="N649" s="1">
        <v>323.29649999999998</v>
      </c>
      <c r="O649" s="1">
        <v>6142.6334999999999</v>
      </c>
      <c r="P649" s="1">
        <v>3378.448425</v>
      </c>
      <c r="Q649" s="1">
        <v>2764.1850749999999</v>
      </c>
      <c r="R649" s="1">
        <v>45</v>
      </c>
      <c r="S649" s="1" t="s">
        <v>73</v>
      </c>
    </row>
    <row r="650" spans="1:19" x14ac:dyDescent="0.35">
      <c r="A650" s="1" t="s">
        <v>1002</v>
      </c>
      <c r="B650" s="3">
        <v>45808</v>
      </c>
      <c r="C650" s="1" t="s">
        <v>97</v>
      </c>
      <c r="D650" s="1">
        <v>5</v>
      </c>
      <c r="E650" s="1" t="s">
        <v>679</v>
      </c>
      <c r="F650" s="1" t="s">
        <v>22</v>
      </c>
      <c r="G650" s="1" t="s">
        <v>64</v>
      </c>
      <c r="H650" s="1" t="s">
        <v>31</v>
      </c>
      <c r="I650" s="1" t="s">
        <v>190</v>
      </c>
      <c r="J650" s="1">
        <v>5</v>
      </c>
      <c r="K650" s="1">
        <v>1746.24</v>
      </c>
      <c r="L650" s="1">
        <v>0.05</v>
      </c>
      <c r="M650" s="1">
        <v>8731.2000000000007</v>
      </c>
      <c r="N650" s="1">
        <v>436.56000000000012</v>
      </c>
      <c r="O650" s="1">
        <v>8294.6400000000012</v>
      </c>
      <c r="P650" s="1">
        <v>4313.2128000000012</v>
      </c>
      <c r="Q650" s="1">
        <v>3981.4272000000001</v>
      </c>
      <c r="R650" s="1">
        <v>47.999999999999993</v>
      </c>
      <c r="S650" s="1" t="s">
        <v>93</v>
      </c>
    </row>
    <row r="651" spans="1:19" x14ac:dyDescent="0.35">
      <c r="A651" s="1" t="s">
        <v>1003</v>
      </c>
      <c r="B651" s="3">
        <v>45912</v>
      </c>
      <c r="C651" s="1" t="s">
        <v>50</v>
      </c>
      <c r="D651" s="1">
        <v>9</v>
      </c>
      <c r="E651" s="1" t="s">
        <v>165</v>
      </c>
      <c r="F651" s="1" t="s">
        <v>111</v>
      </c>
      <c r="G651" s="1" t="s">
        <v>64</v>
      </c>
      <c r="H651" s="1" t="s">
        <v>24</v>
      </c>
      <c r="I651" s="1" t="s">
        <v>48</v>
      </c>
      <c r="J651" s="1">
        <v>7</v>
      </c>
      <c r="K651" s="1">
        <v>615.54999999999995</v>
      </c>
      <c r="L651" s="1">
        <v>0</v>
      </c>
      <c r="M651" s="1">
        <v>4308.8499999999995</v>
      </c>
      <c r="N651" s="1">
        <v>0</v>
      </c>
      <c r="O651" s="1">
        <v>4308.8499999999995</v>
      </c>
      <c r="P651" s="1">
        <v>2369.8674999999998</v>
      </c>
      <c r="Q651" s="1">
        <v>1938.9825000000001</v>
      </c>
      <c r="R651" s="1">
        <v>44.999999999999993</v>
      </c>
      <c r="S651" s="1" t="s">
        <v>60</v>
      </c>
    </row>
    <row r="652" spans="1:19" x14ac:dyDescent="0.35">
      <c r="A652" s="1" t="s">
        <v>1004</v>
      </c>
      <c r="B652" s="3">
        <v>45669</v>
      </c>
      <c r="C652" s="1" t="s">
        <v>193</v>
      </c>
      <c r="D652" s="1">
        <v>1</v>
      </c>
      <c r="E652" s="1" t="s">
        <v>130</v>
      </c>
      <c r="F652" s="1" t="s">
        <v>111</v>
      </c>
      <c r="G652" s="1" t="s">
        <v>23</v>
      </c>
      <c r="H652" s="1" t="s">
        <v>31</v>
      </c>
      <c r="I652" s="1" t="s">
        <v>32</v>
      </c>
      <c r="J652" s="1">
        <v>6</v>
      </c>
      <c r="K652" s="1">
        <v>2294.04</v>
      </c>
      <c r="L652" s="1">
        <v>0.15</v>
      </c>
      <c r="M652" s="1">
        <v>13764.24</v>
      </c>
      <c r="N652" s="1">
        <v>2064.636</v>
      </c>
      <c r="O652" s="1">
        <v>11699.603999999999</v>
      </c>
      <c r="P652" s="1">
        <v>6083.7940799999997</v>
      </c>
      <c r="Q652" s="1">
        <v>5615.8099199999997</v>
      </c>
      <c r="R652" s="1">
        <v>48</v>
      </c>
      <c r="S652" s="1" t="s">
        <v>93</v>
      </c>
    </row>
    <row r="653" spans="1:19" x14ac:dyDescent="0.35">
      <c r="A653" s="1" t="s">
        <v>1005</v>
      </c>
      <c r="B653" s="3">
        <v>45760</v>
      </c>
      <c r="C653" s="1" t="s">
        <v>20</v>
      </c>
      <c r="D653" s="1">
        <v>4</v>
      </c>
      <c r="E653" s="1" t="s">
        <v>307</v>
      </c>
      <c r="F653" s="1" t="s">
        <v>52</v>
      </c>
      <c r="G653" s="1" t="s">
        <v>64</v>
      </c>
      <c r="H653" s="1" t="s">
        <v>99</v>
      </c>
      <c r="I653" s="1" t="s">
        <v>223</v>
      </c>
      <c r="J653" s="1">
        <v>5</v>
      </c>
      <c r="K653" s="1">
        <v>17723.89</v>
      </c>
      <c r="L653" s="1">
        <v>0.1</v>
      </c>
      <c r="M653" s="1">
        <v>88619.45</v>
      </c>
      <c r="N653" s="1">
        <v>8861.9449999999997</v>
      </c>
      <c r="O653" s="1">
        <v>79757.505000000005</v>
      </c>
      <c r="P653" s="1">
        <v>54235.103400000007</v>
      </c>
      <c r="Q653" s="1">
        <v>25522.401600000001</v>
      </c>
      <c r="R653" s="1">
        <v>32</v>
      </c>
      <c r="S653" s="1" t="s">
        <v>60</v>
      </c>
    </row>
    <row r="654" spans="1:19" x14ac:dyDescent="0.35">
      <c r="A654" s="1" t="s">
        <v>1006</v>
      </c>
      <c r="B654" s="3">
        <v>45857</v>
      </c>
      <c r="C654" s="1" t="s">
        <v>62</v>
      </c>
      <c r="D654" s="1">
        <v>7</v>
      </c>
      <c r="E654" s="1" t="s">
        <v>923</v>
      </c>
      <c r="F654" s="1" t="s">
        <v>111</v>
      </c>
      <c r="G654" s="1" t="s">
        <v>64</v>
      </c>
      <c r="H654" s="1" t="s">
        <v>31</v>
      </c>
      <c r="I654" s="1" t="s">
        <v>190</v>
      </c>
      <c r="J654" s="1">
        <v>3</v>
      </c>
      <c r="K654" s="1">
        <v>875.85</v>
      </c>
      <c r="L654" s="1">
        <v>0.2</v>
      </c>
      <c r="M654" s="1">
        <v>2627.55</v>
      </c>
      <c r="N654" s="1">
        <v>525.5100000000001</v>
      </c>
      <c r="O654" s="1">
        <v>2102.04</v>
      </c>
      <c r="P654" s="1">
        <v>1093.0608</v>
      </c>
      <c r="Q654" s="1">
        <v>1008.9792</v>
      </c>
      <c r="R654" s="1">
        <v>48</v>
      </c>
      <c r="S654" s="1" t="s">
        <v>26</v>
      </c>
    </row>
    <row r="655" spans="1:19" x14ac:dyDescent="0.35">
      <c r="A655" s="1" t="s">
        <v>1007</v>
      </c>
      <c r="B655" s="3">
        <v>45667</v>
      </c>
      <c r="C655" s="1" t="s">
        <v>193</v>
      </c>
      <c r="D655" s="1">
        <v>1</v>
      </c>
      <c r="E655" s="1" t="s">
        <v>441</v>
      </c>
      <c r="F655" s="1" t="s">
        <v>43</v>
      </c>
      <c r="G655" s="1" t="s">
        <v>38</v>
      </c>
      <c r="H655" s="1" t="s">
        <v>24</v>
      </c>
      <c r="I655" s="1" t="s">
        <v>48</v>
      </c>
      <c r="J655" s="1">
        <v>6</v>
      </c>
      <c r="K655" s="1">
        <v>5906.21</v>
      </c>
      <c r="L655" s="1">
        <v>0.15</v>
      </c>
      <c r="M655" s="1">
        <v>35437.26</v>
      </c>
      <c r="N655" s="1">
        <v>5315.5889999999999</v>
      </c>
      <c r="O655" s="1">
        <v>30121.670999999998</v>
      </c>
      <c r="P655" s="1">
        <v>16566.91905</v>
      </c>
      <c r="Q655" s="1">
        <v>13554.75195</v>
      </c>
      <c r="R655" s="1">
        <v>44.999999999999993</v>
      </c>
      <c r="S655" s="1" t="s">
        <v>73</v>
      </c>
    </row>
    <row r="656" spans="1:19" x14ac:dyDescent="0.35">
      <c r="A656" s="1" t="s">
        <v>1008</v>
      </c>
      <c r="B656" s="3">
        <v>45758</v>
      </c>
      <c r="C656" s="1" t="s">
        <v>20</v>
      </c>
      <c r="D656" s="1">
        <v>4</v>
      </c>
      <c r="E656" s="1" t="s">
        <v>276</v>
      </c>
      <c r="F656" s="1" t="s">
        <v>43</v>
      </c>
      <c r="G656" s="1" t="s">
        <v>38</v>
      </c>
      <c r="H656" s="1" t="s">
        <v>53</v>
      </c>
      <c r="I656" s="1" t="s">
        <v>54</v>
      </c>
      <c r="J656" s="1">
        <v>1</v>
      </c>
      <c r="K656" s="1">
        <v>2186.88</v>
      </c>
      <c r="L656" s="1">
        <v>0.05</v>
      </c>
      <c r="M656" s="1">
        <v>2186.88</v>
      </c>
      <c r="N656" s="1">
        <v>109.34399999999999</v>
      </c>
      <c r="O656" s="1">
        <v>2077.5360000000001</v>
      </c>
      <c r="P656" s="1">
        <v>1204.9708800000001</v>
      </c>
      <c r="Q656" s="1">
        <v>872.56512000000021</v>
      </c>
      <c r="R656" s="1">
        <v>42.000000000000007</v>
      </c>
      <c r="S656" s="1" t="s">
        <v>60</v>
      </c>
    </row>
    <row r="657" spans="1:19" x14ac:dyDescent="0.35">
      <c r="A657" s="1" t="s">
        <v>1009</v>
      </c>
      <c r="B657" s="3">
        <v>45917</v>
      </c>
      <c r="C657" s="1" t="s">
        <v>50</v>
      </c>
      <c r="D657" s="1">
        <v>9</v>
      </c>
      <c r="E657" s="1" t="s">
        <v>71</v>
      </c>
      <c r="F657" s="1" t="s">
        <v>37</v>
      </c>
      <c r="G657" s="1" t="s">
        <v>64</v>
      </c>
      <c r="H657" s="1" t="s">
        <v>31</v>
      </c>
      <c r="I657" s="1" t="s">
        <v>32</v>
      </c>
      <c r="J657" s="1">
        <v>1</v>
      </c>
      <c r="K657" s="1">
        <v>640.04</v>
      </c>
      <c r="L657" s="1">
        <v>0.05</v>
      </c>
      <c r="M657" s="1">
        <v>640.04</v>
      </c>
      <c r="N657" s="1">
        <v>32.002000000000002</v>
      </c>
      <c r="O657" s="1">
        <v>608.03800000000001</v>
      </c>
      <c r="P657" s="1">
        <v>316.17975999999999</v>
      </c>
      <c r="Q657" s="1">
        <v>291.85824000000002</v>
      </c>
      <c r="R657" s="1">
        <v>47.999999999999993</v>
      </c>
      <c r="S657" s="1" t="s">
        <v>73</v>
      </c>
    </row>
    <row r="658" spans="1:19" x14ac:dyDescent="0.35">
      <c r="A658" s="1" t="s">
        <v>1010</v>
      </c>
      <c r="B658" s="3">
        <v>45658</v>
      </c>
      <c r="C658" s="1" t="s">
        <v>193</v>
      </c>
      <c r="D658" s="1">
        <v>1</v>
      </c>
      <c r="E658" s="1" t="s">
        <v>693</v>
      </c>
      <c r="F658" s="1" t="s">
        <v>37</v>
      </c>
      <c r="G658" s="1" t="s">
        <v>23</v>
      </c>
      <c r="H658" s="1" t="s">
        <v>99</v>
      </c>
      <c r="I658" s="1" t="s">
        <v>145</v>
      </c>
      <c r="J658" s="1">
        <v>1</v>
      </c>
      <c r="K658" s="1">
        <v>11499.62</v>
      </c>
      <c r="L658" s="1">
        <v>0</v>
      </c>
      <c r="M658" s="1">
        <v>11499.62</v>
      </c>
      <c r="N658" s="1">
        <v>0</v>
      </c>
      <c r="O658" s="1">
        <v>11499.62</v>
      </c>
      <c r="P658" s="1">
        <v>7819.7416000000012</v>
      </c>
      <c r="Q658" s="1">
        <v>3679.8784000000001</v>
      </c>
      <c r="R658" s="1">
        <v>32</v>
      </c>
      <c r="S658" s="1" t="s">
        <v>60</v>
      </c>
    </row>
    <row r="659" spans="1:19" x14ac:dyDescent="0.35">
      <c r="A659" s="1" t="s">
        <v>1011</v>
      </c>
      <c r="B659" s="3">
        <v>45951</v>
      </c>
      <c r="C659" s="1" t="s">
        <v>35</v>
      </c>
      <c r="D659" s="1">
        <v>10</v>
      </c>
      <c r="E659" s="1" t="s">
        <v>326</v>
      </c>
      <c r="F659" s="1" t="s">
        <v>22</v>
      </c>
      <c r="G659" s="1" t="s">
        <v>23</v>
      </c>
      <c r="H659" s="1" t="s">
        <v>77</v>
      </c>
      <c r="I659" s="1" t="s">
        <v>148</v>
      </c>
      <c r="J659" s="1">
        <v>4</v>
      </c>
      <c r="K659" s="1">
        <v>856.26</v>
      </c>
      <c r="L659" s="1">
        <v>0.1</v>
      </c>
      <c r="M659" s="1">
        <v>3425.04</v>
      </c>
      <c r="N659" s="1">
        <v>342.50400000000002</v>
      </c>
      <c r="O659" s="1">
        <v>3082.5360000000001</v>
      </c>
      <c r="P659" s="1">
        <v>2219.4259200000001</v>
      </c>
      <c r="Q659" s="1">
        <v>863.11007999999993</v>
      </c>
      <c r="R659" s="1">
        <v>28</v>
      </c>
      <c r="S659" s="1" t="s">
        <v>26</v>
      </c>
    </row>
    <row r="660" spans="1:19" x14ac:dyDescent="0.35">
      <c r="A660" s="1" t="s">
        <v>1012</v>
      </c>
      <c r="B660" s="3">
        <v>45956</v>
      </c>
      <c r="C660" s="1" t="s">
        <v>35</v>
      </c>
      <c r="D660" s="1">
        <v>10</v>
      </c>
      <c r="E660" s="1" t="s">
        <v>1013</v>
      </c>
      <c r="F660" s="1" t="s">
        <v>43</v>
      </c>
      <c r="G660" s="1" t="s">
        <v>38</v>
      </c>
      <c r="H660" s="1" t="s">
        <v>99</v>
      </c>
      <c r="I660" s="1" t="s">
        <v>120</v>
      </c>
      <c r="J660" s="1">
        <v>7</v>
      </c>
      <c r="K660" s="1">
        <v>22973.43</v>
      </c>
      <c r="L660" s="1">
        <v>0.15</v>
      </c>
      <c r="M660" s="1">
        <v>160814.01</v>
      </c>
      <c r="N660" s="1">
        <v>24122.101500000001</v>
      </c>
      <c r="O660" s="1">
        <v>136691.90849999999</v>
      </c>
      <c r="P660" s="1">
        <v>92950.49778000002</v>
      </c>
      <c r="Q660" s="1">
        <v>43741.41072</v>
      </c>
      <c r="R660" s="1">
        <v>32</v>
      </c>
      <c r="S660" s="1" t="s">
        <v>26</v>
      </c>
    </row>
    <row r="661" spans="1:19" x14ac:dyDescent="0.35">
      <c r="A661" s="1" t="s">
        <v>1014</v>
      </c>
      <c r="B661" s="3">
        <v>45852</v>
      </c>
      <c r="C661" s="1" t="s">
        <v>62</v>
      </c>
      <c r="D661" s="1">
        <v>7</v>
      </c>
      <c r="E661" s="1" t="s">
        <v>336</v>
      </c>
      <c r="F661" s="1" t="s">
        <v>76</v>
      </c>
      <c r="G661" s="1" t="s">
        <v>38</v>
      </c>
      <c r="H661" s="1" t="s">
        <v>77</v>
      </c>
      <c r="I661" s="1" t="s">
        <v>78</v>
      </c>
      <c r="J661" s="1">
        <v>1</v>
      </c>
      <c r="K661" s="1">
        <v>145.71</v>
      </c>
      <c r="L661" s="1">
        <v>0.2</v>
      </c>
      <c r="M661" s="1">
        <v>145.71</v>
      </c>
      <c r="N661" s="1">
        <v>29.141999999999999</v>
      </c>
      <c r="O661" s="1">
        <v>116.568</v>
      </c>
      <c r="P661" s="1">
        <v>83.928960000000004</v>
      </c>
      <c r="Q661" s="1">
        <v>32.639040000000008</v>
      </c>
      <c r="R661" s="1">
        <v>28</v>
      </c>
      <c r="S661" s="1" t="s">
        <v>33</v>
      </c>
    </row>
    <row r="662" spans="1:19" x14ac:dyDescent="0.35">
      <c r="A662" s="1" t="s">
        <v>1015</v>
      </c>
      <c r="B662" s="3">
        <v>46008</v>
      </c>
      <c r="C662" s="1" t="s">
        <v>67</v>
      </c>
      <c r="D662" s="1">
        <v>12</v>
      </c>
      <c r="E662" s="1" t="s">
        <v>993</v>
      </c>
      <c r="F662" s="1" t="s">
        <v>22</v>
      </c>
      <c r="G662" s="1" t="s">
        <v>64</v>
      </c>
      <c r="H662" s="1" t="s">
        <v>24</v>
      </c>
      <c r="I662" s="1" t="s">
        <v>139</v>
      </c>
      <c r="J662" s="1">
        <v>7</v>
      </c>
      <c r="K662" s="1">
        <v>1713.92</v>
      </c>
      <c r="L662" s="1">
        <v>0.05</v>
      </c>
      <c r="M662" s="1">
        <v>11997.44</v>
      </c>
      <c r="N662" s="1">
        <v>599.87200000000007</v>
      </c>
      <c r="O662" s="1">
        <v>11397.567999999999</v>
      </c>
      <c r="P662" s="1">
        <v>6268.6624000000011</v>
      </c>
      <c r="Q662" s="1">
        <v>5128.9056</v>
      </c>
      <c r="R662" s="1">
        <v>44.999999999999993</v>
      </c>
      <c r="S662" s="1" t="s">
        <v>60</v>
      </c>
    </row>
    <row r="663" spans="1:19" x14ac:dyDescent="0.35">
      <c r="A663" s="1" t="s">
        <v>1016</v>
      </c>
      <c r="B663" s="3">
        <v>45694</v>
      </c>
      <c r="C663" s="1" t="s">
        <v>42</v>
      </c>
      <c r="D663" s="1">
        <v>2</v>
      </c>
      <c r="E663" s="1" t="s">
        <v>240</v>
      </c>
      <c r="F663" s="1" t="s">
        <v>58</v>
      </c>
      <c r="G663" s="1" t="s">
        <v>38</v>
      </c>
      <c r="H663" s="1" t="s">
        <v>31</v>
      </c>
      <c r="I663" s="1" t="s">
        <v>65</v>
      </c>
      <c r="J663" s="1">
        <v>3</v>
      </c>
      <c r="K663" s="1">
        <v>1206.18</v>
      </c>
      <c r="L663" s="1">
        <v>0.05</v>
      </c>
      <c r="M663" s="1">
        <v>3618.54</v>
      </c>
      <c r="N663" s="1">
        <v>180.92699999999999</v>
      </c>
      <c r="O663" s="1">
        <v>3437.6129999999998</v>
      </c>
      <c r="P663" s="1">
        <v>1787.5587599999999</v>
      </c>
      <c r="Q663" s="1">
        <v>1650.0542399999999</v>
      </c>
      <c r="R663" s="1">
        <v>48</v>
      </c>
      <c r="S663" s="1" t="s">
        <v>33</v>
      </c>
    </row>
    <row r="664" spans="1:19" x14ac:dyDescent="0.35">
      <c r="A664" s="1" t="s">
        <v>1017</v>
      </c>
      <c r="B664" s="3">
        <v>45664</v>
      </c>
      <c r="C664" s="1" t="s">
        <v>193</v>
      </c>
      <c r="D664" s="1">
        <v>1</v>
      </c>
      <c r="E664" s="1" t="s">
        <v>833</v>
      </c>
      <c r="F664" s="1" t="s">
        <v>111</v>
      </c>
      <c r="G664" s="1" t="s">
        <v>38</v>
      </c>
      <c r="H664" s="1" t="s">
        <v>39</v>
      </c>
      <c r="I664" s="1" t="s">
        <v>214</v>
      </c>
      <c r="J664" s="1">
        <v>4</v>
      </c>
      <c r="K664" s="1">
        <v>12292.18</v>
      </c>
      <c r="L664" s="1">
        <v>0.1</v>
      </c>
      <c r="M664" s="1">
        <v>49168.72</v>
      </c>
      <c r="N664" s="1">
        <v>4916.8720000000003</v>
      </c>
      <c r="O664" s="1">
        <v>44251.847999999998</v>
      </c>
      <c r="P664" s="1">
        <v>34516.441440000002</v>
      </c>
      <c r="Q664" s="1">
        <v>9735.4065599999958</v>
      </c>
      <c r="R664" s="1">
        <v>21.999999999999989</v>
      </c>
      <c r="S664" s="1" t="s">
        <v>73</v>
      </c>
    </row>
    <row r="665" spans="1:19" x14ac:dyDescent="0.35">
      <c r="A665" s="1" t="s">
        <v>1018</v>
      </c>
      <c r="B665" s="3">
        <v>45954</v>
      </c>
      <c r="C665" s="1" t="s">
        <v>35</v>
      </c>
      <c r="D665" s="1">
        <v>10</v>
      </c>
      <c r="E665" s="1" t="s">
        <v>844</v>
      </c>
      <c r="F665" s="1" t="s">
        <v>69</v>
      </c>
      <c r="G665" s="1" t="s">
        <v>64</v>
      </c>
      <c r="H665" s="1" t="s">
        <v>31</v>
      </c>
      <c r="I665" s="1" t="s">
        <v>167</v>
      </c>
      <c r="J665" s="1">
        <v>7</v>
      </c>
      <c r="K665" s="1">
        <v>3140.76</v>
      </c>
      <c r="L665" s="1">
        <v>0.1</v>
      </c>
      <c r="M665" s="1">
        <v>21985.32</v>
      </c>
      <c r="N665" s="1">
        <v>2198.5320000000002</v>
      </c>
      <c r="O665" s="1">
        <v>19786.788</v>
      </c>
      <c r="P665" s="1">
        <v>10289.12976</v>
      </c>
      <c r="Q665" s="1">
        <v>9497.6582400000007</v>
      </c>
      <c r="R665" s="1">
        <v>48.000000000000007</v>
      </c>
      <c r="S665" s="1" t="s">
        <v>33</v>
      </c>
    </row>
    <row r="666" spans="1:19" x14ac:dyDescent="0.35">
      <c r="A666" s="1" t="s">
        <v>1019</v>
      </c>
      <c r="B666" s="3">
        <v>45888</v>
      </c>
      <c r="C666" s="1" t="s">
        <v>113</v>
      </c>
      <c r="D666" s="1">
        <v>8</v>
      </c>
      <c r="E666" s="1" t="s">
        <v>196</v>
      </c>
      <c r="F666" s="1" t="s">
        <v>111</v>
      </c>
      <c r="G666" s="1" t="s">
        <v>23</v>
      </c>
      <c r="H666" s="1" t="s">
        <v>77</v>
      </c>
      <c r="I666" s="1" t="s">
        <v>148</v>
      </c>
      <c r="J666" s="1">
        <v>5</v>
      </c>
      <c r="K666" s="1">
        <v>930.75</v>
      </c>
      <c r="L666" s="1">
        <v>0</v>
      </c>
      <c r="M666" s="1">
        <v>4653.75</v>
      </c>
      <c r="N666" s="1">
        <v>0</v>
      </c>
      <c r="O666" s="1">
        <v>4653.75</v>
      </c>
      <c r="P666" s="1">
        <v>3350.7</v>
      </c>
      <c r="Q666" s="1">
        <v>1303.05</v>
      </c>
      <c r="R666" s="1">
        <v>28</v>
      </c>
      <c r="S666" s="1" t="s">
        <v>33</v>
      </c>
    </row>
    <row r="667" spans="1:19" x14ac:dyDescent="0.35">
      <c r="A667" s="1" t="s">
        <v>1020</v>
      </c>
      <c r="B667" s="3">
        <v>45953</v>
      </c>
      <c r="C667" s="1" t="s">
        <v>35</v>
      </c>
      <c r="D667" s="1">
        <v>10</v>
      </c>
      <c r="E667" s="1" t="s">
        <v>119</v>
      </c>
      <c r="F667" s="1" t="s">
        <v>30</v>
      </c>
      <c r="G667" s="1" t="s">
        <v>64</v>
      </c>
      <c r="H667" s="1" t="s">
        <v>77</v>
      </c>
      <c r="I667" s="1" t="s">
        <v>78</v>
      </c>
      <c r="J667" s="1">
        <v>3</v>
      </c>
      <c r="K667" s="1">
        <v>81.17</v>
      </c>
      <c r="L667" s="1">
        <v>0.2</v>
      </c>
      <c r="M667" s="1">
        <v>243.51</v>
      </c>
      <c r="N667" s="1">
        <v>48.701999999999998</v>
      </c>
      <c r="O667" s="1">
        <v>194.80799999999999</v>
      </c>
      <c r="P667" s="1">
        <v>140.26176000000001</v>
      </c>
      <c r="Q667" s="1">
        <v>54.546240000000012</v>
      </c>
      <c r="R667" s="1">
        <v>28.000000000000011</v>
      </c>
      <c r="S667" s="1" t="s">
        <v>26</v>
      </c>
    </row>
    <row r="668" spans="1:19" x14ac:dyDescent="0.35">
      <c r="A668" s="1" t="s">
        <v>1021</v>
      </c>
      <c r="B668" s="3">
        <v>45949</v>
      </c>
      <c r="C668" s="1" t="s">
        <v>35</v>
      </c>
      <c r="D668" s="1">
        <v>10</v>
      </c>
      <c r="E668" s="1" t="s">
        <v>1022</v>
      </c>
      <c r="F668" s="1" t="s">
        <v>37</v>
      </c>
      <c r="G668" s="1" t="s">
        <v>38</v>
      </c>
      <c r="H668" s="1" t="s">
        <v>99</v>
      </c>
      <c r="I668" s="1" t="s">
        <v>120</v>
      </c>
      <c r="J668" s="1">
        <v>4</v>
      </c>
      <c r="K668" s="1">
        <v>11257.19</v>
      </c>
      <c r="L668" s="1">
        <v>0.25</v>
      </c>
      <c r="M668" s="1">
        <v>45028.76</v>
      </c>
      <c r="N668" s="1">
        <v>11257.19</v>
      </c>
      <c r="O668" s="1">
        <v>33771.57</v>
      </c>
      <c r="P668" s="1">
        <v>22964.667600000001</v>
      </c>
      <c r="Q668" s="1">
        <v>10806.902400000001</v>
      </c>
      <c r="R668" s="1">
        <v>32</v>
      </c>
      <c r="S668" s="1" t="s">
        <v>33</v>
      </c>
    </row>
    <row r="669" spans="1:19" x14ac:dyDescent="0.35">
      <c r="A669" s="1" t="s">
        <v>1023</v>
      </c>
      <c r="B669" s="3">
        <v>45784</v>
      </c>
      <c r="C669" s="1" t="s">
        <v>97</v>
      </c>
      <c r="D669" s="1">
        <v>5</v>
      </c>
      <c r="E669" s="1" t="s">
        <v>175</v>
      </c>
      <c r="F669" s="1" t="s">
        <v>111</v>
      </c>
      <c r="G669" s="1" t="s">
        <v>64</v>
      </c>
      <c r="H669" s="1" t="s">
        <v>77</v>
      </c>
      <c r="I669" s="1" t="s">
        <v>201</v>
      </c>
      <c r="J669" s="1">
        <v>7</v>
      </c>
      <c r="K669" s="1">
        <v>108.08</v>
      </c>
      <c r="L669" s="1">
        <v>0.1</v>
      </c>
      <c r="M669" s="1">
        <v>756.56</v>
      </c>
      <c r="N669" s="1">
        <v>75.655999999999992</v>
      </c>
      <c r="O669" s="1">
        <v>680.904</v>
      </c>
      <c r="P669" s="1">
        <v>490.25088</v>
      </c>
      <c r="Q669" s="1">
        <v>190.65312</v>
      </c>
      <c r="R669" s="1">
        <v>28</v>
      </c>
      <c r="S669" s="1" t="s">
        <v>60</v>
      </c>
    </row>
    <row r="670" spans="1:19" x14ac:dyDescent="0.35">
      <c r="A670" s="1" t="s">
        <v>1024</v>
      </c>
      <c r="B670" s="3">
        <v>45750</v>
      </c>
      <c r="C670" s="1" t="s">
        <v>20</v>
      </c>
      <c r="D670" s="1">
        <v>4</v>
      </c>
      <c r="E670" s="1" t="s">
        <v>470</v>
      </c>
      <c r="F670" s="1" t="s">
        <v>69</v>
      </c>
      <c r="G670" s="1" t="s">
        <v>64</v>
      </c>
      <c r="H670" s="1" t="s">
        <v>53</v>
      </c>
      <c r="I670" s="1" t="s">
        <v>128</v>
      </c>
      <c r="J670" s="1">
        <v>1</v>
      </c>
      <c r="K670" s="1">
        <v>2497.1</v>
      </c>
      <c r="L670" s="1">
        <v>0</v>
      </c>
      <c r="M670" s="1">
        <v>2497.1</v>
      </c>
      <c r="N670" s="1">
        <v>0</v>
      </c>
      <c r="O670" s="1">
        <v>2497.1</v>
      </c>
      <c r="P670" s="1">
        <v>1448.318</v>
      </c>
      <c r="Q670" s="1">
        <v>1048.7819999999999</v>
      </c>
      <c r="R670" s="1">
        <v>42.000000000000007</v>
      </c>
      <c r="S670" s="1" t="s">
        <v>60</v>
      </c>
    </row>
    <row r="671" spans="1:19" x14ac:dyDescent="0.35">
      <c r="A671" s="1" t="s">
        <v>1025</v>
      </c>
      <c r="B671" s="3">
        <v>45784</v>
      </c>
      <c r="C671" s="1" t="s">
        <v>97</v>
      </c>
      <c r="D671" s="1">
        <v>5</v>
      </c>
      <c r="E671" s="1" t="s">
        <v>422</v>
      </c>
      <c r="F671" s="1" t="s">
        <v>47</v>
      </c>
      <c r="G671" s="1" t="s">
        <v>64</v>
      </c>
      <c r="H671" s="1" t="s">
        <v>31</v>
      </c>
      <c r="I671" s="1" t="s">
        <v>190</v>
      </c>
      <c r="J671" s="1">
        <v>6</v>
      </c>
      <c r="K671" s="1">
        <v>410.87</v>
      </c>
      <c r="L671" s="1">
        <v>0</v>
      </c>
      <c r="M671" s="1">
        <v>2465.2199999999998</v>
      </c>
      <c r="N671" s="1">
        <v>0</v>
      </c>
      <c r="O671" s="1">
        <v>2465.2199999999998</v>
      </c>
      <c r="P671" s="1">
        <v>1281.9143999999999</v>
      </c>
      <c r="Q671" s="1">
        <v>1183.3055999999999</v>
      </c>
      <c r="R671" s="1">
        <v>48</v>
      </c>
      <c r="S671" s="1" t="s">
        <v>93</v>
      </c>
    </row>
    <row r="672" spans="1:19" x14ac:dyDescent="0.35">
      <c r="A672" s="1" t="s">
        <v>1026</v>
      </c>
      <c r="B672" s="3">
        <v>45744</v>
      </c>
      <c r="C672" s="1" t="s">
        <v>28</v>
      </c>
      <c r="D672" s="1">
        <v>3</v>
      </c>
      <c r="E672" s="1" t="s">
        <v>495</v>
      </c>
      <c r="F672" s="1" t="s">
        <v>37</v>
      </c>
      <c r="G672" s="1" t="s">
        <v>23</v>
      </c>
      <c r="H672" s="1" t="s">
        <v>39</v>
      </c>
      <c r="I672" s="1" t="s">
        <v>40</v>
      </c>
      <c r="J672" s="1">
        <v>1</v>
      </c>
      <c r="K672" s="1">
        <v>43637.32</v>
      </c>
      <c r="L672" s="1">
        <v>0.25</v>
      </c>
      <c r="M672" s="1">
        <v>43637.32</v>
      </c>
      <c r="N672" s="1">
        <v>10909.33</v>
      </c>
      <c r="O672" s="1">
        <v>32727.99</v>
      </c>
      <c r="P672" s="1">
        <v>25527.832200000001</v>
      </c>
      <c r="Q672" s="1">
        <v>7200.1577999999972</v>
      </c>
      <c r="R672" s="1">
        <v>21.999999999999989</v>
      </c>
      <c r="S672" s="1" t="s">
        <v>33</v>
      </c>
    </row>
    <row r="673" spans="1:19" x14ac:dyDescent="0.35">
      <c r="A673" s="1" t="s">
        <v>1027</v>
      </c>
      <c r="B673" s="3">
        <v>45986</v>
      </c>
      <c r="C673" s="1" t="s">
        <v>56</v>
      </c>
      <c r="D673" s="1">
        <v>11</v>
      </c>
      <c r="E673" s="1" t="s">
        <v>614</v>
      </c>
      <c r="F673" s="1" t="s">
        <v>69</v>
      </c>
      <c r="G673" s="1" t="s">
        <v>64</v>
      </c>
      <c r="H673" s="1" t="s">
        <v>39</v>
      </c>
      <c r="I673" s="1" t="s">
        <v>155</v>
      </c>
      <c r="J673" s="1">
        <v>3</v>
      </c>
      <c r="K673" s="1">
        <v>22685.02</v>
      </c>
      <c r="L673" s="1">
        <v>0.1</v>
      </c>
      <c r="M673" s="1">
        <v>68055.06</v>
      </c>
      <c r="N673" s="1">
        <v>6805.5060000000003</v>
      </c>
      <c r="O673" s="1">
        <v>61249.553999999996</v>
      </c>
      <c r="P673" s="1">
        <v>47774.652119999999</v>
      </c>
      <c r="Q673" s="1">
        <v>13474.901879999999</v>
      </c>
      <c r="R673" s="1">
        <v>22</v>
      </c>
      <c r="S673" s="1" t="s">
        <v>73</v>
      </c>
    </row>
    <row r="674" spans="1:19" x14ac:dyDescent="0.35">
      <c r="A674" s="1" t="s">
        <v>1028</v>
      </c>
      <c r="B674" s="3">
        <v>45903</v>
      </c>
      <c r="C674" s="1" t="s">
        <v>50</v>
      </c>
      <c r="D674" s="1">
        <v>9</v>
      </c>
      <c r="E674" s="1" t="s">
        <v>675</v>
      </c>
      <c r="F674" s="1" t="s">
        <v>58</v>
      </c>
      <c r="G674" s="1" t="s">
        <v>64</v>
      </c>
      <c r="H674" s="1" t="s">
        <v>53</v>
      </c>
      <c r="I674" s="1" t="s">
        <v>185</v>
      </c>
      <c r="J674" s="1">
        <v>7</v>
      </c>
      <c r="K674" s="1">
        <v>1379.98</v>
      </c>
      <c r="L674" s="1">
        <v>0.1</v>
      </c>
      <c r="M674" s="1">
        <v>9659.86</v>
      </c>
      <c r="N674" s="1">
        <v>965.9860000000001</v>
      </c>
      <c r="O674" s="1">
        <v>8693.8739999999998</v>
      </c>
      <c r="P674" s="1">
        <v>5042.4469199999994</v>
      </c>
      <c r="Q674" s="1">
        <v>3651.4270799999999</v>
      </c>
      <c r="R674" s="1">
        <v>42.000000000000007</v>
      </c>
      <c r="S674" s="1" t="s">
        <v>33</v>
      </c>
    </row>
    <row r="675" spans="1:19" x14ac:dyDescent="0.35">
      <c r="A675" s="1" t="s">
        <v>1029</v>
      </c>
      <c r="B675" s="3">
        <v>45964</v>
      </c>
      <c r="C675" s="1" t="s">
        <v>56</v>
      </c>
      <c r="D675" s="1">
        <v>11</v>
      </c>
      <c r="E675" s="1" t="s">
        <v>299</v>
      </c>
      <c r="F675" s="1" t="s">
        <v>47</v>
      </c>
      <c r="G675" s="1" t="s">
        <v>64</v>
      </c>
      <c r="H675" s="1" t="s">
        <v>77</v>
      </c>
      <c r="I675" s="1" t="s">
        <v>90</v>
      </c>
      <c r="J675" s="1">
        <v>5</v>
      </c>
      <c r="K675" s="1">
        <v>642.44000000000005</v>
      </c>
      <c r="L675" s="1">
        <v>0.3</v>
      </c>
      <c r="M675" s="1">
        <v>3212.2</v>
      </c>
      <c r="N675" s="1">
        <v>963.66000000000008</v>
      </c>
      <c r="O675" s="1">
        <v>2248.54</v>
      </c>
      <c r="P675" s="1">
        <v>1618.9487999999999</v>
      </c>
      <c r="Q675" s="1">
        <v>629.59120000000007</v>
      </c>
      <c r="R675" s="1">
        <v>28</v>
      </c>
      <c r="S675" s="1" t="s">
        <v>26</v>
      </c>
    </row>
    <row r="676" spans="1:19" x14ac:dyDescent="0.35">
      <c r="A676" s="1" t="s">
        <v>1030</v>
      </c>
      <c r="B676" s="3">
        <v>45936</v>
      </c>
      <c r="C676" s="1" t="s">
        <v>35</v>
      </c>
      <c r="D676" s="1">
        <v>10</v>
      </c>
      <c r="E676" s="1" t="s">
        <v>354</v>
      </c>
      <c r="F676" s="1" t="s">
        <v>30</v>
      </c>
      <c r="G676" s="1" t="s">
        <v>64</v>
      </c>
      <c r="H676" s="1" t="s">
        <v>39</v>
      </c>
      <c r="I676" s="1" t="s">
        <v>40</v>
      </c>
      <c r="J676" s="1">
        <v>1</v>
      </c>
      <c r="K676" s="1">
        <v>27776.66</v>
      </c>
      <c r="L676" s="1">
        <v>0.1</v>
      </c>
      <c r="M676" s="1">
        <v>27776.66</v>
      </c>
      <c r="N676" s="1">
        <v>2777.6660000000002</v>
      </c>
      <c r="O676" s="1">
        <v>24998.993999999999</v>
      </c>
      <c r="P676" s="1">
        <v>19499.215319999999</v>
      </c>
      <c r="Q676" s="1">
        <v>5499.7786799999994</v>
      </c>
      <c r="R676" s="1">
        <v>22</v>
      </c>
      <c r="S676" s="1" t="s">
        <v>26</v>
      </c>
    </row>
    <row r="677" spans="1:19" x14ac:dyDescent="0.35">
      <c r="A677" s="1" t="s">
        <v>1031</v>
      </c>
      <c r="B677" s="3">
        <v>45868</v>
      </c>
      <c r="C677" s="1" t="s">
        <v>62</v>
      </c>
      <c r="D677" s="1">
        <v>7</v>
      </c>
      <c r="E677" s="1" t="s">
        <v>701</v>
      </c>
      <c r="F677" s="1" t="s">
        <v>76</v>
      </c>
      <c r="G677" s="1" t="s">
        <v>23</v>
      </c>
      <c r="H677" s="1" t="s">
        <v>31</v>
      </c>
      <c r="I677" s="1" t="s">
        <v>190</v>
      </c>
      <c r="J677" s="1">
        <v>4</v>
      </c>
      <c r="K677" s="1">
        <v>2528.12</v>
      </c>
      <c r="L677" s="1">
        <v>0.05</v>
      </c>
      <c r="M677" s="1">
        <v>10112.48</v>
      </c>
      <c r="N677" s="1">
        <v>505.62400000000002</v>
      </c>
      <c r="O677" s="1">
        <v>9606.8559999999998</v>
      </c>
      <c r="P677" s="1">
        <v>4995.5651200000002</v>
      </c>
      <c r="Q677" s="1">
        <v>4611.2908799999996</v>
      </c>
      <c r="R677" s="1">
        <v>48</v>
      </c>
      <c r="S677" s="1" t="s">
        <v>26</v>
      </c>
    </row>
    <row r="678" spans="1:19" x14ac:dyDescent="0.35">
      <c r="A678" s="1" t="s">
        <v>1032</v>
      </c>
      <c r="B678" s="3">
        <v>45753</v>
      </c>
      <c r="C678" s="1" t="s">
        <v>20</v>
      </c>
      <c r="D678" s="1">
        <v>4</v>
      </c>
      <c r="E678" s="1" t="s">
        <v>356</v>
      </c>
      <c r="F678" s="1" t="s">
        <v>47</v>
      </c>
      <c r="G678" s="1" t="s">
        <v>38</v>
      </c>
      <c r="H678" s="1" t="s">
        <v>77</v>
      </c>
      <c r="I678" s="1" t="s">
        <v>148</v>
      </c>
      <c r="J678" s="1">
        <v>7</v>
      </c>
      <c r="K678" s="1">
        <v>637.76</v>
      </c>
      <c r="L678" s="1">
        <v>0.1</v>
      </c>
      <c r="M678" s="1">
        <v>4464.32</v>
      </c>
      <c r="N678" s="1">
        <v>446.43200000000002</v>
      </c>
      <c r="O678" s="1">
        <v>4017.8879999999999</v>
      </c>
      <c r="P678" s="1">
        <v>2892.8793599999999</v>
      </c>
      <c r="Q678" s="1">
        <v>1125.00864</v>
      </c>
      <c r="R678" s="1">
        <v>28</v>
      </c>
      <c r="S678" s="1" t="s">
        <v>93</v>
      </c>
    </row>
    <row r="679" spans="1:19" x14ac:dyDescent="0.35">
      <c r="A679" s="1" t="s">
        <v>1033</v>
      </c>
      <c r="B679" s="3">
        <v>45739</v>
      </c>
      <c r="C679" s="1" t="s">
        <v>28</v>
      </c>
      <c r="D679" s="1">
        <v>3</v>
      </c>
      <c r="E679" s="1" t="s">
        <v>246</v>
      </c>
      <c r="F679" s="1" t="s">
        <v>43</v>
      </c>
      <c r="G679" s="1" t="s">
        <v>38</v>
      </c>
      <c r="H679" s="1" t="s">
        <v>24</v>
      </c>
      <c r="I679" s="1" t="s">
        <v>117</v>
      </c>
      <c r="J679" s="1">
        <v>6</v>
      </c>
      <c r="K679" s="1">
        <v>5592.05</v>
      </c>
      <c r="L679" s="1">
        <v>0.15</v>
      </c>
      <c r="M679" s="1">
        <v>33552.300000000003</v>
      </c>
      <c r="N679" s="1">
        <v>5032.8450000000003</v>
      </c>
      <c r="O679" s="1">
        <v>28519.455000000002</v>
      </c>
      <c r="P679" s="1">
        <v>15685.70025</v>
      </c>
      <c r="Q679" s="1">
        <v>12833.75475</v>
      </c>
      <c r="R679" s="1">
        <v>44.999999999999993</v>
      </c>
      <c r="S679" s="1" t="s">
        <v>26</v>
      </c>
    </row>
    <row r="680" spans="1:19" x14ac:dyDescent="0.35">
      <c r="A680" s="1" t="s">
        <v>1034</v>
      </c>
      <c r="B680" s="3">
        <v>45692</v>
      </c>
      <c r="C680" s="1" t="s">
        <v>42</v>
      </c>
      <c r="D680" s="1">
        <v>2</v>
      </c>
      <c r="E680" s="1" t="s">
        <v>1035</v>
      </c>
      <c r="F680" s="1" t="s">
        <v>58</v>
      </c>
      <c r="G680" s="1" t="s">
        <v>64</v>
      </c>
      <c r="H680" s="1" t="s">
        <v>99</v>
      </c>
      <c r="I680" s="1" t="s">
        <v>108</v>
      </c>
      <c r="J680" s="1">
        <v>5</v>
      </c>
      <c r="K680" s="1">
        <v>14064</v>
      </c>
      <c r="L680" s="1">
        <v>0.15</v>
      </c>
      <c r="M680" s="1">
        <v>70320</v>
      </c>
      <c r="N680" s="1">
        <v>10548</v>
      </c>
      <c r="O680" s="1">
        <v>59772</v>
      </c>
      <c r="P680" s="1">
        <v>40644.960000000006</v>
      </c>
      <c r="Q680" s="1">
        <v>19127.03999999999</v>
      </c>
      <c r="R680" s="1">
        <v>31.999999999999989</v>
      </c>
      <c r="S680" s="1" t="s">
        <v>33</v>
      </c>
    </row>
    <row r="681" spans="1:19" x14ac:dyDescent="0.35">
      <c r="A681" s="1" t="s">
        <v>1036</v>
      </c>
      <c r="B681" s="3">
        <v>45851</v>
      </c>
      <c r="C681" s="1" t="s">
        <v>62</v>
      </c>
      <c r="D681" s="1">
        <v>7</v>
      </c>
      <c r="E681" s="1" t="s">
        <v>923</v>
      </c>
      <c r="F681" s="1" t="s">
        <v>22</v>
      </c>
      <c r="G681" s="1" t="s">
        <v>38</v>
      </c>
      <c r="H681" s="1" t="s">
        <v>53</v>
      </c>
      <c r="I681" s="1" t="s">
        <v>185</v>
      </c>
      <c r="J681" s="1">
        <v>6</v>
      </c>
      <c r="K681" s="1">
        <v>1750.65</v>
      </c>
      <c r="L681" s="1">
        <v>0.05</v>
      </c>
      <c r="M681" s="1">
        <v>10503.9</v>
      </c>
      <c r="N681" s="1">
        <v>525.19500000000005</v>
      </c>
      <c r="O681" s="1">
        <v>9978.7050000000017</v>
      </c>
      <c r="P681" s="1">
        <v>5787.648900000001</v>
      </c>
      <c r="Q681" s="1">
        <v>4191.0561000000007</v>
      </c>
      <c r="R681" s="1">
        <v>42</v>
      </c>
      <c r="S681" s="1" t="s">
        <v>60</v>
      </c>
    </row>
    <row r="682" spans="1:19" x14ac:dyDescent="0.35">
      <c r="A682" s="1" t="s">
        <v>1037</v>
      </c>
      <c r="B682" s="3">
        <v>45792</v>
      </c>
      <c r="C682" s="1" t="s">
        <v>97</v>
      </c>
      <c r="D682" s="1">
        <v>5</v>
      </c>
      <c r="E682" s="1" t="s">
        <v>331</v>
      </c>
      <c r="F682" s="1" t="s">
        <v>37</v>
      </c>
      <c r="G682" s="1" t="s">
        <v>23</v>
      </c>
      <c r="H682" s="1" t="s">
        <v>39</v>
      </c>
      <c r="I682" s="1" t="s">
        <v>234</v>
      </c>
      <c r="J682" s="1">
        <v>7</v>
      </c>
      <c r="K682" s="1">
        <v>35988.129999999997</v>
      </c>
      <c r="L682" s="1">
        <v>0.1</v>
      </c>
      <c r="M682" s="1">
        <v>251916.91</v>
      </c>
      <c r="N682" s="1">
        <v>25191.690999999999</v>
      </c>
      <c r="O682" s="1">
        <v>226725.21900000001</v>
      </c>
      <c r="P682" s="1">
        <v>176845.67082</v>
      </c>
      <c r="Q682" s="1">
        <v>49879.548179999983</v>
      </c>
      <c r="R682" s="1">
        <v>21.999999999999989</v>
      </c>
      <c r="S682" s="1" t="s">
        <v>33</v>
      </c>
    </row>
    <row r="683" spans="1:19" x14ac:dyDescent="0.35">
      <c r="A683" s="1" t="s">
        <v>1038</v>
      </c>
      <c r="B683" s="3">
        <v>46016</v>
      </c>
      <c r="C683" s="1" t="s">
        <v>67</v>
      </c>
      <c r="D683" s="1">
        <v>12</v>
      </c>
      <c r="E683" s="1" t="s">
        <v>981</v>
      </c>
      <c r="F683" s="1" t="s">
        <v>76</v>
      </c>
      <c r="G683" s="1" t="s">
        <v>38</v>
      </c>
      <c r="H683" s="1" t="s">
        <v>99</v>
      </c>
      <c r="I683" s="1" t="s">
        <v>223</v>
      </c>
      <c r="J683" s="1">
        <v>2</v>
      </c>
      <c r="K683" s="1">
        <v>12506.04</v>
      </c>
      <c r="L683" s="1">
        <v>0.15</v>
      </c>
      <c r="M683" s="1">
        <v>25012.080000000002</v>
      </c>
      <c r="N683" s="1">
        <v>3751.8119999999999</v>
      </c>
      <c r="O683" s="1">
        <v>21260.268</v>
      </c>
      <c r="P683" s="1">
        <v>14456.982239999999</v>
      </c>
      <c r="Q683" s="1">
        <v>6803.2857600000007</v>
      </c>
      <c r="R683" s="1">
        <v>32</v>
      </c>
      <c r="S683" s="1" t="s">
        <v>26</v>
      </c>
    </row>
    <row r="684" spans="1:19" x14ac:dyDescent="0.35">
      <c r="A684" s="1" t="s">
        <v>1039</v>
      </c>
      <c r="B684" s="3">
        <v>45909</v>
      </c>
      <c r="C684" s="1" t="s">
        <v>50</v>
      </c>
      <c r="D684" s="1">
        <v>9</v>
      </c>
      <c r="E684" s="1" t="s">
        <v>624</v>
      </c>
      <c r="F684" s="1" t="s">
        <v>37</v>
      </c>
      <c r="G684" s="1" t="s">
        <v>38</v>
      </c>
      <c r="H684" s="1" t="s">
        <v>53</v>
      </c>
      <c r="I684" s="1" t="s">
        <v>54</v>
      </c>
      <c r="J684" s="1">
        <v>7</v>
      </c>
      <c r="K684" s="1">
        <v>1290.5</v>
      </c>
      <c r="L684" s="1">
        <v>0</v>
      </c>
      <c r="M684" s="1">
        <v>9033.5</v>
      </c>
      <c r="N684" s="1">
        <v>0</v>
      </c>
      <c r="O684" s="1">
        <v>9033.5</v>
      </c>
      <c r="P684" s="1">
        <v>5239.4299999999994</v>
      </c>
      <c r="Q684" s="1">
        <v>3794.0700000000011</v>
      </c>
      <c r="R684" s="1">
        <v>42.000000000000007</v>
      </c>
      <c r="S684" s="1" t="s">
        <v>33</v>
      </c>
    </row>
    <row r="685" spans="1:19" x14ac:dyDescent="0.35">
      <c r="A685" s="1" t="s">
        <v>1040</v>
      </c>
      <c r="B685" s="3">
        <v>45928</v>
      </c>
      <c r="C685" s="1" t="s">
        <v>50</v>
      </c>
      <c r="D685" s="1">
        <v>9</v>
      </c>
      <c r="E685" s="1" t="s">
        <v>721</v>
      </c>
      <c r="F685" s="1" t="s">
        <v>52</v>
      </c>
      <c r="G685" s="1" t="s">
        <v>23</v>
      </c>
      <c r="H685" s="1" t="s">
        <v>77</v>
      </c>
      <c r="I685" s="1" t="s">
        <v>201</v>
      </c>
      <c r="J685" s="1">
        <v>6</v>
      </c>
      <c r="K685" s="1">
        <v>1020.38</v>
      </c>
      <c r="L685" s="1">
        <v>0.1</v>
      </c>
      <c r="M685" s="1">
        <v>6122.28</v>
      </c>
      <c r="N685" s="1">
        <v>612.22799999999995</v>
      </c>
      <c r="O685" s="1">
        <v>5510.0519999999997</v>
      </c>
      <c r="P685" s="1">
        <v>3967.237439999999</v>
      </c>
      <c r="Q685" s="1">
        <v>1542.81456</v>
      </c>
      <c r="R685" s="1">
        <v>28.000000000000011</v>
      </c>
      <c r="S685" s="1" t="s">
        <v>26</v>
      </c>
    </row>
    <row r="686" spans="1:19" x14ac:dyDescent="0.35">
      <c r="A686" s="1" t="s">
        <v>1041</v>
      </c>
      <c r="B686" s="3">
        <v>45724</v>
      </c>
      <c r="C686" s="1" t="s">
        <v>28</v>
      </c>
      <c r="D686" s="1">
        <v>3</v>
      </c>
      <c r="E686" s="1" t="s">
        <v>1042</v>
      </c>
      <c r="F686" s="1" t="s">
        <v>30</v>
      </c>
      <c r="G686" s="1" t="s">
        <v>23</v>
      </c>
      <c r="H686" s="1" t="s">
        <v>31</v>
      </c>
      <c r="I686" s="1" t="s">
        <v>59</v>
      </c>
      <c r="J686" s="1">
        <v>4</v>
      </c>
      <c r="K686" s="1">
        <v>1795.71</v>
      </c>
      <c r="L686" s="1">
        <v>0.05</v>
      </c>
      <c r="M686" s="1">
        <v>7182.84</v>
      </c>
      <c r="N686" s="1">
        <v>359.14200000000011</v>
      </c>
      <c r="O686" s="1">
        <v>6823.6980000000003</v>
      </c>
      <c r="P686" s="1">
        <v>3548.32296</v>
      </c>
      <c r="Q686" s="1">
        <v>3275.3750399999999</v>
      </c>
      <c r="R686" s="1">
        <v>48</v>
      </c>
      <c r="S686" s="1" t="s">
        <v>73</v>
      </c>
    </row>
    <row r="687" spans="1:19" x14ac:dyDescent="0.35">
      <c r="A687" s="1" t="s">
        <v>1043</v>
      </c>
      <c r="B687" s="3">
        <v>45888</v>
      </c>
      <c r="C687" s="1" t="s">
        <v>113</v>
      </c>
      <c r="D687" s="1">
        <v>8</v>
      </c>
      <c r="E687" s="1" t="s">
        <v>679</v>
      </c>
      <c r="F687" s="1" t="s">
        <v>69</v>
      </c>
      <c r="G687" s="1" t="s">
        <v>64</v>
      </c>
      <c r="H687" s="1" t="s">
        <v>39</v>
      </c>
      <c r="I687" s="1" t="s">
        <v>234</v>
      </c>
      <c r="J687" s="1">
        <v>4</v>
      </c>
      <c r="K687" s="1">
        <v>20171.939999999999</v>
      </c>
      <c r="L687" s="1">
        <v>0.1</v>
      </c>
      <c r="M687" s="1">
        <v>80687.759999999995</v>
      </c>
      <c r="N687" s="1">
        <v>8068.7759999999998</v>
      </c>
      <c r="O687" s="1">
        <v>72618.983999999997</v>
      </c>
      <c r="P687" s="1">
        <v>56642.807520000002</v>
      </c>
      <c r="Q687" s="1">
        <v>15976.176479999989</v>
      </c>
      <c r="R687" s="1">
        <v>21.999999999999989</v>
      </c>
      <c r="S687" s="1" t="s">
        <v>26</v>
      </c>
    </row>
    <row r="688" spans="1:19" x14ac:dyDescent="0.35">
      <c r="A688" s="1" t="s">
        <v>1044</v>
      </c>
      <c r="B688" s="3">
        <v>45916</v>
      </c>
      <c r="C688" s="1" t="s">
        <v>50</v>
      </c>
      <c r="D688" s="1">
        <v>9</v>
      </c>
      <c r="E688" s="1" t="s">
        <v>285</v>
      </c>
      <c r="F688" s="1" t="s">
        <v>30</v>
      </c>
      <c r="G688" s="1" t="s">
        <v>64</v>
      </c>
      <c r="H688" s="1" t="s">
        <v>24</v>
      </c>
      <c r="I688" s="1" t="s">
        <v>139</v>
      </c>
      <c r="J688" s="1">
        <v>1</v>
      </c>
      <c r="K688" s="1">
        <v>2168.06</v>
      </c>
      <c r="L688" s="1">
        <v>0.15</v>
      </c>
      <c r="M688" s="1">
        <v>2168.06</v>
      </c>
      <c r="N688" s="1">
        <v>325.209</v>
      </c>
      <c r="O688" s="1">
        <v>1842.8510000000001</v>
      </c>
      <c r="P688" s="1">
        <v>1013.56805</v>
      </c>
      <c r="Q688" s="1">
        <v>829.28294999999991</v>
      </c>
      <c r="R688" s="1">
        <v>44.999999999999993</v>
      </c>
      <c r="S688" s="1" t="s">
        <v>33</v>
      </c>
    </row>
    <row r="689" spans="1:19" x14ac:dyDescent="0.35">
      <c r="A689" s="1" t="s">
        <v>1045</v>
      </c>
      <c r="B689" s="3">
        <v>45959</v>
      </c>
      <c r="C689" s="1" t="s">
        <v>35</v>
      </c>
      <c r="D689" s="1">
        <v>10</v>
      </c>
      <c r="E689" s="1" t="s">
        <v>551</v>
      </c>
      <c r="F689" s="1" t="s">
        <v>76</v>
      </c>
      <c r="G689" s="1" t="s">
        <v>38</v>
      </c>
      <c r="H689" s="1" t="s">
        <v>77</v>
      </c>
      <c r="I689" s="1" t="s">
        <v>148</v>
      </c>
      <c r="J689" s="1">
        <v>5</v>
      </c>
      <c r="K689" s="1">
        <v>463.63</v>
      </c>
      <c r="L689" s="1">
        <v>0.15</v>
      </c>
      <c r="M689" s="1">
        <v>2318.15</v>
      </c>
      <c r="N689" s="1">
        <v>347.72250000000003</v>
      </c>
      <c r="O689" s="1">
        <v>1970.4275</v>
      </c>
      <c r="P689" s="1">
        <v>1418.7077999999999</v>
      </c>
      <c r="Q689" s="1">
        <v>551.7197000000001</v>
      </c>
      <c r="R689" s="1">
        <v>28</v>
      </c>
      <c r="S689" s="1" t="s">
        <v>60</v>
      </c>
    </row>
    <row r="690" spans="1:19" x14ac:dyDescent="0.35">
      <c r="A690" s="1" t="s">
        <v>1046</v>
      </c>
      <c r="B690" s="3">
        <v>45915</v>
      </c>
      <c r="C690" s="1" t="s">
        <v>50</v>
      </c>
      <c r="D690" s="1">
        <v>9</v>
      </c>
      <c r="E690" s="1" t="s">
        <v>1047</v>
      </c>
      <c r="F690" s="1" t="s">
        <v>37</v>
      </c>
      <c r="G690" s="1" t="s">
        <v>23</v>
      </c>
      <c r="H690" s="1" t="s">
        <v>39</v>
      </c>
      <c r="I690" s="1" t="s">
        <v>40</v>
      </c>
      <c r="J690" s="1">
        <v>5</v>
      </c>
      <c r="K690" s="1">
        <v>31323.41</v>
      </c>
      <c r="L690" s="1">
        <v>0.1</v>
      </c>
      <c r="M690" s="1">
        <v>156617.04999999999</v>
      </c>
      <c r="N690" s="1">
        <v>15661.705</v>
      </c>
      <c r="O690" s="1">
        <v>140955.345</v>
      </c>
      <c r="P690" s="1">
        <v>109945.1691</v>
      </c>
      <c r="Q690" s="1">
        <v>31010.175899999998</v>
      </c>
      <c r="R690" s="1">
        <v>22</v>
      </c>
      <c r="S690" s="1" t="s">
        <v>26</v>
      </c>
    </row>
    <row r="691" spans="1:19" x14ac:dyDescent="0.35">
      <c r="A691" s="1" t="s">
        <v>1048</v>
      </c>
      <c r="B691" s="3">
        <v>45884</v>
      </c>
      <c r="C691" s="1" t="s">
        <v>113</v>
      </c>
      <c r="D691" s="1">
        <v>8</v>
      </c>
      <c r="E691" s="1" t="s">
        <v>210</v>
      </c>
      <c r="F691" s="1" t="s">
        <v>22</v>
      </c>
      <c r="G691" s="1" t="s">
        <v>64</v>
      </c>
      <c r="H691" s="1" t="s">
        <v>24</v>
      </c>
      <c r="I691" s="1" t="s">
        <v>117</v>
      </c>
      <c r="J691" s="1">
        <v>2</v>
      </c>
      <c r="K691" s="1">
        <v>5911.49</v>
      </c>
      <c r="L691" s="1">
        <v>0.25</v>
      </c>
      <c r="M691" s="1">
        <v>11822.98</v>
      </c>
      <c r="N691" s="1">
        <v>2955.7449999999999</v>
      </c>
      <c r="O691" s="1">
        <v>8867.2350000000006</v>
      </c>
      <c r="P691" s="1">
        <v>4876.9792500000003</v>
      </c>
      <c r="Q691" s="1">
        <v>3990.2557499999998</v>
      </c>
      <c r="R691" s="1">
        <v>45</v>
      </c>
      <c r="S691" s="1" t="s">
        <v>60</v>
      </c>
    </row>
    <row r="692" spans="1:19" x14ac:dyDescent="0.35">
      <c r="A692" s="1" t="s">
        <v>1049</v>
      </c>
      <c r="B692" s="3">
        <v>45838</v>
      </c>
      <c r="C692" s="1" t="s">
        <v>82</v>
      </c>
      <c r="D692" s="1">
        <v>6</v>
      </c>
      <c r="E692" s="1" t="s">
        <v>1050</v>
      </c>
      <c r="F692" s="1" t="s">
        <v>30</v>
      </c>
      <c r="G692" s="1" t="s">
        <v>23</v>
      </c>
      <c r="H692" s="1" t="s">
        <v>31</v>
      </c>
      <c r="I692" s="1" t="s">
        <v>65</v>
      </c>
      <c r="J692" s="1">
        <v>4</v>
      </c>
      <c r="K692" s="1">
        <v>1953.88</v>
      </c>
      <c r="L692" s="1">
        <v>0.1</v>
      </c>
      <c r="M692" s="1">
        <v>7815.52</v>
      </c>
      <c r="N692" s="1">
        <v>781.55200000000013</v>
      </c>
      <c r="O692" s="1">
        <v>7033.9680000000008</v>
      </c>
      <c r="P692" s="1">
        <v>3657.66336</v>
      </c>
      <c r="Q692" s="1">
        <v>3376.3046399999998</v>
      </c>
      <c r="R692" s="1">
        <v>48</v>
      </c>
      <c r="S692" s="1" t="s">
        <v>26</v>
      </c>
    </row>
    <row r="693" spans="1:19" x14ac:dyDescent="0.35">
      <c r="A693" s="1" t="s">
        <v>1051</v>
      </c>
      <c r="B693" s="3">
        <v>45916</v>
      </c>
      <c r="C693" s="1" t="s">
        <v>50</v>
      </c>
      <c r="D693" s="1">
        <v>9</v>
      </c>
      <c r="E693" s="1" t="s">
        <v>796</v>
      </c>
      <c r="F693" s="1" t="s">
        <v>37</v>
      </c>
      <c r="G693" s="1" t="s">
        <v>23</v>
      </c>
      <c r="H693" s="1" t="s">
        <v>31</v>
      </c>
      <c r="I693" s="1" t="s">
        <v>59</v>
      </c>
      <c r="J693" s="1">
        <v>2</v>
      </c>
      <c r="K693" s="1">
        <v>2111.73</v>
      </c>
      <c r="L693" s="1">
        <v>0.25</v>
      </c>
      <c r="M693" s="1">
        <v>4223.46</v>
      </c>
      <c r="N693" s="1">
        <v>1055.865</v>
      </c>
      <c r="O693" s="1">
        <v>3167.5949999999998</v>
      </c>
      <c r="P693" s="1">
        <v>1647.1494</v>
      </c>
      <c r="Q693" s="1">
        <v>1520.4456</v>
      </c>
      <c r="R693" s="1">
        <v>48</v>
      </c>
      <c r="S693" s="1" t="s">
        <v>73</v>
      </c>
    </row>
    <row r="694" spans="1:19" x14ac:dyDescent="0.35">
      <c r="A694" s="1" t="s">
        <v>1052</v>
      </c>
      <c r="B694" s="3">
        <v>45724</v>
      </c>
      <c r="C694" s="1" t="s">
        <v>28</v>
      </c>
      <c r="D694" s="1">
        <v>3</v>
      </c>
      <c r="E694" s="1" t="s">
        <v>1053</v>
      </c>
      <c r="F694" s="1" t="s">
        <v>58</v>
      </c>
      <c r="G694" s="1" t="s">
        <v>64</v>
      </c>
      <c r="H694" s="1" t="s">
        <v>53</v>
      </c>
      <c r="I694" s="1" t="s">
        <v>54</v>
      </c>
      <c r="J694" s="1">
        <v>5</v>
      </c>
      <c r="K694" s="1">
        <v>1280.8</v>
      </c>
      <c r="L694" s="1">
        <v>0.1</v>
      </c>
      <c r="M694" s="1">
        <v>6404</v>
      </c>
      <c r="N694" s="1">
        <v>640.40000000000009</v>
      </c>
      <c r="O694" s="1">
        <v>5763.6</v>
      </c>
      <c r="P694" s="1">
        <v>3342.8879999999999</v>
      </c>
      <c r="Q694" s="1">
        <v>2420.712</v>
      </c>
      <c r="R694" s="1">
        <v>42.000000000000007</v>
      </c>
      <c r="S694" s="1" t="s">
        <v>73</v>
      </c>
    </row>
    <row r="695" spans="1:19" x14ac:dyDescent="0.35">
      <c r="A695" s="1" t="s">
        <v>1054</v>
      </c>
      <c r="B695" s="3">
        <v>45856</v>
      </c>
      <c r="C695" s="1" t="s">
        <v>62</v>
      </c>
      <c r="D695" s="1">
        <v>7</v>
      </c>
      <c r="E695" s="1" t="s">
        <v>641</v>
      </c>
      <c r="F695" s="1" t="s">
        <v>52</v>
      </c>
      <c r="G695" s="1" t="s">
        <v>23</v>
      </c>
      <c r="H695" s="1" t="s">
        <v>39</v>
      </c>
      <c r="I695" s="1" t="s">
        <v>214</v>
      </c>
      <c r="J695" s="1">
        <v>5</v>
      </c>
      <c r="K695" s="1">
        <v>57459.02</v>
      </c>
      <c r="L695" s="1">
        <v>0.15</v>
      </c>
      <c r="M695" s="1">
        <v>287295.09999999998</v>
      </c>
      <c r="N695" s="1">
        <v>43094.264999999992</v>
      </c>
      <c r="O695" s="1">
        <v>244200.83499999999</v>
      </c>
      <c r="P695" s="1">
        <v>190476.6513</v>
      </c>
      <c r="Q695" s="1">
        <v>53724.183699999987</v>
      </c>
      <c r="R695" s="1">
        <v>22</v>
      </c>
      <c r="S695" s="1" t="s">
        <v>33</v>
      </c>
    </row>
    <row r="696" spans="1:19" x14ac:dyDescent="0.35">
      <c r="A696" s="1" t="s">
        <v>1055</v>
      </c>
      <c r="B696" s="3">
        <v>45746</v>
      </c>
      <c r="C696" s="1" t="s">
        <v>28</v>
      </c>
      <c r="D696" s="1">
        <v>3</v>
      </c>
      <c r="E696" s="1" t="s">
        <v>418</v>
      </c>
      <c r="F696" s="1" t="s">
        <v>76</v>
      </c>
      <c r="G696" s="1" t="s">
        <v>23</v>
      </c>
      <c r="H696" s="1" t="s">
        <v>24</v>
      </c>
      <c r="I696" s="1" t="s">
        <v>44</v>
      </c>
      <c r="J696" s="1">
        <v>1</v>
      </c>
      <c r="K696" s="1">
        <v>5088.79</v>
      </c>
      <c r="L696" s="1">
        <v>0.15</v>
      </c>
      <c r="M696" s="1">
        <v>5088.79</v>
      </c>
      <c r="N696" s="1">
        <v>763.31849999999997</v>
      </c>
      <c r="O696" s="1">
        <v>4325.4714999999997</v>
      </c>
      <c r="P696" s="1">
        <v>2379.009325</v>
      </c>
      <c r="Q696" s="1">
        <v>1946.4621749999999</v>
      </c>
      <c r="R696" s="1">
        <v>44.999999999999993</v>
      </c>
      <c r="S696" s="1" t="s">
        <v>93</v>
      </c>
    </row>
    <row r="697" spans="1:19" x14ac:dyDescent="0.35">
      <c r="A697" s="1" t="s">
        <v>1056</v>
      </c>
      <c r="B697" s="3">
        <v>45931</v>
      </c>
      <c r="C697" s="1" t="s">
        <v>35</v>
      </c>
      <c r="D697" s="1">
        <v>10</v>
      </c>
      <c r="E697" s="1" t="s">
        <v>244</v>
      </c>
      <c r="F697" s="1" t="s">
        <v>37</v>
      </c>
      <c r="G697" s="1" t="s">
        <v>38</v>
      </c>
      <c r="H697" s="1" t="s">
        <v>77</v>
      </c>
      <c r="I697" s="1" t="s">
        <v>103</v>
      </c>
      <c r="J697" s="1">
        <v>6</v>
      </c>
      <c r="K697" s="1">
        <v>143.66</v>
      </c>
      <c r="L697" s="1">
        <v>0.1</v>
      </c>
      <c r="M697" s="1">
        <v>861.96</v>
      </c>
      <c r="N697" s="1">
        <v>86.196000000000012</v>
      </c>
      <c r="O697" s="1">
        <v>775.76400000000001</v>
      </c>
      <c r="P697" s="1">
        <v>558.55007999999998</v>
      </c>
      <c r="Q697" s="1">
        <v>217.21392</v>
      </c>
      <c r="R697" s="1">
        <v>28</v>
      </c>
      <c r="S697" s="1" t="s">
        <v>73</v>
      </c>
    </row>
    <row r="698" spans="1:19" x14ac:dyDescent="0.35">
      <c r="A698" s="1" t="s">
        <v>1057</v>
      </c>
      <c r="B698" s="3">
        <v>45744</v>
      </c>
      <c r="C698" s="1" t="s">
        <v>28</v>
      </c>
      <c r="D698" s="1">
        <v>3</v>
      </c>
      <c r="E698" s="1" t="s">
        <v>51</v>
      </c>
      <c r="F698" s="1" t="s">
        <v>43</v>
      </c>
      <c r="G698" s="1" t="s">
        <v>38</v>
      </c>
      <c r="H698" s="1" t="s">
        <v>39</v>
      </c>
      <c r="I698" s="1" t="s">
        <v>155</v>
      </c>
      <c r="J698" s="1">
        <v>6</v>
      </c>
      <c r="K698" s="1">
        <v>41347</v>
      </c>
      <c r="L698" s="1">
        <v>0.1</v>
      </c>
      <c r="M698" s="1">
        <v>248082</v>
      </c>
      <c r="N698" s="1">
        <v>24808.2</v>
      </c>
      <c r="O698" s="1">
        <v>223273.8</v>
      </c>
      <c r="P698" s="1">
        <v>174153.56400000001</v>
      </c>
      <c r="Q698" s="1">
        <v>49120.235999999997</v>
      </c>
      <c r="R698" s="1">
        <v>22</v>
      </c>
      <c r="S698" s="1" t="s">
        <v>33</v>
      </c>
    </row>
    <row r="699" spans="1:19" x14ac:dyDescent="0.35">
      <c r="A699" s="1" t="s">
        <v>1058</v>
      </c>
      <c r="B699" s="3">
        <v>45838</v>
      </c>
      <c r="C699" s="1" t="s">
        <v>82</v>
      </c>
      <c r="D699" s="1">
        <v>6</v>
      </c>
      <c r="E699" s="1" t="s">
        <v>844</v>
      </c>
      <c r="F699" s="1" t="s">
        <v>22</v>
      </c>
      <c r="G699" s="1" t="s">
        <v>23</v>
      </c>
      <c r="H699" s="1" t="s">
        <v>31</v>
      </c>
      <c r="I699" s="1" t="s">
        <v>65</v>
      </c>
      <c r="J699" s="1">
        <v>4</v>
      </c>
      <c r="K699" s="1">
        <v>2265.98</v>
      </c>
      <c r="L699" s="1">
        <v>0</v>
      </c>
      <c r="M699" s="1">
        <v>9063.92</v>
      </c>
      <c r="N699" s="1">
        <v>0</v>
      </c>
      <c r="O699" s="1">
        <v>9063.92</v>
      </c>
      <c r="P699" s="1">
        <v>4713.2384000000002</v>
      </c>
      <c r="Q699" s="1">
        <v>4350.6815999999999</v>
      </c>
      <c r="R699" s="1">
        <v>48</v>
      </c>
      <c r="S699" s="1" t="s">
        <v>26</v>
      </c>
    </row>
    <row r="700" spans="1:19" x14ac:dyDescent="0.35">
      <c r="A700" s="1" t="s">
        <v>1059</v>
      </c>
      <c r="B700" s="3">
        <v>45695</v>
      </c>
      <c r="C700" s="1" t="s">
        <v>42</v>
      </c>
      <c r="D700" s="1">
        <v>2</v>
      </c>
      <c r="E700" s="1" t="s">
        <v>412</v>
      </c>
      <c r="F700" s="1" t="s">
        <v>37</v>
      </c>
      <c r="G700" s="1" t="s">
        <v>38</v>
      </c>
      <c r="H700" s="1" t="s">
        <v>31</v>
      </c>
      <c r="I700" s="1" t="s">
        <v>190</v>
      </c>
      <c r="J700" s="1">
        <v>7</v>
      </c>
      <c r="K700" s="1">
        <v>2909.77</v>
      </c>
      <c r="L700" s="1">
        <v>0.3</v>
      </c>
      <c r="M700" s="1">
        <v>20368.39</v>
      </c>
      <c r="N700" s="1">
        <v>6110.5169999999998</v>
      </c>
      <c r="O700" s="1">
        <v>14257.873</v>
      </c>
      <c r="P700" s="1">
        <v>7414.0939600000002</v>
      </c>
      <c r="Q700" s="1">
        <v>6843.7790399999994</v>
      </c>
      <c r="R700" s="1">
        <v>48</v>
      </c>
      <c r="S700" s="1" t="s">
        <v>60</v>
      </c>
    </row>
    <row r="701" spans="1:19" x14ac:dyDescent="0.35">
      <c r="A701" s="1" t="s">
        <v>1060</v>
      </c>
      <c r="B701" s="3">
        <v>45721</v>
      </c>
      <c r="C701" s="1" t="s">
        <v>28</v>
      </c>
      <c r="D701" s="1">
        <v>3</v>
      </c>
      <c r="E701" s="1" t="s">
        <v>553</v>
      </c>
      <c r="F701" s="1" t="s">
        <v>69</v>
      </c>
      <c r="G701" s="1" t="s">
        <v>64</v>
      </c>
      <c r="H701" s="1" t="s">
        <v>31</v>
      </c>
      <c r="I701" s="1" t="s">
        <v>59</v>
      </c>
      <c r="J701" s="1">
        <v>6</v>
      </c>
      <c r="K701" s="1">
        <v>2309.06</v>
      </c>
      <c r="L701" s="1">
        <v>0.1</v>
      </c>
      <c r="M701" s="1">
        <v>13854.36</v>
      </c>
      <c r="N701" s="1">
        <v>1385.4359999999999</v>
      </c>
      <c r="O701" s="1">
        <v>12468.924000000001</v>
      </c>
      <c r="P701" s="1">
        <v>6483.8404800000008</v>
      </c>
      <c r="Q701" s="1">
        <v>5985.0835200000001</v>
      </c>
      <c r="R701" s="1">
        <v>48</v>
      </c>
      <c r="S701" s="1" t="s">
        <v>26</v>
      </c>
    </row>
    <row r="702" spans="1:19" x14ac:dyDescent="0.35">
      <c r="A702" s="1" t="s">
        <v>1061</v>
      </c>
      <c r="B702" s="3">
        <v>45754</v>
      </c>
      <c r="C702" s="1" t="s">
        <v>20</v>
      </c>
      <c r="D702" s="1">
        <v>4</v>
      </c>
      <c r="E702" s="1" t="s">
        <v>399</v>
      </c>
      <c r="F702" s="1" t="s">
        <v>52</v>
      </c>
      <c r="G702" s="1" t="s">
        <v>23</v>
      </c>
      <c r="H702" s="1" t="s">
        <v>77</v>
      </c>
      <c r="I702" s="1" t="s">
        <v>201</v>
      </c>
      <c r="J702" s="1">
        <v>2</v>
      </c>
      <c r="K702" s="1">
        <v>136.19999999999999</v>
      </c>
      <c r="L702" s="1">
        <v>0.05</v>
      </c>
      <c r="M702" s="1">
        <v>272.39999999999998</v>
      </c>
      <c r="N702" s="1">
        <v>13.62</v>
      </c>
      <c r="O702" s="1">
        <v>258.77999999999997</v>
      </c>
      <c r="P702" s="1">
        <v>186.32159999999999</v>
      </c>
      <c r="Q702" s="1">
        <v>72.458400000000012</v>
      </c>
      <c r="R702" s="1">
        <v>28.000000000000011</v>
      </c>
      <c r="S702" s="1" t="s">
        <v>26</v>
      </c>
    </row>
    <row r="703" spans="1:19" x14ac:dyDescent="0.35">
      <c r="A703" s="1" t="s">
        <v>1062</v>
      </c>
      <c r="B703" s="3">
        <v>45821</v>
      </c>
      <c r="C703" s="1" t="s">
        <v>82</v>
      </c>
      <c r="D703" s="1">
        <v>6</v>
      </c>
      <c r="E703" s="1" t="s">
        <v>130</v>
      </c>
      <c r="F703" s="1" t="s">
        <v>69</v>
      </c>
      <c r="G703" s="1" t="s">
        <v>38</v>
      </c>
      <c r="H703" s="1" t="s">
        <v>53</v>
      </c>
      <c r="I703" s="1" t="s">
        <v>72</v>
      </c>
      <c r="J703" s="1">
        <v>7</v>
      </c>
      <c r="K703" s="1">
        <v>1651.14</v>
      </c>
      <c r="L703" s="1">
        <v>0.15</v>
      </c>
      <c r="M703" s="1">
        <v>11557.98</v>
      </c>
      <c r="N703" s="1">
        <v>1733.6969999999999</v>
      </c>
      <c r="O703" s="1">
        <v>9824.2830000000013</v>
      </c>
      <c r="P703" s="1">
        <v>5698.0841399999999</v>
      </c>
      <c r="Q703" s="1">
        <v>4126.1988600000013</v>
      </c>
      <c r="R703" s="1">
        <v>42.000000000000007</v>
      </c>
      <c r="S703" s="1" t="s">
        <v>60</v>
      </c>
    </row>
    <row r="704" spans="1:19" x14ac:dyDescent="0.35">
      <c r="A704" s="1" t="s">
        <v>1063</v>
      </c>
      <c r="B704" s="3">
        <v>45938</v>
      </c>
      <c r="C704" s="1" t="s">
        <v>35</v>
      </c>
      <c r="D704" s="1">
        <v>10</v>
      </c>
      <c r="E704" s="1" t="s">
        <v>263</v>
      </c>
      <c r="F704" s="1" t="s">
        <v>37</v>
      </c>
      <c r="G704" s="1" t="s">
        <v>64</v>
      </c>
      <c r="H704" s="1" t="s">
        <v>53</v>
      </c>
      <c r="I704" s="1" t="s">
        <v>185</v>
      </c>
      <c r="J704" s="1">
        <v>6</v>
      </c>
      <c r="K704" s="1">
        <v>1512.08</v>
      </c>
      <c r="L704" s="1">
        <v>0.05</v>
      </c>
      <c r="M704" s="1">
        <v>9072.48</v>
      </c>
      <c r="N704" s="1">
        <v>453.62400000000002</v>
      </c>
      <c r="O704" s="1">
        <v>8618.8559999999998</v>
      </c>
      <c r="P704" s="1">
        <v>4998.9364799999994</v>
      </c>
      <c r="Q704" s="1">
        <v>3619.9195199999999</v>
      </c>
      <c r="R704" s="1">
        <v>42.000000000000007</v>
      </c>
      <c r="S704" s="1" t="s">
        <v>73</v>
      </c>
    </row>
    <row r="705" spans="1:19" x14ac:dyDescent="0.35">
      <c r="A705" s="1" t="s">
        <v>1064</v>
      </c>
      <c r="B705" s="3">
        <v>45845</v>
      </c>
      <c r="C705" s="1" t="s">
        <v>62</v>
      </c>
      <c r="D705" s="1">
        <v>7</v>
      </c>
      <c r="E705" s="1" t="s">
        <v>303</v>
      </c>
      <c r="F705" s="1" t="s">
        <v>52</v>
      </c>
      <c r="G705" s="1" t="s">
        <v>64</v>
      </c>
      <c r="H705" s="1" t="s">
        <v>77</v>
      </c>
      <c r="I705" s="1" t="s">
        <v>148</v>
      </c>
      <c r="J705" s="1">
        <v>5</v>
      </c>
      <c r="K705" s="1">
        <v>1138.9100000000001</v>
      </c>
      <c r="L705" s="1">
        <v>0.05</v>
      </c>
      <c r="M705" s="1">
        <v>5694.55</v>
      </c>
      <c r="N705" s="1">
        <v>284.72750000000002</v>
      </c>
      <c r="O705" s="1">
        <v>5409.8225000000002</v>
      </c>
      <c r="P705" s="1">
        <v>3895.0722000000001</v>
      </c>
      <c r="Q705" s="1">
        <v>1514.7502999999999</v>
      </c>
      <c r="R705" s="1">
        <v>28</v>
      </c>
      <c r="S705" s="1" t="s">
        <v>60</v>
      </c>
    </row>
    <row r="706" spans="1:19" x14ac:dyDescent="0.35">
      <c r="A706" s="1" t="s">
        <v>1065</v>
      </c>
      <c r="B706" s="3">
        <v>45875</v>
      </c>
      <c r="C706" s="1" t="s">
        <v>113</v>
      </c>
      <c r="D706" s="1">
        <v>8</v>
      </c>
      <c r="E706" s="1" t="s">
        <v>875</v>
      </c>
      <c r="F706" s="1" t="s">
        <v>37</v>
      </c>
      <c r="G706" s="1" t="s">
        <v>64</v>
      </c>
      <c r="H706" s="1" t="s">
        <v>31</v>
      </c>
      <c r="I706" s="1" t="s">
        <v>190</v>
      </c>
      <c r="J706" s="1">
        <v>5</v>
      </c>
      <c r="K706" s="1">
        <v>2385.37</v>
      </c>
      <c r="L706" s="1">
        <v>0.15</v>
      </c>
      <c r="M706" s="1">
        <v>11926.85</v>
      </c>
      <c r="N706" s="1">
        <v>1789.0274999999999</v>
      </c>
      <c r="O706" s="1">
        <v>10137.8225</v>
      </c>
      <c r="P706" s="1">
        <v>5271.6676999999991</v>
      </c>
      <c r="Q706" s="1">
        <v>4866.1547999999993</v>
      </c>
      <c r="R706" s="1">
        <v>48.000000000000007</v>
      </c>
      <c r="S706" s="1" t="s">
        <v>60</v>
      </c>
    </row>
    <row r="707" spans="1:19" x14ac:dyDescent="0.35">
      <c r="A707" s="1" t="s">
        <v>1066</v>
      </c>
      <c r="B707" s="3">
        <v>45801</v>
      </c>
      <c r="C707" s="1" t="s">
        <v>97</v>
      </c>
      <c r="D707" s="1">
        <v>5</v>
      </c>
      <c r="E707" s="1" t="s">
        <v>359</v>
      </c>
      <c r="F707" s="1" t="s">
        <v>22</v>
      </c>
      <c r="G707" s="1" t="s">
        <v>38</v>
      </c>
      <c r="H707" s="1" t="s">
        <v>31</v>
      </c>
      <c r="I707" s="1" t="s">
        <v>65</v>
      </c>
      <c r="J707" s="1">
        <v>3</v>
      </c>
      <c r="K707" s="1">
        <v>3070</v>
      </c>
      <c r="L707" s="1">
        <v>0.25</v>
      </c>
      <c r="M707" s="1">
        <v>9210</v>
      </c>
      <c r="N707" s="1">
        <v>2302.5</v>
      </c>
      <c r="O707" s="1">
        <v>6907.5</v>
      </c>
      <c r="P707" s="1">
        <v>3591.9</v>
      </c>
      <c r="Q707" s="1">
        <v>3315.6</v>
      </c>
      <c r="R707" s="1">
        <v>48</v>
      </c>
      <c r="S707" s="1" t="s">
        <v>73</v>
      </c>
    </row>
    <row r="708" spans="1:19" x14ac:dyDescent="0.35">
      <c r="A708" s="1" t="s">
        <v>1067</v>
      </c>
      <c r="B708" s="3">
        <v>45812</v>
      </c>
      <c r="C708" s="1" t="s">
        <v>82</v>
      </c>
      <c r="D708" s="1">
        <v>6</v>
      </c>
      <c r="E708" s="1" t="s">
        <v>693</v>
      </c>
      <c r="F708" s="1" t="s">
        <v>43</v>
      </c>
      <c r="G708" s="1" t="s">
        <v>38</v>
      </c>
      <c r="H708" s="1" t="s">
        <v>77</v>
      </c>
      <c r="I708" s="1" t="s">
        <v>148</v>
      </c>
      <c r="J708" s="1">
        <v>2</v>
      </c>
      <c r="K708" s="1">
        <v>331.35</v>
      </c>
      <c r="L708" s="1">
        <v>0.1</v>
      </c>
      <c r="M708" s="1">
        <v>662.7</v>
      </c>
      <c r="N708" s="1">
        <v>66.27000000000001</v>
      </c>
      <c r="O708" s="1">
        <v>596.43000000000006</v>
      </c>
      <c r="P708" s="1">
        <v>429.42960000000011</v>
      </c>
      <c r="Q708" s="1">
        <v>167.00040000000001</v>
      </c>
      <c r="R708" s="1">
        <v>28</v>
      </c>
      <c r="S708" s="1" t="s">
        <v>93</v>
      </c>
    </row>
    <row r="709" spans="1:19" x14ac:dyDescent="0.35">
      <c r="A709" s="1" t="s">
        <v>1068</v>
      </c>
      <c r="B709" s="3">
        <v>45856</v>
      </c>
      <c r="C709" s="1" t="s">
        <v>62</v>
      </c>
      <c r="D709" s="1">
        <v>7</v>
      </c>
      <c r="E709" s="1" t="s">
        <v>518</v>
      </c>
      <c r="F709" s="1" t="s">
        <v>58</v>
      </c>
      <c r="G709" s="1" t="s">
        <v>23</v>
      </c>
      <c r="H709" s="1" t="s">
        <v>77</v>
      </c>
      <c r="I709" s="1" t="s">
        <v>201</v>
      </c>
      <c r="J709" s="1">
        <v>5</v>
      </c>
      <c r="K709" s="1">
        <v>342.4</v>
      </c>
      <c r="L709" s="1">
        <v>0.15</v>
      </c>
      <c r="M709" s="1">
        <v>1712</v>
      </c>
      <c r="N709" s="1">
        <v>256.8</v>
      </c>
      <c r="O709" s="1">
        <v>1455.2</v>
      </c>
      <c r="P709" s="1">
        <v>1047.7439999999999</v>
      </c>
      <c r="Q709" s="1">
        <v>407.45600000000007</v>
      </c>
      <c r="R709" s="1">
        <v>28.000000000000011</v>
      </c>
      <c r="S709" s="1" t="s">
        <v>60</v>
      </c>
    </row>
    <row r="710" spans="1:19" x14ac:dyDescent="0.35">
      <c r="A710" s="1" t="s">
        <v>1069</v>
      </c>
      <c r="B710" s="3">
        <v>45750</v>
      </c>
      <c r="C710" s="1" t="s">
        <v>20</v>
      </c>
      <c r="D710" s="1">
        <v>4</v>
      </c>
      <c r="E710" s="1" t="s">
        <v>1013</v>
      </c>
      <c r="F710" s="1" t="s">
        <v>58</v>
      </c>
      <c r="G710" s="1" t="s">
        <v>64</v>
      </c>
      <c r="H710" s="1" t="s">
        <v>39</v>
      </c>
      <c r="I710" s="1" t="s">
        <v>155</v>
      </c>
      <c r="J710" s="1">
        <v>7</v>
      </c>
      <c r="K710" s="1">
        <v>46975.93</v>
      </c>
      <c r="L710" s="1">
        <v>0.2</v>
      </c>
      <c r="M710" s="1">
        <v>328831.51</v>
      </c>
      <c r="N710" s="1">
        <v>65766.302000000011</v>
      </c>
      <c r="O710" s="1">
        <v>263065.20799999998</v>
      </c>
      <c r="P710" s="1">
        <v>205190.86223999999</v>
      </c>
      <c r="Q710" s="1">
        <v>57874.345759999997</v>
      </c>
      <c r="R710" s="1">
        <v>22</v>
      </c>
      <c r="S710" s="1" t="s">
        <v>60</v>
      </c>
    </row>
    <row r="711" spans="1:19" x14ac:dyDescent="0.35">
      <c r="A711" s="1" t="s">
        <v>1070</v>
      </c>
      <c r="B711" s="3">
        <v>45889</v>
      </c>
      <c r="C711" s="1" t="s">
        <v>113</v>
      </c>
      <c r="D711" s="1">
        <v>8</v>
      </c>
      <c r="E711" s="1" t="s">
        <v>458</v>
      </c>
      <c r="F711" s="1" t="s">
        <v>111</v>
      </c>
      <c r="G711" s="1" t="s">
        <v>64</v>
      </c>
      <c r="H711" s="1" t="s">
        <v>31</v>
      </c>
      <c r="I711" s="1" t="s">
        <v>167</v>
      </c>
      <c r="J711" s="1">
        <v>6</v>
      </c>
      <c r="K711" s="1">
        <v>361.72</v>
      </c>
      <c r="L711" s="1">
        <v>0.15</v>
      </c>
      <c r="M711" s="1">
        <v>2170.3200000000002</v>
      </c>
      <c r="N711" s="1">
        <v>325.548</v>
      </c>
      <c r="O711" s="1">
        <v>1844.7719999999999</v>
      </c>
      <c r="P711" s="1">
        <v>959.28144000000009</v>
      </c>
      <c r="Q711" s="1">
        <v>885.49056000000007</v>
      </c>
      <c r="R711" s="1">
        <v>48</v>
      </c>
      <c r="S711" s="1" t="s">
        <v>60</v>
      </c>
    </row>
    <row r="712" spans="1:19" x14ac:dyDescent="0.35">
      <c r="A712" s="1" t="s">
        <v>1071</v>
      </c>
      <c r="B712" s="3">
        <v>45906</v>
      </c>
      <c r="C712" s="1" t="s">
        <v>50</v>
      </c>
      <c r="D712" s="1">
        <v>9</v>
      </c>
      <c r="E712" s="1" t="s">
        <v>502</v>
      </c>
      <c r="F712" s="1" t="s">
        <v>30</v>
      </c>
      <c r="G712" s="1" t="s">
        <v>38</v>
      </c>
      <c r="H712" s="1" t="s">
        <v>53</v>
      </c>
      <c r="I712" s="1" t="s">
        <v>123</v>
      </c>
      <c r="J712" s="1">
        <v>5</v>
      </c>
      <c r="K712" s="1">
        <v>163.86</v>
      </c>
      <c r="L712" s="1">
        <v>0.15</v>
      </c>
      <c r="M712" s="1">
        <v>819.30000000000007</v>
      </c>
      <c r="N712" s="1">
        <v>122.895</v>
      </c>
      <c r="O712" s="1">
        <v>696.40500000000009</v>
      </c>
      <c r="P712" s="1">
        <v>403.91489999999999</v>
      </c>
      <c r="Q712" s="1">
        <v>292.49009999999998</v>
      </c>
      <c r="R712" s="1">
        <v>42</v>
      </c>
      <c r="S712" s="1" t="s">
        <v>93</v>
      </c>
    </row>
    <row r="713" spans="1:19" x14ac:dyDescent="0.35">
      <c r="A713" s="1" t="s">
        <v>1072</v>
      </c>
      <c r="B713" s="3">
        <v>45699</v>
      </c>
      <c r="C713" s="1" t="s">
        <v>42</v>
      </c>
      <c r="D713" s="1">
        <v>2</v>
      </c>
      <c r="E713" s="1" t="s">
        <v>175</v>
      </c>
      <c r="F713" s="1" t="s">
        <v>43</v>
      </c>
      <c r="G713" s="1" t="s">
        <v>64</v>
      </c>
      <c r="H713" s="1" t="s">
        <v>99</v>
      </c>
      <c r="I713" s="1" t="s">
        <v>100</v>
      </c>
      <c r="J713" s="1">
        <v>4</v>
      </c>
      <c r="K713" s="1">
        <v>8885.4500000000007</v>
      </c>
      <c r="L713" s="1">
        <v>0.15</v>
      </c>
      <c r="M713" s="1">
        <v>35541.800000000003</v>
      </c>
      <c r="N713" s="1">
        <v>5331.27</v>
      </c>
      <c r="O713" s="1">
        <v>30210.53</v>
      </c>
      <c r="P713" s="1">
        <v>20543.160400000001</v>
      </c>
      <c r="Q713" s="1">
        <v>9667.3695999999982</v>
      </c>
      <c r="R713" s="1">
        <v>31.999999999999989</v>
      </c>
      <c r="S713" s="1" t="s">
        <v>60</v>
      </c>
    </row>
    <row r="714" spans="1:19" x14ac:dyDescent="0.35">
      <c r="A714" s="1" t="s">
        <v>1073</v>
      </c>
      <c r="B714" s="3">
        <v>45744</v>
      </c>
      <c r="C714" s="1" t="s">
        <v>28</v>
      </c>
      <c r="D714" s="1">
        <v>3</v>
      </c>
      <c r="E714" s="1" t="s">
        <v>576</v>
      </c>
      <c r="F714" s="1" t="s">
        <v>52</v>
      </c>
      <c r="G714" s="1" t="s">
        <v>64</v>
      </c>
      <c r="H714" s="1" t="s">
        <v>99</v>
      </c>
      <c r="I714" s="1" t="s">
        <v>145</v>
      </c>
      <c r="J714" s="1">
        <v>2</v>
      </c>
      <c r="K714" s="1">
        <v>6642.28</v>
      </c>
      <c r="L714" s="1">
        <v>0</v>
      </c>
      <c r="M714" s="1">
        <v>13284.56</v>
      </c>
      <c r="N714" s="1">
        <v>0</v>
      </c>
      <c r="O714" s="1">
        <v>13284.56</v>
      </c>
      <c r="P714" s="1">
        <v>9033.5007999999998</v>
      </c>
      <c r="Q714" s="1">
        <v>4251.0591999999997</v>
      </c>
      <c r="R714" s="1">
        <v>32</v>
      </c>
      <c r="S714" s="1" t="s">
        <v>93</v>
      </c>
    </row>
    <row r="715" spans="1:19" x14ac:dyDescent="0.35">
      <c r="A715" s="1" t="s">
        <v>1074</v>
      </c>
      <c r="B715" s="3">
        <v>45723</v>
      </c>
      <c r="C715" s="1" t="s">
        <v>28</v>
      </c>
      <c r="D715" s="1">
        <v>3</v>
      </c>
      <c r="E715" s="1" t="s">
        <v>880</v>
      </c>
      <c r="F715" s="1" t="s">
        <v>111</v>
      </c>
      <c r="G715" s="1" t="s">
        <v>38</v>
      </c>
      <c r="H715" s="1" t="s">
        <v>99</v>
      </c>
      <c r="I715" s="1" t="s">
        <v>108</v>
      </c>
      <c r="J715" s="1">
        <v>2</v>
      </c>
      <c r="K715" s="1">
        <v>17358.740000000002</v>
      </c>
      <c r="L715" s="1">
        <v>0.2</v>
      </c>
      <c r="M715" s="1">
        <v>34717.480000000003</v>
      </c>
      <c r="N715" s="1">
        <v>6943.496000000001</v>
      </c>
      <c r="O715" s="1">
        <v>27773.984</v>
      </c>
      <c r="P715" s="1">
        <v>18886.309120000009</v>
      </c>
      <c r="Q715" s="1">
        <v>8887.6748799999987</v>
      </c>
      <c r="R715" s="1">
        <v>31.999999999999989</v>
      </c>
      <c r="S715" s="1" t="s">
        <v>60</v>
      </c>
    </row>
    <row r="716" spans="1:19" x14ac:dyDescent="0.35">
      <c r="A716" s="1" t="s">
        <v>1075</v>
      </c>
      <c r="B716" s="3">
        <v>45866</v>
      </c>
      <c r="C716" s="1" t="s">
        <v>62</v>
      </c>
      <c r="D716" s="1">
        <v>7</v>
      </c>
      <c r="E716" s="1" t="s">
        <v>1076</v>
      </c>
      <c r="F716" s="1" t="s">
        <v>69</v>
      </c>
      <c r="G716" s="1" t="s">
        <v>23</v>
      </c>
      <c r="H716" s="1" t="s">
        <v>53</v>
      </c>
      <c r="I716" s="1" t="s">
        <v>128</v>
      </c>
      <c r="J716" s="1">
        <v>1</v>
      </c>
      <c r="K716" s="1">
        <v>179.23</v>
      </c>
      <c r="L716" s="1">
        <v>0.3</v>
      </c>
      <c r="M716" s="1">
        <v>179.23</v>
      </c>
      <c r="N716" s="1">
        <v>53.768999999999998</v>
      </c>
      <c r="O716" s="1">
        <v>125.461</v>
      </c>
      <c r="P716" s="1">
        <v>72.767379999999989</v>
      </c>
      <c r="Q716" s="1">
        <v>52.693620000000003</v>
      </c>
      <c r="R716" s="1">
        <v>42.000000000000007</v>
      </c>
      <c r="S716" s="1" t="s">
        <v>33</v>
      </c>
    </row>
    <row r="717" spans="1:19" x14ac:dyDescent="0.35">
      <c r="A717" s="1" t="s">
        <v>1077</v>
      </c>
      <c r="B717" s="3">
        <v>45958</v>
      </c>
      <c r="C717" s="1" t="s">
        <v>35</v>
      </c>
      <c r="D717" s="1">
        <v>10</v>
      </c>
      <c r="E717" s="1" t="s">
        <v>75</v>
      </c>
      <c r="F717" s="1" t="s">
        <v>30</v>
      </c>
      <c r="G717" s="1" t="s">
        <v>38</v>
      </c>
      <c r="H717" s="1" t="s">
        <v>99</v>
      </c>
      <c r="I717" s="1" t="s">
        <v>223</v>
      </c>
      <c r="J717" s="1">
        <v>5</v>
      </c>
      <c r="K717" s="1">
        <v>7263.57</v>
      </c>
      <c r="L717" s="1">
        <v>0.05</v>
      </c>
      <c r="M717" s="1">
        <v>36317.85</v>
      </c>
      <c r="N717" s="1">
        <v>1815.8924999999999</v>
      </c>
      <c r="O717" s="1">
        <v>34501.957499999997</v>
      </c>
      <c r="P717" s="1">
        <v>23461.331099999999</v>
      </c>
      <c r="Q717" s="1">
        <v>11040.626399999999</v>
      </c>
      <c r="R717" s="1">
        <v>32</v>
      </c>
      <c r="S717" s="1" t="s">
        <v>26</v>
      </c>
    </row>
    <row r="718" spans="1:19" x14ac:dyDescent="0.35">
      <c r="A718" s="1" t="s">
        <v>1078</v>
      </c>
      <c r="B718" s="3">
        <v>45864</v>
      </c>
      <c r="C718" s="1" t="s">
        <v>62</v>
      </c>
      <c r="D718" s="1">
        <v>7</v>
      </c>
      <c r="E718" s="1" t="s">
        <v>536</v>
      </c>
      <c r="F718" s="1" t="s">
        <v>58</v>
      </c>
      <c r="G718" s="1" t="s">
        <v>38</v>
      </c>
      <c r="H718" s="1" t="s">
        <v>39</v>
      </c>
      <c r="I718" s="1" t="s">
        <v>155</v>
      </c>
      <c r="J718" s="1">
        <v>2</v>
      </c>
      <c r="K718" s="1">
        <v>41840.019999999997</v>
      </c>
      <c r="L718" s="1">
        <v>0.2</v>
      </c>
      <c r="M718" s="1">
        <v>83680.039999999994</v>
      </c>
      <c r="N718" s="1">
        <v>16736.008000000002</v>
      </c>
      <c r="O718" s="1">
        <v>66944.031999999992</v>
      </c>
      <c r="P718" s="1">
        <v>52216.344959999988</v>
      </c>
      <c r="Q718" s="1">
        <v>14727.687040000001</v>
      </c>
      <c r="R718" s="1">
        <v>22</v>
      </c>
      <c r="S718" s="1" t="s">
        <v>26</v>
      </c>
    </row>
    <row r="719" spans="1:19" x14ac:dyDescent="0.35">
      <c r="A719" s="1" t="s">
        <v>1079</v>
      </c>
      <c r="B719" s="3">
        <v>45732</v>
      </c>
      <c r="C719" s="1" t="s">
        <v>28</v>
      </c>
      <c r="D719" s="1">
        <v>3</v>
      </c>
      <c r="E719" s="1" t="s">
        <v>435</v>
      </c>
      <c r="F719" s="1" t="s">
        <v>22</v>
      </c>
      <c r="G719" s="1" t="s">
        <v>38</v>
      </c>
      <c r="H719" s="1" t="s">
        <v>99</v>
      </c>
      <c r="I719" s="1" t="s">
        <v>100</v>
      </c>
      <c r="J719" s="1">
        <v>2</v>
      </c>
      <c r="K719" s="1">
        <v>9133.39</v>
      </c>
      <c r="L719" s="1">
        <v>0.1</v>
      </c>
      <c r="M719" s="1">
        <v>18266.78</v>
      </c>
      <c r="N719" s="1">
        <v>1826.6780000000001</v>
      </c>
      <c r="O719" s="1">
        <v>16440.101999999999</v>
      </c>
      <c r="P719" s="1">
        <v>11179.26936</v>
      </c>
      <c r="Q719" s="1">
        <v>5260.8326399999987</v>
      </c>
      <c r="R719" s="1">
        <v>32</v>
      </c>
      <c r="S719" s="1" t="s">
        <v>33</v>
      </c>
    </row>
    <row r="720" spans="1:19" x14ac:dyDescent="0.35">
      <c r="A720" s="1" t="s">
        <v>1080</v>
      </c>
      <c r="B720" s="3">
        <v>45664</v>
      </c>
      <c r="C720" s="1" t="s">
        <v>193</v>
      </c>
      <c r="D720" s="1">
        <v>1</v>
      </c>
      <c r="E720" s="1" t="s">
        <v>51</v>
      </c>
      <c r="F720" s="1" t="s">
        <v>43</v>
      </c>
      <c r="G720" s="1" t="s">
        <v>38</v>
      </c>
      <c r="H720" s="1" t="s">
        <v>39</v>
      </c>
      <c r="I720" s="1" t="s">
        <v>234</v>
      </c>
      <c r="J720" s="1">
        <v>2</v>
      </c>
      <c r="K720" s="1">
        <v>19210.03</v>
      </c>
      <c r="L720" s="1">
        <v>0.25</v>
      </c>
      <c r="M720" s="1">
        <v>38420.06</v>
      </c>
      <c r="N720" s="1">
        <v>9605.0149999999994</v>
      </c>
      <c r="O720" s="1">
        <v>28815.044999999998</v>
      </c>
      <c r="P720" s="1">
        <v>22475.735100000002</v>
      </c>
      <c r="Q720" s="1">
        <v>6339.3099000000002</v>
      </c>
      <c r="R720" s="1">
        <v>22</v>
      </c>
      <c r="S720" s="1" t="s">
        <v>33</v>
      </c>
    </row>
    <row r="721" spans="1:19" x14ac:dyDescent="0.35">
      <c r="A721" s="1" t="s">
        <v>1081</v>
      </c>
      <c r="B721" s="3">
        <v>45774</v>
      </c>
      <c r="C721" s="1" t="s">
        <v>20</v>
      </c>
      <c r="D721" s="1">
        <v>4</v>
      </c>
      <c r="E721" s="1" t="s">
        <v>75</v>
      </c>
      <c r="F721" s="1" t="s">
        <v>52</v>
      </c>
      <c r="G721" s="1" t="s">
        <v>64</v>
      </c>
      <c r="H721" s="1" t="s">
        <v>24</v>
      </c>
      <c r="I721" s="1" t="s">
        <v>117</v>
      </c>
      <c r="J721" s="1">
        <v>4</v>
      </c>
      <c r="K721" s="1">
        <v>3364.87</v>
      </c>
      <c r="L721" s="1">
        <v>0.1</v>
      </c>
      <c r="M721" s="1">
        <v>13459.48</v>
      </c>
      <c r="N721" s="1">
        <v>1345.9480000000001</v>
      </c>
      <c r="O721" s="1">
        <v>12113.531999999999</v>
      </c>
      <c r="P721" s="1">
        <v>6662.4426000000003</v>
      </c>
      <c r="Q721" s="1">
        <v>5451.0893999999989</v>
      </c>
      <c r="R721" s="1">
        <v>44.999999999999993</v>
      </c>
      <c r="S721" s="1" t="s">
        <v>73</v>
      </c>
    </row>
    <row r="722" spans="1:19" x14ac:dyDescent="0.35">
      <c r="A722" s="1" t="s">
        <v>1082</v>
      </c>
      <c r="B722" s="3">
        <v>45740</v>
      </c>
      <c r="C722" s="1" t="s">
        <v>28</v>
      </c>
      <c r="D722" s="1">
        <v>3</v>
      </c>
      <c r="E722" s="1" t="s">
        <v>328</v>
      </c>
      <c r="F722" s="1" t="s">
        <v>58</v>
      </c>
      <c r="G722" s="1" t="s">
        <v>64</v>
      </c>
      <c r="H722" s="1" t="s">
        <v>39</v>
      </c>
      <c r="I722" s="1" t="s">
        <v>155</v>
      </c>
      <c r="J722" s="1">
        <v>5</v>
      </c>
      <c r="K722" s="1">
        <v>16058.86</v>
      </c>
      <c r="L722" s="1">
        <v>0.05</v>
      </c>
      <c r="M722" s="1">
        <v>80294.3</v>
      </c>
      <c r="N722" s="1">
        <v>4014.7150000000001</v>
      </c>
      <c r="O722" s="1">
        <v>76279.585000000006</v>
      </c>
      <c r="P722" s="1">
        <v>59498.076300000008</v>
      </c>
      <c r="Q722" s="1">
        <v>16781.508699999998</v>
      </c>
      <c r="R722" s="1">
        <v>22</v>
      </c>
      <c r="S722" s="1" t="s">
        <v>33</v>
      </c>
    </row>
    <row r="723" spans="1:19" x14ac:dyDescent="0.35">
      <c r="A723" s="1" t="s">
        <v>1083</v>
      </c>
      <c r="B723" s="3">
        <v>45821</v>
      </c>
      <c r="C723" s="1" t="s">
        <v>82</v>
      </c>
      <c r="D723" s="1">
        <v>6</v>
      </c>
      <c r="E723" s="1" t="s">
        <v>662</v>
      </c>
      <c r="F723" s="1" t="s">
        <v>47</v>
      </c>
      <c r="G723" s="1" t="s">
        <v>23</v>
      </c>
      <c r="H723" s="1" t="s">
        <v>24</v>
      </c>
      <c r="I723" s="1" t="s">
        <v>44</v>
      </c>
      <c r="J723" s="1">
        <v>4</v>
      </c>
      <c r="K723" s="1">
        <v>1802.67</v>
      </c>
      <c r="L723" s="1">
        <v>0.05</v>
      </c>
      <c r="M723" s="1">
        <v>7210.68</v>
      </c>
      <c r="N723" s="1">
        <v>360.53399999999999</v>
      </c>
      <c r="O723" s="1">
        <v>6850.1460000000006</v>
      </c>
      <c r="P723" s="1">
        <v>3767.580300000001</v>
      </c>
      <c r="Q723" s="1">
        <v>3082.5657000000001</v>
      </c>
      <c r="R723" s="1">
        <v>44.999999999999993</v>
      </c>
      <c r="S723" s="1" t="s">
        <v>93</v>
      </c>
    </row>
    <row r="724" spans="1:19" x14ac:dyDescent="0.35">
      <c r="A724" s="1" t="s">
        <v>1084</v>
      </c>
      <c r="B724" s="3">
        <v>45757</v>
      </c>
      <c r="C724" s="1" t="s">
        <v>20</v>
      </c>
      <c r="D724" s="1">
        <v>4</v>
      </c>
      <c r="E724" s="1" t="s">
        <v>165</v>
      </c>
      <c r="F724" s="1" t="s">
        <v>111</v>
      </c>
      <c r="G724" s="1" t="s">
        <v>64</v>
      </c>
      <c r="H724" s="1" t="s">
        <v>24</v>
      </c>
      <c r="I724" s="1" t="s">
        <v>48</v>
      </c>
      <c r="J724" s="1">
        <v>7</v>
      </c>
      <c r="K724" s="1">
        <v>597.19000000000005</v>
      </c>
      <c r="L724" s="1">
        <v>0</v>
      </c>
      <c r="M724" s="1">
        <v>4180.33</v>
      </c>
      <c r="N724" s="1">
        <v>0</v>
      </c>
      <c r="O724" s="1">
        <v>4180.33</v>
      </c>
      <c r="P724" s="1">
        <v>2299.1815000000001</v>
      </c>
      <c r="Q724" s="1">
        <v>1881.1485</v>
      </c>
      <c r="R724" s="1">
        <v>44.999999999999993</v>
      </c>
      <c r="S724" s="1" t="s">
        <v>26</v>
      </c>
    </row>
    <row r="725" spans="1:19" x14ac:dyDescent="0.35">
      <c r="A725" s="1" t="s">
        <v>1085</v>
      </c>
      <c r="B725" s="3">
        <v>45730</v>
      </c>
      <c r="C725" s="1" t="s">
        <v>28</v>
      </c>
      <c r="D725" s="1">
        <v>3</v>
      </c>
      <c r="E725" s="1" t="s">
        <v>1086</v>
      </c>
      <c r="F725" s="1" t="s">
        <v>76</v>
      </c>
      <c r="G725" s="1" t="s">
        <v>38</v>
      </c>
      <c r="H725" s="1" t="s">
        <v>77</v>
      </c>
      <c r="I725" s="1" t="s">
        <v>201</v>
      </c>
      <c r="J725" s="1">
        <v>1</v>
      </c>
      <c r="K725" s="1">
        <v>238.16</v>
      </c>
      <c r="L725" s="1">
        <v>0.15</v>
      </c>
      <c r="M725" s="1">
        <v>238.16</v>
      </c>
      <c r="N725" s="1">
        <v>35.723999999999997</v>
      </c>
      <c r="O725" s="1">
        <v>202.43600000000001</v>
      </c>
      <c r="P725" s="1">
        <v>145.75391999999999</v>
      </c>
      <c r="Q725" s="1">
        <v>56.682080000000013</v>
      </c>
      <c r="R725" s="1">
        <v>28.000000000000011</v>
      </c>
      <c r="S725" s="1" t="s">
        <v>73</v>
      </c>
    </row>
    <row r="726" spans="1:19" x14ac:dyDescent="0.35">
      <c r="A726" s="1" t="s">
        <v>1087</v>
      </c>
      <c r="B726" s="3">
        <v>45659</v>
      </c>
      <c r="C726" s="1" t="s">
        <v>193</v>
      </c>
      <c r="D726" s="1">
        <v>1</v>
      </c>
      <c r="E726" s="1" t="s">
        <v>918</v>
      </c>
      <c r="F726" s="1" t="s">
        <v>58</v>
      </c>
      <c r="G726" s="1" t="s">
        <v>64</v>
      </c>
      <c r="H726" s="1" t="s">
        <v>53</v>
      </c>
      <c r="I726" s="1" t="s">
        <v>72</v>
      </c>
      <c r="J726" s="1">
        <v>1</v>
      </c>
      <c r="K726" s="1">
        <v>1973.68</v>
      </c>
      <c r="L726" s="1">
        <v>0.25</v>
      </c>
      <c r="M726" s="1">
        <v>1973.68</v>
      </c>
      <c r="N726" s="1">
        <v>493.42</v>
      </c>
      <c r="O726" s="1">
        <v>1480.26</v>
      </c>
      <c r="P726" s="1">
        <v>858.55079999999998</v>
      </c>
      <c r="Q726" s="1">
        <v>621.70920000000001</v>
      </c>
      <c r="R726" s="1">
        <v>42</v>
      </c>
      <c r="S726" s="1" t="s">
        <v>26</v>
      </c>
    </row>
    <row r="727" spans="1:19" x14ac:dyDescent="0.35">
      <c r="A727" s="1" t="s">
        <v>1088</v>
      </c>
      <c r="B727" s="3">
        <v>45994</v>
      </c>
      <c r="C727" s="1" t="s">
        <v>67</v>
      </c>
      <c r="D727" s="1">
        <v>12</v>
      </c>
      <c r="E727" s="1" t="s">
        <v>405</v>
      </c>
      <c r="F727" s="1" t="s">
        <v>37</v>
      </c>
      <c r="G727" s="1" t="s">
        <v>64</v>
      </c>
      <c r="H727" s="1" t="s">
        <v>99</v>
      </c>
      <c r="I727" s="1" t="s">
        <v>223</v>
      </c>
      <c r="J727" s="1">
        <v>2</v>
      </c>
      <c r="K727" s="1">
        <v>12608.68</v>
      </c>
      <c r="L727" s="1">
        <v>0.25</v>
      </c>
      <c r="M727" s="1">
        <v>25217.360000000001</v>
      </c>
      <c r="N727" s="1">
        <v>6304.34</v>
      </c>
      <c r="O727" s="1">
        <v>18913.02</v>
      </c>
      <c r="P727" s="1">
        <v>12860.8536</v>
      </c>
      <c r="Q727" s="1">
        <v>6052.1664000000001</v>
      </c>
      <c r="R727" s="1">
        <v>32</v>
      </c>
      <c r="S727" s="1" t="s">
        <v>60</v>
      </c>
    </row>
    <row r="728" spans="1:19" x14ac:dyDescent="0.35">
      <c r="A728" s="1" t="s">
        <v>1089</v>
      </c>
      <c r="B728" s="3">
        <v>45757</v>
      </c>
      <c r="C728" s="1" t="s">
        <v>20</v>
      </c>
      <c r="D728" s="1">
        <v>4</v>
      </c>
      <c r="E728" s="1" t="s">
        <v>338</v>
      </c>
      <c r="F728" s="1" t="s">
        <v>43</v>
      </c>
      <c r="G728" s="1" t="s">
        <v>38</v>
      </c>
      <c r="H728" s="1" t="s">
        <v>99</v>
      </c>
      <c r="I728" s="1" t="s">
        <v>145</v>
      </c>
      <c r="J728" s="1">
        <v>1</v>
      </c>
      <c r="K728" s="1">
        <v>8607.19</v>
      </c>
      <c r="L728" s="1">
        <v>0</v>
      </c>
      <c r="M728" s="1">
        <v>8607.19</v>
      </c>
      <c r="N728" s="1">
        <v>0</v>
      </c>
      <c r="O728" s="1">
        <v>8607.19</v>
      </c>
      <c r="P728" s="1">
        <v>5852.8892000000014</v>
      </c>
      <c r="Q728" s="1">
        <v>2754.3008</v>
      </c>
      <c r="R728" s="1">
        <v>32</v>
      </c>
      <c r="S728" s="1" t="s">
        <v>93</v>
      </c>
    </row>
    <row r="729" spans="1:19" x14ac:dyDescent="0.35">
      <c r="A729" s="1" t="s">
        <v>1090</v>
      </c>
      <c r="B729" s="3">
        <v>45992</v>
      </c>
      <c r="C729" s="1" t="s">
        <v>67</v>
      </c>
      <c r="D729" s="1">
        <v>12</v>
      </c>
      <c r="E729" s="1" t="s">
        <v>422</v>
      </c>
      <c r="F729" s="1" t="s">
        <v>22</v>
      </c>
      <c r="G729" s="1" t="s">
        <v>38</v>
      </c>
      <c r="H729" s="1" t="s">
        <v>31</v>
      </c>
      <c r="I729" s="1" t="s">
        <v>190</v>
      </c>
      <c r="J729" s="1">
        <v>4</v>
      </c>
      <c r="K729" s="1">
        <v>2268.29</v>
      </c>
      <c r="L729" s="1">
        <v>0.05</v>
      </c>
      <c r="M729" s="1">
        <v>9073.16</v>
      </c>
      <c r="N729" s="1">
        <v>453.65800000000002</v>
      </c>
      <c r="O729" s="1">
        <v>8619.5020000000004</v>
      </c>
      <c r="P729" s="1">
        <v>4482.1410400000004</v>
      </c>
      <c r="Q729" s="1">
        <v>4137.36096</v>
      </c>
      <c r="R729" s="1">
        <v>48</v>
      </c>
      <c r="S729" s="1" t="s">
        <v>26</v>
      </c>
    </row>
    <row r="730" spans="1:19" x14ac:dyDescent="0.35">
      <c r="A730" s="1" t="s">
        <v>1091</v>
      </c>
      <c r="B730" s="3">
        <v>45771</v>
      </c>
      <c r="C730" s="1" t="s">
        <v>20</v>
      </c>
      <c r="D730" s="1">
        <v>4</v>
      </c>
      <c r="E730" s="1" t="s">
        <v>263</v>
      </c>
      <c r="F730" s="1" t="s">
        <v>37</v>
      </c>
      <c r="G730" s="1" t="s">
        <v>38</v>
      </c>
      <c r="H730" s="1" t="s">
        <v>77</v>
      </c>
      <c r="I730" s="1" t="s">
        <v>103</v>
      </c>
      <c r="J730" s="1">
        <v>2</v>
      </c>
      <c r="K730" s="1">
        <v>173.57</v>
      </c>
      <c r="L730" s="1">
        <v>0</v>
      </c>
      <c r="M730" s="1">
        <v>347.14</v>
      </c>
      <c r="N730" s="1">
        <v>0</v>
      </c>
      <c r="O730" s="1">
        <v>347.14</v>
      </c>
      <c r="P730" s="1">
        <v>249.9408</v>
      </c>
      <c r="Q730" s="1">
        <v>97.199200000000019</v>
      </c>
      <c r="R730" s="1">
        <v>28.000000000000011</v>
      </c>
      <c r="S730" s="1" t="s">
        <v>73</v>
      </c>
    </row>
    <row r="731" spans="1:19" x14ac:dyDescent="0.35">
      <c r="A731" s="1" t="s">
        <v>1092</v>
      </c>
      <c r="B731" s="3">
        <v>45769</v>
      </c>
      <c r="C731" s="1" t="s">
        <v>20</v>
      </c>
      <c r="D731" s="1">
        <v>4</v>
      </c>
      <c r="E731" s="1" t="s">
        <v>584</v>
      </c>
      <c r="F731" s="1" t="s">
        <v>58</v>
      </c>
      <c r="G731" s="1" t="s">
        <v>64</v>
      </c>
      <c r="H731" s="1" t="s">
        <v>39</v>
      </c>
      <c r="I731" s="1" t="s">
        <v>234</v>
      </c>
      <c r="J731" s="1">
        <v>1</v>
      </c>
      <c r="K731" s="1">
        <v>20051.580000000002</v>
      </c>
      <c r="L731" s="1">
        <v>0.05</v>
      </c>
      <c r="M731" s="1">
        <v>20051.580000000002</v>
      </c>
      <c r="N731" s="1">
        <v>1002.579</v>
      </c>
      <c r="O731" s="1">
        <v>19049.001</v>
      </c>
      <c r="P731" s="1">
        <v>14858.22078</v>
      </c>
      <c r="Q731" s="1">
        <v>4190.7802199999987</v>
      </c>
      <c r="R731" s="1">
        <v>21.999999999999989</v>
      </c>
      <c r="S731" s="1" t="s">
        <v>73</v>
      </c>
    </row>
    <row r="732" spans="1:19" x14ac:dyDescent="0.35">
      <c r="A732" s="1" t="s">
        <v>1093</v>
      </c>
      <c r="B732" s="3">
        <v>45893</v>
      </c>
      <c r="C732" s="1" t="s">
        <v>113</v>
      </c>
      <c r="D732" s="1">
        <v>8</v>
      </c>
      <c r="E732" s="1" t="s">
        <v>89</v>
      </c>
      <c r="F732" s="1" t="s">
        <v>76</v>
      </c>
      <c r="G732" s="1" t="s">
        <v>23</v>
      </c>
      <c r="H732" s="1" t="s">
        <v>31</v>
      </c>
      <c r="I732" s="1" t="s">
        <v>190</v>
      </c>
      <c r="J732" s="1">
        <v>6</v>
      </c>
      <c r="K732" s="1">
        <v>3462.02</v>
      </c>
      <c r="L732" s="1">
        <v>0.1</v>
      </c>
      <c r="M732" s="1">
        <v>20772.12</v>
      </c>
      <c r="N732" s="1">
        <v>2077.212</v>
      </c>
      <c r="O732" s="1">
        <v>18694.907999999999</v>
      </c>
      <c r="P732" s="1">
        <v>9721.3521600000004</v>
      </c>
      <c r="Q732" s="1">
        <v>8973.5558399999991</v>
      </c>
      <c r="R732" s="1">
        <v>48</v>
      </c>
      <c r="S732" s="1" t="s">
        <v>73</v>
      </c>
    </row>
    <row r="733" spans="1:19" x14ac:dyDescent="0.35">
      <c r="A733" s="1" t="s">
        <v>1094</v>
      </c>
      <c r="B733" s="3">
        <v>45861</v>
      </c>
      <c r="C733" s="1" t="s">
        <v>62</v>
      </c>
      <c r="D733" s="1">
        <v>7</v>
      </c>
      <c r="E733" s="1" t="s">
        <v>240</v>
      </c>
      <c r="F733" s="1" t="s">
        <v>69</v>
      </c>
      <c r="G733" s="1" t="s">
        <v>23</v>
      </c>
      <c r="H733" s="1" t="s">
        <v>31</v>
      </c>
      <c r="I733" s="1" t="s">
        <v>59</v>
      </c>
      <c r="J733" s="1">
        <v>3</v>
      </c>
      <c r="K733" s="1">
        <v>872.39</v>
      </c>
      <c r="L733" s="1">
        <v>0.05</v>
      </c>
      <c r="M733" s="1">
        <v>2617.17</v>
      </c>
      <c r="N733" s="1">
        <v>130.85849999999999</v>
      </c>
      <c r="O733" s="1">
        <v>2486.3114999999998</v>
      </c>
      <c r="P733" s="1">
        <v>1292.8819800000001</v>
      </c>
      <c r="Q733" s="1">
        <v>1193.4295199999999</v>
      </c>
      <c r="R733" s="1">
        <v>48</v>
      </c>
      <c r="S733" s="1" t="s">
        <v>60</v>
      </c>
    </row>
    <row r="734" spans="1:19" x14ac:dyDescent="0.35">
      <c r="A734" s="1" t="s">
        <v>1095</v>
      </c>
      <c r="B734" s="3">
        <v>45836</v>
      </c>
      <c r="C734" s="1" t="s">
        <v>82</v>
      </c>
      <c r="D734" s="1">
        <v>6</v>
      </c>
      <c r="E734" s="1" t="s">
        <v>936</v>
      </c>
      <c r="F734" s="1" t="s">
        <v>52</v>
      </c>
      <c r="G734" s="1" t="s">
        <v>64</v>
      </c>
      <c r="H734" s="1" t="s">
        <v>31</v>
      </c>
      <c r="I734" s="1" t="s">
        <v>59</v>
      </c>
      <c r="J734" s="1">
        <v>7</v>
      </c>
      <c r="K734" s="1">
        <v>3454.38</v>
      </c>
      <c r="L734" s="1">
        <v>0.2</v>
      </c>
      <c r="M734" s="1">
        <v>24180.66</v>
      </c>
      <c r="N734" s="1">
        <v>4836.1320000000014</v>
      </c>
      <c r="O734" s="1">
        <v>19344.527999999998</v>
      </c>
      <c r="P734" s="1">
        <v>10059.154560000001</v>
      </c>
      <c r="Q734" s="1">
        <v>9285.3734399999994</v>
      </c>
      <c r="R734" s="1">
        <v>48</v>
      </c>
      <c r="S734" s="1" t="s">
        <v>33</v>
      </c>
    </row>
    <row r="735" spans="1:19" x14ac:dyDescent="0.35">
      <c r="A735" s="1" t="s">
        <v>1096</v>
      </c>
      <c r="B735" s="3">
        <v>45704</v>
      </c>
      <c r="C735" s="1" t="s">
        <v>42</v>
      </c>
      <c r="D735" s="1">
        <v>2</v>
      </c>
      <c r="E735" s="1" t="s">
        <v>265</v>
      </c>
      <c r="F735" s="1" t="s">
        <v>37</v>
      </c>
      <c r="G735" s="1" t="s">
        <v>38</v>
      </c>
      <c r="H735" s="1" t="s">
        <v>99</v>
      </c>
      <c r="I735" s="1" t="s">
        <v>223</v>
      </c>
      <c r="J735" s="1">
        <v>2</v>
      </c>
      <c r="K735" s="1">
        <v>9382.6299999999992</v>
      </c>
      <c r="L735" s="1">
        <v>0.1</v>
      </c>
      <c r="M735" s="1">
        <v>18765.259999999998</v>
      </c>
      <c r="N735" s="1">
        <v>1876.5260000000001</v>
      </c>
      <c r="O735" s="1">
        <v>16888.734</v>
      </c>
      <c r="P735" s="1">
        <v>11484.339120000001</v>
      </c>
      <c r="Q735" s="1">
        <v>5404.394879999998</v>
      </c>
      <c r="R735" s="1">
        <v>32</v>
      </c>
      <c r="S735" s="1" t="s">
        <v>73</v>
      </c>
    </row>
    <row r="736" spans="1:19" x14ac:dyDescent="0.35">
      <c r="A736" s="1" t="s">
        <v>1097</v>
      </c>
      <c r="B736" s="3">
        <v>45943</v>
      </c>
      <c r="C736" s="1" t="s">
        <v>35</v>
      </c>
      <c r="D736" s="1">
        <v>10</v>
      </c>
      <c r="E736" s="1" t="s">
        <v>424</v>
      </c>
      <c r="F736" s="1" t="s">
        <v>43</v>
      </c>
      <c r="G736" s="1" t="s">
        <v>23</v>
      </c>
      <c r="H736" s="1" t="s">
        <v>77</v>
      </c>
      <c r="I736" s="1" t="s">
        <v>78</v>
      </c>
      <c r="J736" s="1">
        <v>6</v>
      </c>
      <c r="K736" s="1">
        <v>665.02</v>
      </c>
      <c r="L736" s="1">
        <v>0.3</v>
      </c>
      <c r="M736" s="1">
        <v>3990.12</v>
      </c>
      <c r="N736" s="1">
        <v>1197.0360000000001</v>
      </c>
      <c r="O736" s="1">
        <v>2793.0839999999998</v>
      </c>
      <c r="P736" s="1">
        <v>2011.0204799999999</v>
      </c>
      <c r="Q736" s="1">
        <v>782.06351999999993</v>
      </c>
      <c r="R736" s="1">
        <v>28</v>
      </c>
      <c r="S736" s="1" t="s">
        <v>26</v>
      </c>
    </row>
    <row r="737" spans="1:19" x14ac:dyDescent="0.35">
      <c r="A737" s="1" t="s">
        <v>1098</v>
      </c>
      <c r="B737" s="3">
        <v>45845</v>
      </c>
      <c r="C737" s="1" t="s">
        <v>62</v>
      </c>
      <c r="D737" s="1">
        <v>7</v>
      </c>
      <c r="E737" s="1" t="s">
        <v>817</v>
      </c>
      <c r="F737" s="1" t="s">
        <v>22</v>
      </c>
      <c r="G737" s="1" t="s">
        <v>23</v>
      </c>
      <c r="H737" s="1" t="s">
        <v>99</v>
      </c>
      <c r="I737" s="1" t="s">
        <v>145</v>
      </c>
      <c r="J737" s="1">
        <v>1</v>
      </c>
      <c r="K737" s="1">
        <v>22448.400000000001</v>
      </c>
      <c r="L737" s="1">
        <v>0.1</v>
      </c>
      <c r="M737" s="1">
        <v>22448.400000000001</v>
      </c>
      <c r="N737" s="1">
        <v>2244.84</v>
      </c>
      <c r="O737" s="1">
        <v>20203.560000000001</v>
      </c>
      <c r="P737" s="1">
        <v>13738.4208</v>
      </c>
      <c r="Q737" s="1">
        <v>6465.1391999999996</v>
      </c>
      <c r="R737" s="1">
        <v>32</v>
      </c>
      <c r="S737" s="1" t="s">
        <v>73</v>
      </c>
    </row>
    <row r="738" spans="1:19" x14ac:dyDescent="0.35">
      <c r="A738" s="1" t="s">
        <v>1099</v>
      </c>
      <c r="B738" s="3">
        <v>45742</v>
      </c>
      <c r="C738" s="1" t="s">
        <v>28</v>
      </c>
      <c r="D738" s="1">
        <v>3</v>
      </c>
      <c r="E738" s="1" t="s">
        <v>696</v>
      </c>
      <c r="F738" s="1" t="s">
        <v>47</v>
      </c>
      <c r="G738" s="1" t="s">
        <v>38</v>
      </c>
      <c r="H738" s="1" t="s">
        <v>24</v>
      </c>
      <c r="I738" s="1" t="s">
        <v>139</v>
      </c>
      <c r="J738" s="1">
        <v>4</v>
      </c>
      <c r="K738" s="1">
        <v>591.69000000000005</v>
      </c>
      <c r="L738" s="1">
        <v>0.25</v>
      </c>
      <c r="M738" s="1">
        <v>2366.7600000000002</v>
      </c>
      <c r="N738" s="1">
        <v>591.69000000000005</v>
      </c>
      <c r="O738" s="1">
        <v>1775.07</v>
      </c>
      <c r="P738" s="1">
        <v>976.28850000000011</v>
      </c>
      <c r="Q738" s="1">
        <v>798.78150000000005</v>
      </c>
      <c r="R738" s="1">
        <v>45</v>
      </c>
      <c r="S738" s="1" t="s">
        <v>33</v>
      </c>
    </row>
    <row r="739" spans="1:19" x14ac:dyDescent="0.35">
      <c r="A739" s="1" t="s">
        <v>1100</v>
      </c>
      <c r="B739" s="3">
        <v>45687</v>
      </c>
      <c r="C739" s="1" t="s">
        <v>193</v>
      </c>
      <c r="D739" s="1">
        <v>1</v>
      </c>
      <c r="E739" s="1" t="s">
        <v>293</v>
      </c>
      <c r="F739" s="1" t="s">
        <v>69</v>
      </c>
      <c r="G739" s="1" t="s">
        <v>64</v>
      </c>
      <c r="H739" s="1" t="s">
        <v>99</v>
      </c>
      <c r="I739" s="1" t="s">
        <v>100</v>
      </c>
      <c r="J739" s="1">
        <v>1</v>
      </c>
      <c r="K739" s="1">
        <v>24079.4</v>
      </c>
      <c r="L739" s="1">
        <v>0.05</v>
      </c>
      <c r="M739" s="1">
        <v>24079.4</v>
      </c>
      <c r="N739" s="1">
        <v>1203.97</v>
      </c>
      <c r="O739" s="1">
        <v>22875.43</v>
      </c>
      <c r="P739" s="1">
        <v>15555.2924</v>
      </c>
      <c r="Q739" s="1">
        <v>7320.1375999999982</v>
      </c>
      <c r="R739" s="1">
        <v>31.999999999999989</v>
      </c>
      <c r="S739" s="1" t="s">
        <v>26</v>
      </c>
    </row>
    <row r="740" spans="1:19" x14ac:dyDescent="0.35">
      <c r="A740" s="1" t="s">
        <v>1101</v>
      </c>
      <c r="B740" s="3">
        <v>45872</v>
      </c>
      <c r="C740" s="1" t="s">
        <v>113</v>
      </c>
      <c r="D740" s="1">
        <v>8</v>
      </c>
      <c r="E740" s="1" t="s">
        <v>1102</v>
      </c>
      <c r="F740" s="1" t="s">
        <v>22</v>
      </c>
      <c r="G740" s="1" t="s">
        <v>64</v>
      </c>
      <c r="H740" s="1" t="s">
        <v>53</v>
      </c>
      <c r="I740" s="1" t="s">
        <v>185</v>
      </c>
      <c r="J740" s="1">
        <v>2</v>
      </c>
      <c r="K740" s="1">
        <v>1144.7</v>
      </c>
      <c r="L740" s="1">
        <v>0.1</v>
      </c>
      <c r="M740" s="1">
        <v>2289.4</v>
      </c>
      <c r="N740" s="1">
        <v>228.94</v>
      </c>
      <c r="O740" s="1">
        <v>2060.46</v>
      </c>
      <c r="P740" s="1">
        <v>1195.0668000000001</v>
      </c>
      <c r="Q740" s="1">
        <v>865.39320000000021</v>
      </c>
      <c r="R740" s="1">
        <v>42.000000000000007</v>
      </c>
      <c r="S740" s="1" t="s">
        <v>26</v>
      </c>
    </row>
    <row r="741" spans="1:19" x14ac:dyDescent="0.35">
      <c r="A741" s="1" t="s">
        <v>1103</v>
      </c>
      <c r="B741" s="3">
        <v>45886</v>
      </c>
      <c r="C741" s="1" t="s">
        <v>113</v>
      </c>
      <c r="D741" s="1">
        <v>8</v>
      </c>
      <c r="E741" s="1" t="s">
        <v>424</v>
      </c>
      <c r="F741" s="1" t="s">
        <v>30</v>
      </c>
      <c r="G741" s="1" t="s">
        <v>64</v>
      </c>
      <c r="H741" s="1" t="s">
        <v>53</v>
      </c>
      <c r="I741" s="1" t="s">
        <v>54</v>
      </c>
      <c r="J741" s="1">
        <v>1</v>
      </c>
      <c r="K741" s="1">
        <v>659.25</v>
      </c>
      <c r="L741" s="1">
        <v>0.2</v>
      </c>
      <c r="M741" s="1">
        <v>659.25</v>
      </c>
      <c r="N741" s="1">
        <v>131.85</v>
      </c>
      <c r="O741" s="1">
        <v>527.4</v>
      </c>
      <c r="P741" s="1">
        <v>305.89199999999988</v>
      </c>
      <c r="Q741" s="1">
        <v>221.50800000000001</v>
      </c>
      <c r="R741" s="1">
        <v>42.000000000000007</v>
      </c>
      <c r="S741" s="1" t="s">
        <v>33</v>
      </c>
    </row>
    <row r="742" spans="1:19" x14ac:dyDescent="0.35">
      <c r="A742" s="1" t="s">
        <v>1104</v>
      </c>
      <c r="B742" s="3">
        <v>45834</v>
      </c>
      <c r="C742" s="1" t="s">
        <v>82</v>
      </c>
      <c r="D742" s="1">
        <v>6</v>
      </c>
      <c r="E742" s="1" t="s">
        <v>119</v>
      </c>
      <c r="F742" s="1" t="s">
        <v>22</v>
      </c>
      <c r="G742" s="1" t="s">
        <v>64</v>
      </c>
      <c r="H742" s="1" t="s">
        <v>99</v>
      </c>
      <c r="I742" s="1" t="s">
        <v>100</v>
      </c>
      <c r="J742" s="1">
        <v>5</v>
      </c>
      <c r="K742" s="1">
        <v>8311.76</v>
      </c>
      <c r="L742" s="1">
        <v>0.2</v>
      </c>
      <c r="M742" s="1">
        <v>41558.800000000003</v>
      </c>
      <c r="N742" s="1">
        <v>8311.76</v>
      </c>
      <c r="O742" s="1">
        <v>33247.040000000001</v>
      </c>
      <c r="P742" s="1">
        <v>22607.9872</v>
      </c>
      <c r="Q742" s="1">
        <v>10639.052799999999</v>
      </c>
      <c r="R742" s="1">
        <v>31.999999999999989</v>
      </c>
      <c r="S742" s="1" t="s">
        <v>73</v>
      </c>
    </row>
    <row r="743" spans="1:19" x14ac:dyDescent="0.35">
      <c r="A743" s="1" t="s">
        <v>1105</v>
      </c>
      <c r="B743" s="3">
        <v>45899</v>
      </c>
      <c r="C743" s="1" t="s">
        <v>113</v>
      </c>
      <c r="D743" s="1">
        <v>8</v>
      </c>
      <c r="E743" s="1" t="s">
        <v>274</v>
      </c>
      <c r="F743" s="1" t="s">
        <v>76</v>
      </c>
      <c r="G743" s="1" t="s">
        <v>64</v>
      </c>
      <c r="H743" s="1" t="s">
        <v>31</v>
      </c>
      <c r="I743" s="1" t="s">
        <v>32</v>
      </c>
      <c r="J743" s="1">
        <v>6</v>
      </c>
      <c r="K743" s="1">
        <v>3208.7</v>
      </c>
      <c r="L743" s="1">
        <v>0.15</v>
      </c>
      <c r="M743" s="1">
        <v>19252.2</v>
      </c>
      <c r="N743" s="1">
        <v>2887.829999999999</v>
      </c>
      <c r="O743" s="1">
        <v>16364.37</v>
      </c>
      <c r="P743" s="1">
        <v>8509.4723999999987</v>
      </c>
      <c r="Q743" s="1">
        <v>7854.8975999999984</v>
      </c>
      <c r="R743" s="1">
        <v>48</v>
      </c>
      <c r="S743" s="1" t="s">
        <v>60</v>
      </c>
    </row>
    <row r="744" spans="1:19" x14ac:dyDescent="0.35">
      <c r="A744" s="1" t="s">
        <v>1106</v>
      </c>
      <c r="B744" s="3">
        <v>45791</v>
      </c>
      <c r="C744" s="1" t="s">
        <v>97</v>
      </c>
      <c r="D744" s="1">
        <v>5</v>
      </c>
      <c r="E744" s="1" t="s">
        <v>777</v>
      </c>
      <c r="F744" s="1" t="s">
        <v>37</v>
      </c>
      <c r="G744" s="1" t="s">
        <v>64</v>
      </c>
      <c r="H744" s="1" t="s">
        <v>77</v>
      </c>
      <c r="I744" s="1" t="s">
        <v>78</v>
      </c>
      <c r="J744" s="1">
        <v>2</v>
      </c>
      <c r="K744" s="1">
        <v>568.79999999999995</v>
      </c>
      <c r="L744" s="1">
        <v>0.15</v>
      </c>
      <c r="M744" s="1">
        <v>1137.5999999999999</v>
      </c>
      <c r="N744" s="1">
        <v>170.64</v>
      </c>
      <c r="O744" s="1">
        <v>966.95999999999992</v>
      </c>
      <c r="P744" s="1">
        <v>696.21119999999996</v>
      </c>
      <c r="Q744" s="1">
        <v>270.74880000000002</v>
      </c>
      <c r="R744" s="1">
        <v>28</v>
      </c>
      <c r="S744" s="1" t="s">
        <v>73</v>
      </c>
    </row>
    <row r="745" spans="1:19" x14ac:dyDescent="0.35">
      <c r="A745" s="1" t="s">
        <v>1107</v>
      </c>
      <c r="B745" s="3">
        <v>45727</v>
      </c>
      <c r="C745" s="1" t="s">
        <v>28</v>
      </c>
      <c r="D745" s="1">
        <v>3</v>
      </c>
      <c r="E745" s="1" t="s">
        <v>324</v>
      </c>
      <c r="F745" s="1" t="s">
        <v>69</v>
      </c>
      <c r="G745" s="1" t="s">
        <v>23</v>
      </c>
      <c r="H745" s="1" t="s">
        <v>77</v>
      </c>
      <c r="I745" s="1" t="s">
        <v>90</v>
      </c>
      <c r="J745" s="1">
        <v>6</v>
      </c>
      <c r="K745" s="1">
        <v>582.67999999999995</v>
      </c>
      <c r="L745" s="1">
        <v>0.1</v>
      </c>
      <c r="M745" s="1">
        <v>3496.08</v>
      </c>
      <c r="N745" s="1">
        <v>349.608</v>
      </c>
      <c r="O745" s="1">
        <v>3146.4720000000002</v>
      </c>
      <c r="P745" s="1">
        <v>2265.45984</v>
      </c>
      <c r="Q745" s="1">
        <v>881.01216000000022</v>
      </c>
      <c r="R745" s="1">
        <v>28.000000000000011</v>
      </c>
      <c r="S745" s="1" t="s">
        <v>73</v>
      </c>
    </row>
    <row r="746" spans="1:19" x14ac:dyDescent="0.35">
      <c r="A746" s="1" t="s">
        <v>1108</v>
      </c>
      <c r="B746" s="3">
        <v>45746</v>
      </c>
      <c r="C746" s="1" t="s">
        <v>28</v>
      </c>
      <c r="D746" s="1">
        <v>3</v>
      </c>
      <c r="E746" s="1" t="s">
        <v>371</v>
      </c>
      <c r="F746" s="1" t="s">
        <v>43</v>
      </c>
      <c r="G746" s="1" t="s">
        <v>38</v>
      </c>
      <c r="H746" s="1" t="s">
        <v>31</v>
      </c>
      <c r="I746" s="1" t="s">
        <v>59</v>
      </c>
      <c r="J746" s="1">
        <v>5</v>
      </c>
      <c r="K746" s="1">
        <v>1674.68</v>
      </c>
      <c r="L746" s="1">
        <v>0.2</v>
      </c>
      <c r="M746" s="1">
        <v>8373.4</v>
      </c>
      <c r="N746" s="1">
        <v>1674.68</v>
      </c>
      <c r="O746" s="1">
        <v>6698.7199999999993</v>
      </c>
      <c r="P746" s="1">
        <v>3483.3344000000002</v>
      </c>
      <c r="Q746" s="1">
        <v>3215.3856000000001</v>
      </c>
      <c r="R746" s="1">
        <v>48</v>
      </c>
      <c r="S746" s="1" t="s">
        <v>73</v>
      </c>
    </row>
    <row r="747" spans="1:19" x14ac:dyDescent="0.35">
      <c r="A747" s="1" t="s">
        <v>1109</v>
      </c>
      <c r="B747" s="3">
        <v>45926</v>
      </c>
      <c r="C747" s="1" t="s">
        <v>50</v>
      </c>
      <c r="D747" s="1">
        <v>9</v>
      </c>
      <c r="E747" s="1" t="s">
        <v>529</v>
      </c>
      <c r="F747" s="1" t="s">
        <v>37</v>
      </c>
      <c r="G747" s="1" t="s">
        <v>38</v>
      </c>
      <c r="H747" s="1" t="s">
        <v>99</v>
      </c>
      <c r="I747" s="1" t="s">
        <v>223</v>
      </c>
      <c r="J747" s="1">
        <v>3</v>
      </c>
      <c r="K747" s="1">
        <v>23483.55</v>
      </c>
      <c r="L747" s="1">
        <v>0.05</v>
      </c>
      <c r="M747" s="1">
        <v>70450.649999999994</v>
      </c>
      <c r="N747" s="1">
        <v>3522.5324999999998</v>
      </c>
      <c r="O747" s="1">
        <v>66928.117499999993</v>
      </c>
      <c r="P747" s="1">
        <v>45511.119899999998</v>
      </c>
      <c r="Q747" s="1">
        <v>21416.997599999999</v>
      </c>
      <c r="R747" s="1">
        <v>32</v>
      </c>
      <c r="S747" s="1" t="s">
        <v>26</v>
      </c>
    </row>
    <row r="748" spans="1:19" x14ac:dyDescent="0.35">
      <c r="A748" s="1" t="s">
        <v>1110</v>
      </c>
      <c r="B748" s="3">
        <v>45980</v>
      </c>
      <c r="C748" s="1" t="s">
        <v>56</v>
      </c>
      <c r="D748" s="1">
        <v>11</v>
      </c>
      <c r="E748" s="1" t="s">
        <v>68</v>
      </c>
      <c r="F748" s="1" t="s">
        <v>43</v>
      </c>
      <c r="G748" s="1" t="s">
        <v>23</v>
      </c>
      <c r="H748" s="1" t="s">
        <v>99</v>
      </c>
      <c r="I748" s="1" t="s">
        <v>108</v>
      </c>
      <c r="J748" s="1">
        <v>7</v>
      </c>
      <c r="K748" s="1">
        <v>9394.9500000000007</v>
      </c>
      <c r="L748" s="1">
        <v>0.3</v>
      </c>
      <c r="M748" s="1">
        <v>65764.650000000009</v>
      </c>
      <c r="N748" s="1">
        <v>19729.395</v>
      </c>
      <c r="O748" s="1">
        <v>46035.254999999997</v>
      </c>
      <c r="P748" s="1">
        <v>31303.97340000001</v>
      </c>
      <c r="Q748" s="1">
        <v>14731.2816</v>
      </c>
      <c r="R748" s="1">
        <v>32</v>
      </c>
      <c r="S748" s="1" t="s">
        <v>93</v>
      </c>
    </row>
    <row r="749" spans="1:19" x14ac:dyDescent="0.35">
      <c r="A749" s="1" t="s">
        <v>1111</v>
      </c>
      <c r="B749" s="3">
        <v>45786</v>
      </c>
      <c r="C749" s="1" t="s">
        <v>97</v>
      </c>
      <c r="D749" s="1">
        <v>5</v>
      </c>
      <c r="E749" s="1" t="s">
        <v>1053</v>
      </c>
      <c r="F749" s="1" t="s">
        <v>47</v>
      </c>
      <c r="G749" s="1" t="s">
        <v>64</v>
      </c>
      <c r="H749" s="1" t="s">
        <v>53</v>
      </c>
      <c r="I749" s="1" t="s">
        <v>123</v>
      </c>
      <c r="J749" s="1">
        <v>4</v>
      </c>
      <c r="K749" s="1">
        <v>1574.8</v>
      </c>
      <c r="L749" s="1">
        <v>0.25</v>
      </c>
      <c r="M749" s="1">
        <v>6299.2</v>
      </c>
      <c r="N749" s="1">
        <v>1574.8</v>
      </c>
      <c r="O749" s="1">
        <v>4724.3999999999996</v>
      </c>
      <c r="P749" s="1">
        <v>2740.152</v>
      </c>
      <c r="Q749" s="1">
        <v>1984.248</v>
      </c>
      <c r="R749" s="1">
        <v>42.000000000000007</v>
      </c>
      <c r="S749" s="1" t="s">
        <v>26</v>
      </c>
    </row>
    <row r="750" spans="1:19" x14ac:dyDescent="0.35">
      <c r="A750" s="1" t="s">
        <v>1112</v>
      </c>
      <c r="B750" s="3">
        <v>46013</v>
      </c>
      <c r="C750" s="1" t="s">
        <v>67</v>
      </c>
      <c r="D750" s="1">
        <v>12</v>
      </c>
      <c r="E750" s="1" t="s">
        <v>1113</v>
      </c>
      <c r="F750" s="1" t="s">
        <v>37</v>
      </c>
      <c r="G750" s="1" t="s">
        <v>64</v>
      </c>
      <c r="H750" s="1" t="s">
        <v>53</v>
      </c>
      <c r="I750" s="1" t="s">
        <v>128</v>
      </c>
      <c r="J750" s="1">
        <v>7</v>
      </c>
      <c r="K750" s="1">
        <v>2021.29</v>
      </c>
      <c r="L750" s="1">
        <v>0.2</v>
      </c>
      <c r="M750" s="1">
        <v>14149.03</v>
      </c>
      <c r="N750" s="1">
        <v>2829.806</v>
      </c>
      <c r="O750" s="1">
        <v>11319.224</v>
      </c>
      <c r="P750" s="1">
        <v>6565.1499199999989</v>
      </c>
      <c r="Q750" s="1">
        <v>4754.0740799999994</v>
      </c>
      <c r="R750" s="1">
        <v>42</v>
      </c>
      <c r="S750" s="1" t="s">
        <v>73</v>
      </c>
    </row>
    <row r="751" spans="1:19" x14ac:dyDescent="0.35">
      <c r="A751" s="1" t="s">
        <v>1114</v>
      </c>
      <c r="B751" s="3">
        <v>45849</v>
      </c>
      <c r="C751" s="1" t="s">
        <v>62</v>
      </c>
      <c r="D751" s="1">
        <v>7</v>
      </c>
      <c r="E751" s="1" t="s">
        <v>343</v>
      </c>
      <c r="F751" s="1" t="s">
        <v>69</v>
      </c>
      <c r="G751" s="1" t="s">
        <v>23</v>
      </c>
      <c r="H751" s="1" t="s">
        <v>53</v>
      </c>
      <c r="I751" s="1" t="s">
        <v>123</v>
      </c>
      <c r="J751" s="1">
        <v>2</v>
      </c>
      <c r="K751" s="1">
        <v>745.26</v>
      </c>
      <c r="L751" s="1">
        <v>0.3</v>
      </c>
      <c r="M751" s="1">
        <v>1490.52</v>
      </c>
      <c r="N751" s="1">
        <v>447.15600000000001</v>
      </c>
      <c r="O751" s="1">
        <v>1043.364</v>
      </c>
      <c r="P751" s="1">
        <v>605.15111999999999</v>
      </c>
      <c r="Q751" s="1">
        <v>438.21287999999998</v>
      </c>
      <c r="R751" s="1">
        <v>42.000000000000007</v>
      </c>
      <c r="S751" s="1" t="s">
        <v>26</v>
      </c>
    </row>
    <row r="752" spans="1:19" x14ac:dyDescent="0.35">
      <c r="A752" s="1" t="s">
        <v>1115</v>
      </c>
      <c r="B752" s="3">
        <v>45991</v>
      </c>
      <c r="C752" s="1" t="s">
        <v>56</v>
      </c>
      <c r="D752" s="1">
        <v>11</v>
      </c>
      <c r="E752" s="1" t="s">
        <v>633</v>
      </c>
      <c r="F752" s="1" t="s">
        <v>22</v>
      </c>
      <c r="G752" s="1" t="s">
        <v>64</v>
      </c>
      <c r="H752" s="1" t="s">
        <v>39</v>
      </c>
      <c r="I752" s="1" t="s">
        <v>87</v>
      </c>
      <c r="J752" s="1">
        <v>1</v>
      </c>
      <c r="K752" s="1">
        <v>14931.5</v>
      </c>
      <c r="L752" s="1">
        <v>0.15</v>
      </c>
      <c r="M752" s="1">
        <v>14931.5</v>
      </c>
      <c r="N752" s="1">
        <v>2239.7249999999999</v>
      </c>
      <c r="O752" s="1">
        <v>12691.775</v>
      </c>
      <c r="P752" s="1">
        <v>9899.5845000000008</v>
      </c>
      <c r="Q752" s="1">
        <v>2792.1904999999988</v>
      </c>
      <c r="R752" s="1">
        <v>21.999999999999989</v>
      </c>
      <c r="S752" s="1" t="s">
        <v>60</v>
      </c>
    </row>
    <row r="753" spans="1:19" x14ac:dyDescent="0.35">
      <c r="A753" s="1" t="s">
        <v>1116</v>
      </c>
      <c r="B753" s="3">
        <v>45940</v>
      </c>
      <c r="C753" s="1" t="s">
        <v>35</v>
      </c>
      <c r="D753" s="1">
        <v>10</v>
      </c>
      <c r="E753" s="1" t="s">
        <v>71</v>
      </c>
      <c r="F753" s="1" t="s">
        <v>76</v>
      </c>
      <c r="G753" s="1" t="s">
        <v>38</v>
      </c>
      <c r="H753" s="1" t="s">
        <v>99</v>
      </c>
      <c r="I753" s="1" t="s">
        <v>100</v>
      </c>
      <c r="J753" s="1">
        <v>3</v>
      </c>
      <c r="K753" s="1">
        <v>11645.41</v>
      </c>
      <c r="L753" s="1">
        <v>0.2</v>
      </c>
      <c r="M753" s="1">
        <v>34936.230000000003</v>
      </c>
      <c r="N753" s="1">
        <v>6987.2459999999992</v>
      </c>
      <c r="O753" s="1">
        <v>27948.984</v>
      </c>
      <c r="P753" s="1">
        <v>19005.309120000002</v>
      </c>
      <c r="Q753" s="1">
        <v>8943.6748799999987</v>
      </c>
      <c r="R753" s="1">
        <v>32</v>
      </c>
      <c r="S753" s="1" t="s">
        <v>73</v>
      </c>
    </row>
    <row r="754" spans="1:19" x14ac:dyDescent="0.35">
      <c r="A754" s="1" t="s">
        <v>1117</v>
      </c>
      <c r="B754" s="3">
        <v>45901</v>
      </c>
      <c r="C754" s="1" t="s">
        <v>50</v>
      </c>
      <c r="D754" s="1">
        <v>9</v>
      </c>
      <c r="E754" s="1" t="s">
        <v>363</v>
      </c>
      <c r="F754" s="1" t="s">
        <v>22</v>
      </c>
      <c r="G754" s="1" t="s">
        <v>23</v>
      </c>
      <c r="H754" s="1" t="s">
        <v>53</v>
      </c>
      <c r="I754" s="1" t="s">
        <v>123</v>
      </c>
      <c r="J754" s="1">
        <v>4</v>
      </c>
      <c r="K754" s="1">
        <v>2052.9</v>
      </c>
      <c r="L754" s="1">
        <v>0.05</v>
      </c>
      <c r="M754" s="1">
        <v>8211.6</v>
      </c>
      <c r="N754" s="1">
        <v>410.58</v>
      </c>
      <c r="O754" s="1">
        <v>7801.02</v>
      </c>
      <c r="P754" s="1">
        <v>4524.5915999999997</v>
      </c>
      <c r="Q754" s="1">
        <v>3276.4284000000011</v>
      </c>
      <c r="R754" s="1">
        <v>42.000000000000007</v>
      </c>
      <c r="S754" s="1" t="s">
        <v>60</v>
      </c>
    </row>
    <row r="755" spans="1:19" x14ac:dyDescent="0.35">
      <c r="A755" s="1" t="s">
        <v>1118</v>
      </c>
      <c r="B755" s="3">
        <v>45742</v>
      </c>
      <c r="C755" s="1" t="s">
        <v>28</v>
      </c>
      <c r="D755" s="1">
        <v>3</v>
      </c>
      <c r="E755" s="1" t="s">
        <v>549</v>
      </c>
      <c r="F755" s="1" t="s">
        <v>76</v>
      </c>
      <c r="G755" s="1" t="s">
        <v>38</v>
      </c>
      <c r="H755" s="1" t="s">
        <v>53</v>
      </c>
      <c r="I755" s="1" t="s">
        <v>123</v>
      </c>
      <c r="J755" s="1">
        <v>5</v>
      </c>
      <c r="K755" s="1">
        <v>219.66</v>
      </c>
      <c r="L755" s="1">
        <v>0.05</v>
      </c>
      <c r="M755" s="1">
        <v>1098.3</v>
      </c>
      <c r="N755" s="1">
        <v>54.914999999999999</v>
      </c>
      <c r="O755" s="1">
        <v>1043.385</v>
      </c>
      <c r="P755" s="1">
        <v>605.16329999999994</v>
      </c>
      <c r="Q755" s="1">
        <v>438.22170000000011</v>
      </c>
      <c r="R755" s="1">
        <v>42.000000000000007</v>
      </c>
      <c r="S755" s="1" t="s">
        <v>26</v>
      </c>
    </row>
    <row r="756" spans="1:19" x14ac:dyDescent="0.35">
      <c r="A756" s="1" t="s">
        <v>1119</v>
      </c>
      <c r="B756" s="3">
        <v>45877</v>
      </c>
      <c r="C756" s="1" t="s">
        <v>113</v>
      </c>
      <c r="D756" s="1">
        <v>8</v>
      </c>
      <c r="E756" s="1" t="s">
        <v>1076</v>
      </c>
      <c r="F756" s="1" t="s">
        <v>69</v>
      </c>
      <c r="G756" s="1" t="s">
        <v>23</v>
      </c>
      <c r="H756" s="1" t="s">
        <v>24</v>
      </c>
      <c r="I756" s="1" t="s">
        <v>139</v>
      </c>
      <c r="J756" s="1">
        <v>7</v>
      </c>
      <c r="K756" s="1">
        <v>3264.47</v>
      </c>
      <c r="L756" s="1">
        <v>0.05</v>
      </c>
      <c r="M756" s="1">
        <v>22851.29</v>
      </c>
      <c r="N756" s="1">
        <v>1142.5645</v>
      </c>
      <c r="O756" s="1">
        <v>21708.7255</v>
      </c>
      <c r="P756" s="1">
        <v>11939.799025</v>
      </c>
      <c r="Q756" s="1">
        <v>9768.9264749999984</v>
      </c>
      <c r="R756" s="1">
        <v>45</v>
      </c>
      <c r="S756" s="1" t="s">
        <v>93</v>
      </c>
    </row>
    <row r="757" spans="1:19" x14ac:dyDescent="0.35">
      <c r="A757" s="1" t="s">
        <v>1120</v>
      </c>
      <c r="B757" s="3">
        <v>45715</v>
      </c>
      <c r="C757" s="1" t="s">
        <v>42</v>
      </c>
      <c r="D757" s="1">
        <v>2</v>
      </c>
      <c r="E757" s="1" t="s">
        <v>283</v>
      </c>
      <c r="F757" s="1" t="s">
        <v>52</v>
      </c>
      <c r="G757" s="1" t="s">
        <v>23</v>
      </c>
      <c r="H757" s="1" t="s">
        <v>31</v>
      </c>
      <c r="I757" s="1" t="s">
        <v>167</v>
      </c>
      <c r="J757" s="1">
        <v>4</v>
      </c>
      <c r="K757" s="1">
        <v>1988.65</v>
      </c>
      <c r="L757" s="1">
        <v>0.1</v>
      </c>
      <c r="M757" s="1">
        <v>7954.6</v>
      </c>
      <c r="N757" s="1">
        <v>795.46</v>
      </c>
      <c r="O757" s="1">
        <v>7159.14</v>
      </c>
      <c r="P757" s="1">
        <v>3722.7528000000002</v>
      </c>
      <c r="Q757" s="1">
        <v>3436.3872000000001</v>
      </c>
      <c r="R757" s="1">
        <v>48</v>
      </c>
      <c r="S757" s="1" t="s">
        <v>73</v>
      </c>
    </row>
    <row r="758" spans="1:19" x14ac:dyDescent="0.35">
      <c r="A758" s="1" t="s">
        <v>1121</v>
      </c>
      <c r="B758" s="3">
        <v>45778</v>
      </c>
      <c r="C758" s="1" t="s">
        <v>97</v>
      </c>
      <c r="D758" s="1">
        <v>5</v>
      </c>
      <c r="E758" s="1" t="s">
        <v>220</v>
      </c>
      <c r="F758" s="1" t="s">
        <v>69</v>
      </c>
      <c r="G758" s="1" t="s">
        <v>64</v>
      </c>
      <c r="H758" s="1" t="s">
        <v>99</v>
      </c>
      <c r="I758" s="1" t="s">
        <v>120</v>
      </c>
      <c r="J758" s="1">
        <v>6</v>
      </c>
      <c r="K758" s="1">
        <v>9777.4599999999991</v>
      </c>
      <c r="L758" s="1">
        <v>0.2</v>
      </c>
      <c r="M758" s="1">
        <v>58664.759999999987</v>
      </c>
      <c r="N758" s="1">
        <v>11732.951999999999</v>
      </c>
      <c r="O758" s="1">
        <v>46931.807999999997</v>
      </c>
      <c r="P758" s="1">
        <v>31913.629440000001</v>
      </c>
      <c r="Q758" s="1">
        <v>15018.17856</v>
      </c>
      <c r="R758" s="1">
        <v>32</v>
      </c>
      <c r="S758" s="1" t="s">
        <v>26</v>
      </c>
    </row>
    <row r="759" spans="1:19" x14ac:dyDescent="0.35">
      <c r="A759" s="1" t="s">
        <v>1122</v>
      </c>
      <c r="B759" s="3">
        <v>45705</v>
      </c>
      <c r="C759" s="1" t="s">
        <v>42</v>
      </c>
      <c r="D759" s="1">
        <v>2</v>
      </c>
      <c r="E759" s="1" t="s">
        <v>472</v>
      </c>
      <c r="F759" s="1" t="s">
        <v>47</v>
      </c>
      <c r="G759" s="1" t="s">
        <v>23</v>
      </c>
      <c r="H759" s="1" t="s">
        <v>39</v>
      </c>
      <c r="I759" s="1" t="s">
        <v>155</v>
      </c>
      <c r="J759" s="1">
        <v>1</v>
      </c>
      <c r="K759" s="1">
        <v>62853.27</v>
      </c>
      <c r="L759" s="1">
        <v>0.1</v>
      </c>
      <c r="M759" s="1">
        <v>62853.27</v>
      </c>
      <c r="N759" s="1">
        <v>6285.3270000000002</v>
      </c>
      <c r="O759" s="1">
        <v>56567.942999999999</v>
      </c>
      <c r="P759" s="1">
        <v>44122.995540000004</v>
      </c>
      <c r="Q759" s="1">
        <v>12444.947459999999</v>
      </c>
      <c r="R759" s="1">
        <v>21.999999999999989</v>
      </c>
      <c r="S759" s="1" t="s">
        <v>60</v>
      </c>
    </row>
    <row r="760" spans="1:19" x14ac:dyDescent="0.35">
      <c r="A760" s="1" t="s">
        <v>1123</v>
      </c>
      <c r="B760" s="3">
        <v>45832</v>
      </c>
      <c r="C760" s="1" t="s">
        <v>82</v>
      </c>
      <c r="D760" s="1">
        <v>6</v>
      </c>
      <c r="E760" s="1" t="s">
        <v>405</v>
      </c>
      <c r="F760" s="1" t="s">
        <v>30</v>
      </c>
      <c r="G760" s="1" t="s">
        <v>23</v>
      </c>
      <c r="H760" s="1" t="s">
        <v>77</v>
      </c>
      <c r="I760" s="1" t="s">
        <v>148</v>
      </c>
      <c r="J760" s="1">
        <v>3</v>
      </c>
      <c r="K760" s="1">
        <v>765.65</v>
      </c>
      <c r="L760" s="1">
        <v>0.25</v>
      </c>
      <c r="M760" s="1">
        <v>2296.9499999999998</v>
      </c>
      <c r="N760" s="1">
        <v>574.23749999999995</v>
      </c>
      <c r="O760" s="1">
        <v>1722.7125000000001</v>
      </c>
      <c r="P760" s="1">
        <v>1240.3530000000001</v>
      </c>
      <c r="Q760" s="1">
        <v>482.35950000000003</v>
      </c>
      <c r="R760" s="1">
        <v>28</v>
      </c>
      <c r="S760" s="1" t="s">
        <v>73</v>
      </c>
    </row>
    <row r="761" spans="1:19" x14ac:dyDescent="0.35">
      <c r="A761" s="1" t="s">
        <v>1124</v>
      </c>
      <c r="B761" s="3">
        <v>45869</v>
      </c>
      <c r="C761" s="1" t="s">
        <v>62</v>
      </c>
      <c r="D761" s="1">
        <v>7</v>
      </c>
      <c r="E761" s="1" t="s">
        <v>399</v>
      </c>
      <c r="F761" s="1" t="s">
        <v>43</v>
      </c>
      <c r="G761" s="1" t="s">
        <v>23</v>
      </c>
      <c r="H761" s="1" t="s">
        <v>24</v>
      </c>
      <c r="I761" s="1" t="s">
        <v>48</v>
      </c>
      <c r="J761" s="1">
        <v>2</v>
      </c>
      <c r="K761" s="1">
        <v>1933.71</v>
      </c>
      <c r="L761" s="1">
        <v>0.05</v>
      </c>
      <c r="M761" s="1">
        <v>3867.42</v>
      </c>
      <c r="N761" s="1">
        <v>193.37100000000001</v>
      </c>
      <c r="O761" s="1">
        <v>3674.049</v>
      </c>
      <c r="P761" s="1">
        <v>2020.72695</v>
      </c>
      <c r="Q761" s="1">
        <v>1653.32205</v>
      </c>
      <c r="R761" s="1">
        <v>44.999999999999993</v>
      </c>
      <c r="S761" s="1" t="s">
        <v>60</v>
      </c>
    </row>
    <row r="762" spans="1:19" x14ac:dyDescent="0.35">
      <c r="A762" s="1" t="s">
        <v>1125</v>
      </c>
      <c r="B762" s="3">
        <v>45835</v>
      </c>
      <c r="C762" s="1" t="s">
        <v>82</v>
      </c>
      <c r="D762" s="1">
        <v>6</v>
      </c>
      <c r="E762" s="1" t="s">
        <v>441</v>
      </c>
      <c r="F762" s="1" t="s">
        <v>76</v>
      </c>
      <c r="G762" s="1" t="s">
        <v>38</v>
      </c>
      <c r="H762" s="1" t="s">
        <v>31</v>
      </c>
      <c r="I762" s="1" t="s">
        <v>65</v>
      </c>
      <c r="J762" s="1">
        <v>4</v>
      </c>
      <c r="K762" s="1">
        <v>1375.02</v>
      </c>
      <c r="L762" s="1">
        <v>0.2</v>
      </c>
      <c r="M762" s="1">
        <v>5500.08</v>
      </c>
      <c r="N762" s="1">
        <v>1100.0160000000001</v>
      </c>
      <c r="O762" s="1">
        <v>4400.0640000000003</v>
      </c>
      <c r="P762" s="1">
        <v>2288.0332800000001</v>
      </c>
      <c r="Q762" s="1">
        <v>2112.0307200000002</v>
      </c>
      <c r="R762" s="1">
        <v>48.000000000000007</v>
      </c>
      <c r="S762" s="1" t="s">
        <v>60</v>
      </c>
    </row>
    <row r="763" spans="1:19" x14ac:dyDescent="0.35">
      <c r="A763" s="1" t="s">
        <v>1126</v>
      </c>
      <c r="B763" s="3">
        <v>45987</v>
      </c>
      <c r="C763" s="1" t="s">
        <v>56</v>
      </c>
      <c r="D763" s="1">
        <v>11</v>
      </c>
      <c r="E763" s="1" t="s">
        <v>841</v>
      </c>
      <c r="F763" s="1" t="s">
        <v>22</v>
      </c>
      <c r="G763" s="1" t="s">
        <v>38</v>
      </c>
      <c r="H763" s="1" t="s">
        <v>99</v>
      </c>
      <c r="I763" s="1" t="s">
        <v>145</v>
      </c>
      <c r="J763" s="1">
        <v>1</v>
      </c>
      <c r="K763" s="1">
        <v>11164.89</v>
      </c>
      <c r="L763" s="1">
        <v>0.1</v>
      </c>
      <c r="M763" s="1">
        <v>11164.89</v>
      </c>
      <c r="N763" s="1">
        <v>1116.489</v>
      </c>
      <c r="O763" s="1">
        <v>10048.401</v>
      </c>
      <c r="P763" s="1">
        <v>6832.9126800000004</v>
      </c>
      <c r="Q763" s="1">
        <v>3215.488319999999</v>
      </c>
      <c r="R763" s="1">
        <v>32</v>
      </c>
      <c r="S763" s="1" t="s">
        <v>73</v>
      </c>
    </row>
    <row r="764" spans="1:19" x14ac:dyDescent="0.35">
      <c r="A764" s="1" t="s">
        <v>1127</v>
      </c>
      <c r="B764" s="3">
        <v>45686</v>
      </c>
      <c r="C764" s="1" t="s">
        <v>193</v>
      </c>
      <c r="D764" s="1">
        <v>1</v>
      </c>
      <c r="E764" s="1" t="s">
        <v>470</v>
      </c>
      <c r="F764" s="1" t="s">
        <v>76</v>
      </c>
      <c r="G764" s="1" t="s">
        <v>38</v>
      </c>
      <c r="H764" s="1" t="s">
        <v>31</v>
      </c>
      <c r="I764" s="1" t="s">
        <v>167</v>
      </c>
      <c r="J764" s="1">
        <v>6</v>
      </c>
      <c r="K764" s="1">
        <v>2118.36</v>
      </c>
      <c r="L764" s="1">
        <v>0</v>
      </c>
      <c r="M764" s="1">
        <v>12710.16</v>
      </c>
      <c r="N764" s="1">
        <v>0</v>
      </c>
      <c r="O764" s="1">
        <v>12710.16</v>
      </c>
      <c r="P764" s="1">
        <v>6609.2831999999999</v>
      </c>
      <c r="Q764" s="1">
        <v>6100.8768</v>
      </c>
      <c r="R764" s="1">
        <v>48</v>
      </c>
      <c r="S764" s="1" t="s">
        <v>26</v>
      </c>
    </row>
    <row r="765" spans="1:19" x14ac:dyDescent="0.35">
      <c r="A765" s="1" t="s">
        <v>1128</v>
      </c>
      <c r="B765" s="3">
        <v>45843</v>
      </c>
      <c r="C765" s="1" t="s">
        <v>62</v>
      </c>
      <c r="D765" s="1">
        <v>7</v>
      </c>
      <c r="E765" s="1" t="s">
        <v>764</v>
      </c>
      <c r="F765" s="1" t="s">
        <v>47</v>
      </c>
      <c r="G765" s="1" t="s">
        <v>38</v>
      </c>
      <c r="H765" s="1" t="s">
        <v>77</v>
      </c>
      <c r="I765" s="1" t="s">
        <v>148</v>
      </c>
      <c r="J765" s="1">
        <v>5</v>
      </c>
      <c r="K765" s="1">
        <v>503.32</v>
      </c>
      <c r="L765" s="1">
        <v>0.2</v>
      </c>
      <c r="M765" s="1">
        <v>2516.6</v>
      </c>
      <c r="N765" s="1">
        <v>503.32</v>
      </c>
      <c r="O765" s="1">
        <v>2013.28</v>
      </c>
      <c r="P765" s="1">
        <v>1449.5616</v>
      </c>
      <c r="Q765" s="1">
        <v>563.71839999999997</v>
      </c>
      <c r="R765" s="1">
        <v>28</v>
      </c>
      <c r="S765" s="1" t="s">
        <v>73</v>
      </c>
    </row>
    <row r="766" spans="1:19" x14ac:dyDescent="0.35">
      <c r="A766" s="1" t="s">
        <v>1129</v>
      </c>
      <c r="B766" s="3">
        <v>45730</v>
      </c>
      <c r="C766" s="1" t="s">
        <v>28</v>
      </c>
      <c r="D766" s="1">
        <v>3</v>
      </c>
      <c r="E766" s="1" t="s">
        <v>394</v>
      </c>
      <c r="F766" s="1" t="s">
        <v>111</v>
      </c>
      <c r="G766" s="1" t="s">
        <v>23</v>
      </c>
      <c r="H766" s="1" t="s">
        <v>39</v>
      </c>
      <c r="I766" s="1" t="s">
        <v>234</v>
      </c>
      <c r="J766" s="1">
        <v>5</v>
      </c>
      <c r="K766" s="1">
        <v>49385.5</v>
      </c>
      <c r="L766" s="1">
        <v>0.25</v>
      </c>
      <c r="M766" s="1">
        <v>246927.5</v>
      </c>
      <c r="N766" s="1">
        <v>61731.875</v>
      </c>
      <c r="O766" s="1">
        <v>185195.625</v>
      </c>
      <c r="P766" s="1">
        <v>144452.58749999999</v>
      </c>
      <c r="Q766" s="1">
        <v>40743.037500000013</v>
      </c>
      <c r="R766" s="1">
        <v>22</v>
      </c>
      <c r="S766" s="1" t="s">
        <v>60</v>
      </c>
    </row>
    <row r="767" spans="1:19" x14ac:dyDescent="0.35">
      <c r="A767" s="1" t="s">
        <v>1130</v>
      </c>
      <c r="B767" s="3">
        <v>45853</v>
      </c>
      <c r="C767" s="1" t="s">
        <v>62</v>
      </c>
      <c r="D767" s="1">
        <v>7</v>
      </c>
      <c r="E767" s="1" t="s">
        <v>626</v>
      </c>
      <c r="F767" s="1" t="s">
        <v>76</v>
      </c>
      <c r="G767" s="1" t="s">
        <v>38</v>
      </c>
      <c r="H767" s="1" t="s">
        <v>99</v>
      </c>
      <c r="I767" s="1" t="s">
        <v>100</v>
      </c>
      <c r="J767" s="1">
        <v>2</v>
      </c>
      <c r="K767" s="1">
        <v>19896.27</v>
      </c>
      <c r="L767" s="1">
        <v>0</v>
      </c>
      <c r="M767" s="1">
        <v>39792.54</v>
      </c>
      <c r="N767" s="1">
        <v>0</v>
      </c>
      <c r="O767" s="1">
        <v>39792.54</v>
      </c>
      <c r="P767" s="1">
        <v>27058.927199999998</v>
      </c>
      <c r="Q767" s="1">
        <v>12733.612800000001</v>
      </c>
      <c r="R767" s="1">
        <v>32</v>
      </c>
      <c r="S767" s="1" t="s">
        <v>73</v>
      </c>
    </row>
    <row r="768" spans="1:19" x14ac:dyDescent="0.35">
      <c r="A768" s="1" t="s">
        <v>1131</v>
      </c>
      <c r="B768" s="3">
        <v>45673</v>
      </c>
      <c r="C768" s="1" t="s">
        <v>193</v>
      </c>
      <c r="D768" s="1">
        <v>1</v>
      </c>
      <c r="E768" s="1" t="s">
        <v>657</v>
      </c>
      <c r="F768" s="1" t="s">
        <v>76</v>
      </c>
      <c r="G768" s="1" t="s">
        <v>64</v>
      </c>
      <c r="H768" s="1" t="s">
        <v>77</v>
      </c>
      <c r="I768" s="1" t="s">
        <v>90</v>
      </c>
      <c r="J768" s="1">
        <v>4</v>
      </c>
      <c r="K768" s="1">
        <v>393.27</v>
      </c>
      <c r="L768" s="1">
        <v>0.15</v>
      </c>
      <c r="M768" s="1">
        <v>1573.08</v>
      </c>
      <c r="N768" s="1">
        <v>235.96199999999999</v>
      </c>
      <c r="O768" s="1">
        <v>1337.1179999999999</v>
      </c>
      <c r="P768" s="1">
        <v>962.7249599999999</v>
      </c>
      <c r="Q768" s="1">
        <v>374.39303999999998</v>
      </c>
      <c r="R768" s="1">
        <v>28</v>
      </c>
      <c r="S768" s="1" t="s">
        <v>33</v>
      </c>
    </row>
    <row r="769" spans="1:19" x14ac:dyDescent="0.35">
      <c r="A769" s="1" t="s">
        <v>1132</v>
      </c>
      <c r="B769" s="3">
        <v>45810</v>
      </c>
      <c r="C769" s="1" t="s">
        <v>82</v>
      </c>
      <c r="D769" s="1">
        <v>6</v>
      </c>
      <c r="E769" s="1" t="s">
        <v>523</v>
      </c>
      <c r="F769" s="1" t="s">
        <v>58</v>
      </c>
      <c r="G769" s="1" t="s">
        <v>23</v>
      </c>
      <c r="H769" s="1" t="s">
        <v>99</v>
      </c>
      <c r="I769" s="1" t="s">
        <v>223</v>
      </c>
      <c r="J769" s="1">
        <v>1</v>
      </c>
      <c r="K769" s="1">
        <v>18459.16</v>
      </c>
      <c r="L769" s="1">
        <v>0</v>
      </c>
      <c r="M769" s="1">
        <v>18459.16</v>
      </c>
      <c r="N769" s="1">
        <v>0</v>
      </c>
      <c r="O769" s="1">
        <v>18459.16</v>
      </c>
      <c r="P769" s="1">
        <v>12552.228800000001</v>
      </c>
      <c r="Q769" s="1">
        <v>5906.9311999999991</v>
      </c>
      <c r="R769" s="1">
        <v>32</v>
      </c>
      <c r="S769" s="1" t="s">
        <v>60</v>
      </c>
    </row>
    <row r="770" spans="1:19" x14ac:dyDescent="0.35">
      <c r="A770" s="1" t="s">
        <v>1133</v>
      </c>
      <c r="B770" s="3">
        <v>45758</v>
      </c>
      <c r="C770" s="1" t="s">
        <v>20</v>
      </c>
      <c r="D770" s="1">
        <v>4</v>
      </c>
      <c r="E770" s="1" t="s">
        <v>424</v>
      </c>
      <c r="F770" s="1" t="s">
        <v>43</v>
      </c>
      <c r="G770" s="1" t="s">
        <v>23</v>
      </c>
      <c r="H770" s="1" t="s">
        <v>77</v>
      </c>
      <c r="I770" s="1" t="s">
        <v>201</v>
      </c>
      <c r="J770" s="1">
        <v>5</v>
      </c>
      <c r="K770" s="1">
        <v>903.29</v>
      </c>
      <c r="L770" s="1">
        <v>0</v>
      </c>
      <c r="M770" s="1">
        <v>4516.45</v>
      </c>
      <c r="N770" s="1">
        <v>0</v>
      </c>
      <c r="O770" s="1">
        <v>4516.45</v>
      </c>
      <c r="P770" s="1">
        <v>3251.8440000000001</v>
      </c>
      <c r="Q770" s="1">
        <v>1264.606</v>
      </c>
      <c r="R770" s="1">
        <v>28.000000000000011</v>
      </c>
      <c r="S770" s="1" t="s">
        <v>73</v>
      </c>
    </row>
    <row r="771" spans="1:19" x14ac:dyDescent="0.35">
      <c r="A771" s="1" t="s">
        <v>1134</v>
      </c>
      <c r="B771" s="3">
        <v>45688</v>
      </c>
      <c r="C771" s="1" t="s">
        <v>193</v>
      </c>
      <c r="D771" s="1">
        <v>1</v>
      </c>
      <c r="E771" s="1" t="s">
        <v>551</v>
      </c>
      <c r="F771" s="1" t="s">
        <v>58</v>
      </c>
      <c r="G771" s="1" t="s">
        <v>23</v>
      </c>
      <c r="H771" s="1" t="s">
        <v>53</v>
      </c>
      <c r="I771" s="1" t="s">
        <v>123</v>
      </c>
      <c r="J771" s="1">
        <v>7</v>
      </c>
      <c r="K771" s="1">
        <v>776.31</v>
      </c>
      <c r="L771" s="1">
        <v>0.05</v>
      </c>
      <c r="M771" s="1">
        <v>5434.17</v>
      </c>
      <c r="N771" s="1">
        <v>271.70850000000002</v>
      </c>
      <c r="O771" s="1">
        <v>5162.4615000000003</v>
      </c>
      <c r="P771" s="1">
        <v>2994.2276700000002</v>
      </c>
      <c r="Q771" s="1">
        <v>2168.2338300000001</v>
      </c>
      <c r="R771" s="1">
        <v>42</v>
      </c>
      <c r="S771" s="1" t="s">
        <v>26</v>
      </c>
    </row>
    <row r="772" spans="1:19" x14ac:dyDescent="0.35">
      <c r="A772" s="1" t="s">
        <v>1135</v>
      </c>
      <c r="B772" s="3">
        <v>45682</v>
      </c>
      <c r="C772" s="1" t="s">
        <v>193</v>
      </c>
      <c r="D772" s="1">
        <v>1</v>
      </c>
      <c r="E772" s="1" t="s">
        <v>896</v>
      </c>
      <c r="F772" s="1" t="s">
        <v>43</v>
      </c>
      <c r="G772" s="1" t="s">
        <v>38</v>
      </c>
      <c r="H772" s="1" t="s">
        <v>53</v>
      </c>
      <c r="I772" s="1" t="s">
        <v>72</v>
      </c>
      <c r="J772" s="1">
        <v>4</v>
      </c>
      <c r="K772" s="1">
        <v>1407.58</v>
      </c>
      <c r="L772" s="1">
        <v>0.05</v>
      </c>
      <c r="M772" s="1">
        <v>5630.32</v>
      </c>
      <c r="N772" s="1">
        <v>281.51600000000002</v>
      </c>
      <c r="O772" s="1">
        <v>5348.8040000000001</v>
      </c>
      <c r="P772" s="1">
        <v>3102.3063200000001</v>
      </c>
      <c r="Q772" s="1">
        <v>2246.4976799999999</v>
      </c>
      <c r="R772" s="1">
        <v>42.000000000000007</v>
      </c>
      <c r="S772" s="1" t="s">
        <v>73</v>
      </c>
    </row>
    <row r="773" spans="1:19" x14ac:dyDescent="0.35">
      <c r="A773" s="1" t="s">
        <v>1136</v>
      </c>
      <c r="B773" s="3">
        <v>45743</v>
      </c>
      <c r="C773" s="1" t="s">
        <v>28</v>
      </c>
      <c r="D773" s="1">
        <v>3</v>
      </c>
      <c r="E773" s="1" t="s">
        <v>454</v>
      </c>
      <c r="F773" s="1" t="s">
        <v>76</v>
      </c>
      <c r="G773" s="1" t="s">
        <v>38</v>
      </c>
      <c r="H773" s="1" t="s">
        <v>53</v>
      </c>
      <c r="I773" s="1" t="s">
        <v>72</v>
      </c>
      <c r="J773" s="1">
        <v>6</v>
      </c>
      <c r="K773" s="1">
        <v>372.75</v>
      </c>
      <c r="L773" s="1">
        <v>0</v>
      </c>
      <c r="M773" s="1">
        <v>2236.5</v>
      </c>
      <c r="N773" s="1">
        <v>0</v>
      </c>
      <c r="O773" s="1">
        <v>2236.5</v>
      </c>
      <c r="P773" s="1">
        <v>1297.17</v>
      </c>
      <c r="Q773" s="1">
        <v>939.33000000000015</v>
      </c>
      <c r="R773" s="1">
        <v>42.000000000000007</v>
      </c>
      <c r="S773" s="1" t="s">
        <v>26</v>
      </c>
    </row>
    <row r="774" spans="1:19" x14ac:dyDescent="0.35">
      <c r="A774" s="1" t="s">
        <v>1137</v>
      </c>
      <c r="B774" s="3">
        <v>45672</v>
      </c>
      <c r="C774" s="1" t="s">
        <v>193</v>
      </c>
      <c r="D774" s="1">
        <v>1</v>
      </c>
      <c r="E774" s="1" t="s">
        <v>328</v>
      </c>
      <c r="F774" s="1" t="s">
        <v>37</v>
      </c>
      <c r="G774" s="1" t="s">
        <v>23</v>
      </c>
      <c r="H774" s="1" t="s">
        <v>53</v>
      </c>
      <c r="I774" s="1" t="s">
        <v>72</v>
      </c>
      <c r="J774" s="1">
        <v>5</v>
      </c>
      <c r="K774" s="1">
        <v>581.71</v>
      </c>
      <c r="L774" s="1">
        <v>0.25</v>
      </c>
      <c r="M774" s="1">
        <v>2908.55</v>
      </c>
      <c r="N774" s="1">
        <v>727.13750000000005</v>
      </c>
      <c r="O774" s="1">
        <v>2181.4124999999999</v>
      </c>
      <c r="P774" s="1">
        <v>1265.2192500000001</v>
      </c>
      <c r="Q774" s="1">
        <v>916.19325000000026</v>
      </c>
      <c r="R774" s="1">
        <v>42.000000000000007</v>
      </c>
      <c r="S774" s="1" t="s">
        <v>33</v>
      </c>
    </row>
    <row r="775" spans="1:19" x14ac:dyDescent="0.35">
      <c r="A775" s="1" t="s">
        <v>1138</v>
      </c>
      <c r="B775" s="3">
        <v>45871</v>
      </c>
      <c r="C775" s="1" t="s">
        <v>113</v>
      </c>
      <c r="D775" s="1">
        <v>8</v>
      </c>
      <c r="E775" s="1" t="s">
        <v>833</v>
      </c>
      <c r="F775" s="1" t="s">
        <v>30</v>
      </c>
      <c r="G775" s="1" t="s">
        <v>64</v>
      </c>
      <c r="H775" s="1" t="s">
        <v>99</v>
      </c>
      <c r="I775" s="1" t="s">
        <v>100</v>
      </c>
      <c r="J775" s="1">
        <v>6</v>
      </c>
      <c r="K775" s="1">
        <v>16841.560000000001</v>
      </c>
      <c r="L775" s="1">
        <v>0.2</v>
      </c>
      <c r="M775" s="1">
        <v>101049.36</v>
      </c>
      <c r="N775" s="1">
        <v>20209.871999999999</v>
      </c>
      <c r="O775" s="1">
        <v>80839.488000000012</v>
      </c>
      <c r="P775" s="1">
        <v>54970.85184000001</v>
      </c>
      <c r="Q775" s="1">
        <v>25868.636159999998</v>
      </c>
      <c r="R775" s="1">
        <v>32</v>
      </c>
      <c r="S775" s="1" t="s">
        <v>93</v>
      </c>
    </row>
    <row r="776" spans="1:19" x14ac:dyDescent="0.35">
      <c r="A776" s="1" t="s">
        <v>1139</v>
      </c>
      <c r="B776" s="3">
        <v>45931</v>
      </c>
      <c r="C776" s="1" t="s">
        <v>35</v>
      </c>
      <c r="D776" s="1">
        <v>10</v>
      </c>
      <c r="E776" s="1" t="s">
        <v>821</v>
      </c>
      <c r="F776" s="1" t="s">
        <v>69</v>
      </c>
      <c r="G776" s="1" t="s">
        <v>64</v>
      </c>
      <c r="H776" s="1" t="s">
        <v>77</v>
      </c>
      <c r="I776" s="1" t="s">
        <v>103</v>
      </c>
      <c r="J776" s="1">
        <v>2</v>
      </c>
      <c r="K776" s="1">
        <v>81.59</v>
      </c>
      <c r="L776" s="1">
        <v>0.1</v>
      </c>
      <c r="M776" s="1">
        <v>163.18</v>
      </c>
      <c r="N776" s="1">
        <v>16.318000000000001</v>
      </c>
      <c r="O776" s="1">
        <v>146.86199999999999</v>
      </c>
      <c r="P776" s="1">
        <v>105.74064</v>
      </c>
      <c r="Q776" s="1">
        <v>41.121360000000003</v>
      </c>
      <c r="R776" s="1">
        <v>28</v>
      </c>
      <c r="S776" s="1" t="s">
        <v>26</v>
      </c>
    </row>
    <row r="777" spans="1:19" x14ac:dyDescent="0.35">
      <c r="A777" s="1" t="s">
        <v>1140</v>
      </c>
      <c r="B777" s="3">
        <v>45952</v>
      </c>
      <c r="C777" s="1" t="s">
        <v>35</v>
      </c>
      <c r="D777" s="1">
        <v>10</v>
      </c>
      <c r="E777" s="1" t="s">
        <v>465</v>
      </c>
      <c r="F777" s="1" t="s">
        <v>52</v>
      </c>
      <c r="G777" s="1" t="s">
        <v>64</v>
      </c>
      <c r="H777" s="1" t="s">
        <v>39</v>
      </c>
      <c r="I777" s="1" t="s">
        <v>234</v>
      </c>
      <c r="J777" s="1">
        <v>5</v>
      </c>
      <c r="K777" s="1">
        <v>50500.81</v>
      </c>
      <c r="L777" s="1">
        <v>0.3</v>
      </c>
      <c r="M777" s="1">
        <v>252504.05</v>
      </c>
      <c r="N777" s="1">
        <v>75751.214999999997</v>
      </c>
      <c r="O777" s="1">
        <v>176752.83499999999</v>
      </c>
      <c r="P777" s="1">
        <v>137867.2113</v>
      </c>
      <c r="Q777" s="1">
        <v>38885.623699999996</v>
      </c>
      <c r="R777" s="1">
        <v>22</v>
      </c>
      <c r="S777" s="1" t="s">
        <v>33</v>
      </c>
    </row>
    <row r="778" spans="1:19" x14ac:dyDescent="0.35">
      <c r="A778" s="1" t="s">
        <v>1141</v>
      </c>
      <c r="B778" s="3">
        <v>45963</v>
      </c>
      <c r="C778" s="1" t="s">
        <v>56</v>
      </c>
      <c r="D778" s="1">
        <v>11</v>
      </c>
      <c r="E778" s="1" t="s">
        <v>1142</v>
      </c>
      <c r="F778" s="1" t="s">
        <v>43</v>
      </c>
      <c r="G778" s="1" t="s">
        <v>38</v>
      </c>
      <c r="H778" s="1" t="s">
        <v>31</v>
      </c>
      <c r="I778" s="1" t="s">
        <v>190</v>
      </c>
      <c r="J778" s="1">
        <v>5</v>
      </c>
      <c r="K778" s="1">
        <v>1040.3900000000001</v>
      </c>
      <c r="L778" s="1">
        <v>0.1</v>
      </c>
      <c r="M778" s="1">
        <v>5201.9500000000007</v>
      </c>
      <c r="N778" s="1">
        <v>520.19500000000005</v>
      </c>
      <c r="O778" s="1">
        <v>4681.755000000001</v>
      </c>
      <c r="P778" s="1">
        <v>2434.5126</v>
      </c>
      <c r="Q778" s="1">
        <v>2247.242400000001</v>
      </c>
      <c r="R778" s="1">
        <v>48.000000000000007</v>
      </c>
      <c r="S778" s="1" t="s">
        <v>93</v>
      </c>
    </row>
    <row r="779" spans="1:19" x14ac:dyDescent="0.35">
      <c r="A779" s="1" t="s">
        <v>1143</v>
      </c>
      <c r="B779" s="3">
        <v>45806</v>
      </c>
      <c r="C779" s="1" t="s">
        <v>97</v>
      </c>
      <c r="D779" s="1">
        <v>5</v>
      </c>
      <c r="E779" s="1" t="s">
        <v>163</v>
      </c>
      <c r="F779" s="1" t="s">
        <v>47</v>
      </c>
      <c r="G779" s="1" t="s">
        <v>23</v>
      </c>
      <c r="H779" s="1" t="s">
        <v>99</v>
      </c>
      <c r="I779" s="1" t="s">
        <v>100</v>
      </c>
      <c r="J779" s="1">
        <v>2</v>
      </c>
      <c r="K779" s="1">
        <v>3688.58</v>
      </c>
      <c r="L779" s="1">
        <v>0.15</v>
      </c>
      <c r="M779" s="1">
        <v>7377.16</v>
      </c>
      <c r="N779" s="1">
        <v>1106.5740000000001</v>
      </c>
      <c r="O779" s="1">
        <v>6270.5860000000002</v>
      </c>
      <c r="P779" s="1">
        <v>4263.9984800000002</v>
      </c>
      <c r="Q779" s="1">
        <v>2006.58752</v>
      </c>
      <c r="R779" s="1">
        <v>32</v>
      </c>
      <c r="S779" s="1" t="s">
        <v>33</v>
      </c>
    </row>
    <row r="780" spans="1:19" x14ac:dyDescent="0.35">
      <c r="A780" s="1" t="s">
        <v>1144</v>
      </c>
      <c r="B780" s="3">
        <v>45757</v>
      </c>
      <c r="C780" s="1" t="s">
        <v>20</v>
      </c>
      <c r="D780" s="1">
        <v>4</v>
      </c>
      <c r="E780" s="1" t="s">
        <v>977</v>
      </c>
      <c r="F780" s="1" t="s">
        <v>76</v>
      </c>
      <c r="G780" s="1" t="s">
        <v>23</v>
      </c>
      <c r="H780" s="1" t="s">
        <v>24</v>
      </c>
      <c r="I780" s="1" t="s">
        <v>25</v>
      </c>
      <c r="J780" s="1">
        <v>5</v>
      </c>
      <c r="K780" s="1">
        <v>2324.12</v>
      </c>
      <c r="L780" s="1">
        <v>0.15</v>
      </c>
      <c r="M780" s="1">
        <v>11620.6</v>
      </c>
      <c r="N780" s="1">
        <v>1743.09</v>
      </c>
      <c r="O780" s="1">
        <v>9877.5099999999984</v>
      </c>
      <c r="P780" s="1">
        <v>5432.6304999999993</v>
      </c>
      <c r="Q780" s="1">
        <v>4444.8794999999991</v>
      </c>
      <c r="R780" s="1">
        <v>44.999999999999993</v>
      </c>
      <c r="S780" s="1" t="s">
        <v>26</v>
      </c>
    </row>
    <row r="781" spans="1:19" x14ac:dyDescent="0.35">
      <c r="A781" s="1" t="s">
        <v>1145</v>
      </c>
      <c r="B781" s="3">
        <v>45995</v>
      </c>
      <c r="C781" s="1" t="s">
        <v>67</v>
      </c>
      <c r="D781" s="1">
        <v>12</v>
      </c>
      <c r="E781" s="1" t="s">
        <v>646</v>
      </c>
      <c r="F781" s="1" t="s">
        <v>52</v>
      </c>
      <c r="G781" s="1" t="s">
        <v>23</v>
      </c>
      <c r="H781" s="1" t="s">
        <v>31</v>
      </c>
      <c r="I781" s="1" t="s">
        <v>167</v>
      </c>
      <c r="J781" s="1">
        <v>6</v>
      </c>
      <c r="K781" s="1">
        <v>2783.06</v>
      </c>
      <c r="L781" s="1">
        <v>0.25</v>
      </c>
      <c r="M781" s="1">
        <v>16698.36</v>
      </c>
      <c r="N781" s="1">
        <v>4174.59</v>
      </c>
      <c r="O781" s="1">
        <v>12523.77</v>
      </c>
      <c r="P781" s="1">
        <v>6512.3603999999996</v>
      </c>
      <c r="Q781" s="1">
        <v>6011.4096</v>
      </c>
      <c r="R781" s="1">
        <v>48</v>
      </c>
      <c r="S781" s="1" t="s">
        <v>73</v>
      </c>
    </row>
    <row r="782" spans="1:19" x14ac:dyDescent="0.35">
      <c r="A782" s="1" t="s">
        <v>1146</v>
      </c>
      <c r="B782" s="3">
        <v>45701</v>
      </c>
      <c r="C782" s="1" t="s">
        <v>42</v>
      </c>
      <c r="D782" s="1">
        <v>2</v>
      </c>
      <c r="E782" s="1" t="s">
        <v>326</v>
      </c>
      <c r="F782" s="1" t="s">
        <v>22</v>
      </c>
      <c r="G782" s="1" t="s">
        <v>64</v>
      </c>
      <c r="H782" s="1" t="s">
        <v>24</v>
      </c>
      <c r="I782" s="1" t="s">
        <v>44</v>
      </c>
      <c r="J782" s="1">
        <v>1</v>
      </c>
      <c r="K782" s="1">
        <v>5752.85</v>
      </c>
      <c r="L782" s="1">
        <v>0.15</v>
      </c>
      <c r="M782" s="1">
        <v>5752.85</v>
      </c>
      <c r="N782" s="1">
        <v>862.92750000000001</v>
      </c>
      <c r="O782" s="1">
        <v>4889.9225000000006</v>
      </c>
      <c r="P782" s="1">
        <v>2689.457375</v>
      </c>
      <c r="Q782" s="1">
        <v>2200.4651250000002</v>
      </c>
      <c r="R782" s="1">
        <v>44.999999999999993</v>
      </c>
      <c r="S782" s="1" t="s">
        <v>26</v>
      </c>
    </row>
    <row r="783" spans="1:19" x14ac:dyDescent="0.35">
      <c r="A783" s="1" t="s">
        <v>1147</v>
      </c>
      <c r="B783" s="3">
        <v>45891</v>
      </c>
      <c r="C783" s="1" t="s">
        <v>113</v>
      </c>
      <c r="D783" s="1">
        <v>8</v>
      </c>
      <c r="E783" s="1" t="s">
        <v>263</v>
      </c>
      <c r="F783" s="1" t="s">
        <v>47</v>
      </c>
      <c r="G783" s="1" t="s">
        <v>23</v>
      </c>
      <c r="H783" s="1" t="s">
        <v>53</v>
      </c>
      <c r="I783" s="1" t="s">
        <v>123</v>
      </c>
      <c r="J783" s="1">
        <v>4</v>
      </c>
      <c r="K783" s="1">
        <v>2374.86</v>
      </c>
      <c r="L783" s="1">
        <v>0.05</v>
      </c>
      <c r="M783" s="1">
        <v>9499.44</v>
      </c>
      <c r="N783" s="1">
        <v>474.97199999999998</v>
      </c>
      <c r="O783" s="1">
        <v>9024.4680000000008</v>
      </c>
      <c r="P783" s="1">
        <v>5234.1914400000014</v>
      </c>
      <c r="Q783" s="1">
        <v>3790.2765599999998</v>
      </c>
      <c r="R783" s="1">
        <v>42</v>
      </c>
      <c r="S783" s="1" t="s">
        <v>93</v>
      </c>
    </row>
    <row r="784" spans="1:19" x14ac:dyDescent="0.35">
      <c r="A784" s="1" t="s">
        <v>1148</v>
      </c>
      <c r="B784" s="3">
        <v>45757</v>
      </c>
      <c r="C784" s="1" t="s">
        <v>20</v>
      </c>
      <c r="D784" s="1">
        <v>4</v>
      </c>
      <c r="E784" s="1" t="s">
        <v>210</v>
      </c>
      <c r="F784" s="1" t="s">
        <v>37</v>
      </c>
      <c r="G784" s="1" t="s">
        <v>64</v>
      </c>
      <c r="H784" s="1" t="s">
        <v>31</v>
      </c>
      <c r="I784" s="1" t="s">
        <v>65</v>
      </c>
      <c r="J784" s="1">
        <v>1</v>
      </c>
      <c r="K784" s="1">
        <v>2850.46</v>
      </c>
      <c r="L784" s="1">
        <v>0.05</v>
      </c>
      <c r="M784" s="1">
        <v>2850.46</v>
      </c>
      <c r="N784" s="1">
        <v>142.523</v>
      </c>
      <c r="O784" s="1">
        <v>2707.9369999999999</v>
      </c>
      <c r="P784" s="1">
        <v>1408.12724</v>
      </c>
      <c r="Q784" s="1">
        <v>1299.8097600000001</v>
      </c>
      <c r="R784" s="1">
        <v>48</v>
      </c>
      <c r="S784" s="1" t="s">
        <v>73</v>
      </c>
    </row>
    <row r="785" spans="1:19" x14ac:dyDescent="0.35">
      <c r="A785" s="1" t="s">
        <v>1149</v>
      </c>
      <c r="B785" s="3">
        <v>45664</v>
      </c>
      <c r="C785" s="1" t="s">
        <v>193</v>
      </c>
      <c r="D785" s="1">
        <v>1</v>
      </c>
      <c r="E785" s="1" t="s">
        <v>46</v>
      </c>
      <c r="F785" s="1" t="s">
        <v>47</v>
      </c>
      <c r="G785" s="1" t="s">
        <v>23</v>
      </c>
      <c r="H785" s="1" t="s">
        <v>24</v>
      </c>
      <c r="I785" s="1" t="s">
        <v>48</v>
      </c>
      <c r="J785" s="1">
        <v>7</v>
      </c>
      <c r="K785" s="1">
        <v>2516.9699999999998</v>
      </c>
      <c r="L785" s="1">
        <v>0</v>
      </c>
      <c r="M785" s="1">
        <v>17618.79</v>
      </c>
      <c r="N785" s="1">
        <v>0</v>
      </c>
      <c r="O785" s="1">
        <v>17618.79</v>
      </c>
      <c r="P785" s="1">
        <v>9690.334499999999</v>
      </c>
      <c r="Q785" s="1">
        <v>7928.4554999999982</v>
      </c>
      <c r="R785" s="1">
        <v>44.999999999999993</v>
      </c>
      <c r="S785" s="1" t="s">
        <v>73</v>
      </c>
    </row>
    <row r="786" spans="1:19" x14ac:dyDescent="0.35">
      <c r="A786" s="1" t="s">
        <v>1150</v>
      </c>
      <c r="B786" s="3">
        <v>46021</v>
      </c>
      <c r="C786" s="1" t="s">
        <v>67</v>
      </c>
      <c r="D786" s="1">
        <v>12</v>
      </c>
      <c r="E786" s="1" t="s">
        <v>177</v>
      </c>
      <c r="F786" s="1" t="s">
        <v>37</v>
      </c>
      <c r="G786" s="1" t="s">
        <v>23</v>
      </c>
      <c r="H786" s="1" t="s">
        <v>39</v>
      </c>
      <c r="I786" s="1" t="s">
        <v>234</v>
      </c>
      <c r="J786" s="1">
        <v>7</v>
      </c>
      <c r="K786" s="1">
        <v>36117.01</v>
      </c>
      <c r="L786" s="1">
        <v>0</v>
      </c>
      <c r="M786" s="1">
        <v>252819.07</v>
      </c>
      <c r="N786" s="1">
        <v>0</v>
      </c>
      <c r="O786" s="1">
        <v>252819.07</v>
      </c>
      <c r="P786" s="1">
        <v>197198.87460000001</v>
      </c>
      <c r="Q786" s="1">
        <v>55620.195399999997</v>
      </c>
      <c r="R786" s="1">
        <v>22</v>
      </c>
      <c r="S786" s="1" t="s">
        <v>26</v>
      </c>
    </row>
    <row r="787" spans="1:19" x14ac:dyDescent="0.35">
      <c r="A787" s="1" t="s">
        <v>1151</v>
      </c>
      <c r="B787" s="3">
        <v>45897</v>
      </c>
      <c r="C787" s="1" t="s">
        <v>113</v>
      </c>
      <c r="D787" s="1">
        <v>8</v>
      </c>
      <c r="E787" s="1" t="s">
        <v>867</v>
      </c>
      <c r="F787" s="1" t="s">
        <v>22</v>
      </c>
      <c r="G787" s="1" t="s">
        <v>23</v>
      </c>
      <c r="H787" s="1" t="s">
        <v>24</v>
      </c>
      <c r="I787" s="1" t="s">
        <v>44</v>
      </c>
      <c r="J787" s="1">
        <v>3</v>
      </c>
      <c r="K787" s="1">
        <v>2807.15</v>
      </c>
      <c r="L787" s="1">
        <v>0.1</v>
      </c>
      <c r="M787" s="1">
        <v>8421.4500000000007</v>
      </c>
      <c r="N787" s="1">
        <v>842.1450000000001</v>
      </c>
      <c r="O787" s="1">
        <v>7579.3050000000003</v>
      </c>
      <c r="P787" s="1">
        <v>4168.6177500000003</v>
      </c>
      <c r="Q787" s="1">
        <v>3410.6872499999999</v>
      </c>
      <c r="R787" s="1">
        <v>44.999999999999993</v>
      </c>
      <c r="S787" s="1" t="s">
        <v>73</v>
      </c>
    </row>
    <row r="788" spans="1:19" x14ac:dyDescent="0.35">
      <c r="A788" s="1" t="s">
        <v>1152</v>
      </c>
      <c r="B788" s="3">
        <v>45715</v>
      </c>
      <c r="C788" s="1" t="s">
        <v>42</v>
      </c>
      <c r="D788" s="1">
        <v>2</v>
      </c>
      <c r="E788" s="1" t="s">
        <v>89</v>
      </c>
      <c r="F788" s="1" t="s">
        <v>43</v>
      </c>
      <c r="G788" s="1" t="s">
        <v>23</v>
      </c>
      <c r="H788" s="1" t="s">
        <v>39</v>
      </c>
      <c r="I788" s="1" t="s">
        <v>234</v>
      </c>
      <c r="J788" s="1">
        <v>3</v>
      </c>
      <c r="K788" s="1">
        <v>42582.82</v>
      </c>
      <c r="L788" s="1">
        <v>0.05</v>
      </c>
      <c r="M788" s="1">
        <v>127748.46</v>
      </c>
      <c r="N788" s="1">
        <v>6387.4229999999998</v>
      </c>
      <c r="O788" s="1">
        <v>121361.037</v>
      </c>
      <c r="P788" s="1">
        <v>94661.608860000008</v>
      </c>
      <c r="Q788" s="1">
        <v>26699.428139999989</v>
      </c>
      <c r="R788" s="1">
        <v>21.999999999999989</v>
      </c>
      <c r="S788" s="1" t="s">
        <v>60</v>
      </c>
    </row>
    <row r="789" spans="1:19" x14ac:dyDescent="0.35">
      <c r="A789" s="1" t="s">
        <v>1153</v>
      </c>
      <c r="B789" s="3">
        <v>45696</v>
      </c>
      <c r="C789" s="1" t="s">
        <v>42</v>
      </c>
      <c r="D789" s="1">
        <v>2</v>
      </c>
      <c r="E789" s="1" t="s">
        <v>283</v>
      </c>
      <c r="F789" s="1" t="s">
        <v>111</v>
      </c>
      <c r="G789" s="1" t="s">
        <v>38</v>
      </c>
      <c r="H789" s="1" t="s">
        <v>53</v>
      </c>
      <c r="I789" s="1" t="s">
        <v>185</v>
      </c>
      <c r="J789" s="1">
        <v>2</v>
      </c>
      <c r="K789" s="1">
        <v>1060.79</v>
      </c>
      <c r="L789" s="1">
        <v>0.1</v>
      </c>
      <c r="M789" s="1">
        <v>2121.58</v>
      </c>
      <c r="N789" s="1">
        <v>212.15799999999999</v>
      </c>
      <c r="O789" s="1">
        <v>1909.422</v>
      </c>
      <c r="P789" s="1">
        <v>1107.4647600000001</v>
      </c>
      <c r="Q789" s="1">
        <v>801.95724000000018</v>
      </c>
      <c r="R789" s="1">
        <v>42.000000000000007</v>
      </c>
      <c r="S789" s="1" t="s">
        <v>73</v>
      </c>
    </row>
    <row r="790" spans="1:19" x14ac:dyDescent="0.35">
      <c r="A790" s="1" t="s">
        <v>1154</v>
      </c>
      <c r="B790" s="3">
        <v>45996</v>
      </c>
      <c r="C790" s="1" t="s">
        <v>67</v>
      </c>
      <c r="D790" s="1">
        <v>12</v>
      </c>
      <c r="E790" s="1" t="s">
        <v>29</v>
      </c>
      <c r="F790" s="1" t="s">
        <v>52</v>
      </c>
      <c r="G790" s="1" t="s">
        <v>23</v>
      </c>
      <c r="H790" s="1" t="s">
        <v>77</v>
      </c>
      <c r="I790" s="1" t="s">
        <v>90</v>
      </c>
      <c r="J790" s="1">
        <v>6</v>
      </c>
      <c r="K790" s="1">
        <v>230.1</v>
      </c>
      <c r="L790" s="1">
        <v>0.3</v>
      </c>
      <c r="M790" s="1">
        <v>1380.6</v>
      </c>
      <c r="N790" s="1">
        <v>414.17999999999989</v>
      </c>
      <c r="O790" s="1">
        <v>966.42</v>
      </c>
      <c r="P790" s="1">
        <v>695.8223999999999</v>
      </c>
      <c r="Q790" s="1">
        <v>270.59760000000011</v>
      </c>
      <c r="R790" s="1">
        <v>28.000000000000011</v>
      </c>
      <c r="S790" s="1" t="s">
        <v>26</v>
      </c>
    </row>
    <row r="791" spans="1:19" x14ac:dyDescent="0.35">
      <c r="A791" s="1" t="s">
        <v>1155</v>
      </c>
      <c r="B791" s="3">
        <v>45878</v>
      </c>
      <c r="C791" s="1" t="s">
        <v>113</v>
      </c>
      <c r="D791" s="1">
        <v>8</v>
      </c>
      <c r="E791" s="1" t="s">
        <v>1156</v>
      </c>
      <c r="F791" s="1" t="s">
        <v>37</v>
      </c>
      <c r="G791" s="1" t="s">
        <v>23</v>
      </c>
      <c r="H791" s="1" t="s">
        <v>53</v>
      </c>
      <c r="I791" s="1" t="s">
        <v>72</v>
      </c>
      <c r="J791" s="1">
        <v>6</v>
      </c>
      <c r="K791" s="1">
        <v>1710.08</v>
      </c>
      <c r="L791" s="1">
        <v>0.15</v>
      </c>
      <c r="M791" s="1">
        <v>10260.48</v>
      </c>
      <c r="N791" s="1">
        <v>1539.0719999999999</v>
      </c>
      <c r="O791" s="1">
        <v>8721.4079999999994</v>
      </c>
      <c r="P791" s="1">
        <v>5058.4166399999986</v>
      </c>
      <c r="Q791" s="1">
        <v>3662.99136</v>
      </c>
      <c r="R791" s="1">
        <v>42.000000000000007</v>
      </c>
      <c r="S791" s="1" t="s">
        <v>93</v>
      </c>
    </row>
    <row r="792" spans="1:19" x14ac:dyDescent="0.35">
      <c r="A792" s="1" t="s">
        <v>1157</v>
      </c>
      <c r="B792" s="3">
        <v>45903</v>
      </c>
      <c r="C792" s="1" t="s">
        <v>50</v>
      </c>
      <c r="D792" s="1">
        <v>9</v>
      </c>
      <c r="E792" s="1" t="s">
        <v>729</v>
      </c>
      <c r="F792" s="1" t="s">
        <v>69</v>
      </c>
      <c r="G792" s="1" t="s">
        <v>38</v>
      </c>
      <c r="H792" s="1" t="s">
        <v>24</v>
      </c>
      <c r="I792" s="1" t="s">
        <v>117</v>
      </c>
      <c r="J792" s="1">
        <v>1</v>
      </c>
      <c r="K792" s="1">
        <v>5140.24</v>
      </c>
      <c r="L792" s="1">
        <v>0.05</v>
      </c>
      <c r="M792" s="1">
        <v>5140.24</v>
      </c>
      <c r="N792" s="1">
        <v>257.012</v>
      </c>
      <c r="O792" s="1">
        <v>4883.2280000000001</v>
      </c>
      <c r="P792" s="1">
        <v>2685.7754</v>
      </c>
      <c r="Q792" s="1">
        <v>2197.4526000000001</v>
      </c>
      <c r="R792" s="1">
        <v>44.999999999999993</v>
      </c>
      <c r="S792" s="1" t="s">
        <v>26</v>
      </c>
    </row>
    <row r="793" spans="1:19" x14ac:dyDescent="0.35">
      <c r="A793" s="1" t="s">
        <v>1158</v>
      </c>
      <c r="B793" s="3">
        <v>45946</v>
      </c>
      <c r="C793" s="1" t="s">
        <v>35</v>
      </c>
      <c r="D793" s="1">
        <v>10</v>
      </c>
      <c r="E793" s="1" t="s">
        <v>753</v>
      </c>
      <c r="F793" s="1" t="s">
        <v>47</v>
      </c>
      <c r="G793" s="1" t="s">
        <v>64</v>
      </c>
      <c r="H793" s="1" t="s">
        <v>77</v>
      </c>
      <c r="I793" s="1" t="s">
        <v>90</v>
      </c>
      <c r="J793" s="1">
        <v>5</v>
      </c>
      <c r="K793" s="1">
        <v>167.87</v>
      </c>
      <c r="L793" s="1">
        <v>0.1</v>
      </c>
      <c r="M793" s="1">
        <v>839.35</v>
      </c>
      <c r="N793" s="1">
        <v>83.935000000000002</v>
      </c>
      <c r="O793" s="1">
        <v>755.41499999999996</v>
      </c>
      <c r="P793" s="1">
        <v>543.89879999999994</v>
      </c>
      <c r="Q793" s="1">
        <v>211.5162</v>
      </c>
      <c r="R793" s="1">
        <v>28</v>
      </c>
      <c r="S793" s="1" t="s">
        <v>73</v>
      </c>
    </row>
    <row r="794" spans="1:19" x14ac:dyDescent="0.35">
      <c r="A794" s="1" t="s">
        <v>1159</v>
      </c>
      <c r="B794" s="3">
        <v>45856</v>
      </c>
      <c r="C794" s="1" t="s">
        <v>62</v>
      </c>
      <c r="D794" s="1">
        <v>7</v>
      </c>
      <c r="E794" s="1" t="s">
        <v>1160</v>
      </c>
      <c r="F794" s="1" t="s">
        <v>22</v>
      </c>
      <c r="G794" s="1" t="s">
        <v>23</v>
      </c>
      <c r="H794" s="1" t="s">
        <v>31</v>
      </c>
      <c r="I794" s="1" t="s">
        <v>32</v>
      </c>
      <c r="J794" s="1">
        <v>6</v>
      </c>
      <c r="K794" s="1">
        <v>3064.72</v>
      </c>
      <c r="L794" s="1">
        <v>0.25</v>
      </c>
      <c r="M794" s="1">
        <v>18388.32</v>
      </c>
      <c r="N794" s="1">
        <v>4597.08</v>
      </c>
      <c r="O794" s="1">
        <v>13791.24</v>
      </c>
      <c r="P794" s="1">
        <v>7171.4448000000002</v>
      </c>
      <c r="Q794" s="1">
        <v>6619.7951999999996</v>
      </c>
      <c r="R794" s="1">
        <v>48</v>
      </c>
      <c r="S794" s="1" t="s">
        <v>26</v>
      </c>
    </row>
    <row r="795" spans="1:19" x14ac:dyDescent="0.35">
      <c r="A795" s="1" t="s">
        <v>1161</v>
      </c>
      <c r="B795" s="3">
        <v>45833</v>
      </c>
      <c r="C795" s="1" t="s">
        <v>82</v>
      </c>
      <c r="D795" s="1">
        <v>6</v>
      </c>
      <c r="E795" s="1" t="s">
        <v>679</v>
      </c>
      <c r="F795" s="1" t="s">
        <v>30</v>
      </c>
      <c r="G795" s="1" t="s">
        <v>23</v>
      </c>
      <c r="H795" s="1" t="s">
        <v>53</v>
      </c>
      <c r="I795" s="1" t="s">
        <v>72</v>
      </c>
      <c r="J795" s="1">
        <v>3</v>
      </c>
      <c r="K795" s="1">
        <v>1966.98</v>
      </c>
      <c r="L795" s="1">
        <v>0.1</v>
      </c>
      <c r="M795" s="1">
        <v>5900.9400000000014</v>
      </c>
      <c r="N795" s="1">
        <v>590.09400000000005</v>
      </c>
      <c r="O795" s="1">
        <v>5310.8459999999995</v>
      </c>
      <c r="P795" s="1">
        <v>3080.2906800000001</v>
      </c>
      <c r="Q795" s="1">
        <v>2230.5553199999999</v>
      </c>
      <c r="R795" s="1">
        <v>42.000000000000007</v>
      </c>
      <c r="S795" s="1" t="s">
        <v>60</v>
      </c>
    </row>
    <row r="796" spans="1:19" x14ac:dyDescent="0.35">
      <c r="A796" s="1" t="s">
        <v>1162</v>
      </c>
      <c r="B796" s="3">
        <v>45818</v>
      </c>
      <c r="C796" s="1" t="s">
        <v>82</v>
      </c>
      <c r="D796" s="1">
        <v>6</v>
      </c>
      <c r="E796" s="1" t="s">
        <v>200</v>
      </c>
      <c r="F796" s="1" t="s">
        <v>76</v>
      </c>
      <c r="G796" s="1" t="s">
        <v>64</v>
      </c>
      <c r="H796" s="1" t="s">
        <v>77</v>
      </c>
      <c r="I796" s="1" t="s">
        <v>78</v>
      </c>
      <c r="J796" s="1">
        <v>4</v>
      </c>
      <c r="K796" s="1">
        <v>887.69</v>
      </c>
      <c r="L796" s="1">
        <v>0.1</v>
      </c>
      <c r="M796" s="1">
        <v>3550.76</v>
      </c>
      <c r="N796" s="1">
        <v>355.07600000000002</v>
      </c>
      <c r="O796" s="1">
        <v>3195.6840000000002</v>
      </c>
      <c r="P796" s="1">
        <v>2300.89248</v>
      </c>
      <c r="Q796" s="1">
        <v>894.79152000000022</v>
      </c>
      <c r="R796" s="1">
        <v>28</v>
      </c>
      <c r="S796" s="1" t="s">
        <v>93</v>
      </c>
    </row>
    <row r="797" spans="1:19" x14ac:dyDescent="0.35">
      <c r="A797" s="1" t="s">
        <v>1163</v>
      </c>
      <c r="B797" s="3">
        <v>45843</v>
      </c>
      <c r="C797" s="1" t="s">
        <v>62</v>
      </c>
      <c r="D797" s="1">
        <v>7</v>
      </c>
      <c r="E797" s="1" t="s">
        <v>439</v>
      </c>
      <c r="F797" s="1" t="s">
        <v>76</v>
      </c>
      <c r="G797" s="1" t="s">
        <v>64</v>
      </c>
      <c r="H797" s="1" t="s">
        <v>31</v>
      </c>
      <c r="I797" s="1" t="s">
        <v>32</v>
      </c>
      <c r="J797" s="1">
        <v>5</v>
      </c>
      <c r="K797" s="1">
        <v>296.69</v>
      </c>
      <c r="L797" s="1">
        <v>0.15</v>
      </c>
      <c r="M797" s="1">
        <v>1483.45</v>
      </c>
      <c r="N797" s="1">
        <v>222.51750000000001</v>
      </c>
      <c r="O797" s="1">
        <v>1260.9324999999999</v>
      </c>
      <c r="P797" s="1">
        <v>655.68490000000008</v>
      </c>
      <c r="Q797" s="1">
        <v>605.24760000000003</v>
      </c>
      <c r="R797" s="1">
        <v>48</v>
      </c>
      <c r="S797" s="1" t="s">
        <v>60</v>
      </c>
    </row>
    <row r="798" spans="1:19" x14ac:dyDescent="0.35">
      <c r="A798" s="1" t="s">
        <v>1164</v>
      </c>
      <c r="B798" s="3">
        <v>45890</v>
      </c>
      <c r="C798" s="1" t="s">
        <v>113</v>
      </c>
      <c r="D798" s="1">
        <v>8</v>
      </c>
      <c r="E798" s="1" t="s">
        <v>782</v>
      </c>
      <c r="F798" s="1" t="s">
        <v>43</v>
      </c>
      <c r="G798" s="1" t="s">
        <v>38</v>
      </c>
      <c r="H798" s="1" t="s">
        <v>53</v>
      </c>
      <c r="I798" s="1" t="s">
        <v>72</v>
      </c>
      <c r="J798" s="1">
        <v>3</v>
      </c>
      <c r="K798" s="1">
        <v>1220.04</v>
      </c>
      <c r="L798" s="1">
        <v>0</v>
      </c>
      <c r="M798" s="1">
        <v>3660.12</v>
      </c>
      <c r="N798" s="1">
        <v>0</v>
      </c>
      <c r="O798" s="1">
        <v>3660.12</v>
      </c>
      <c r="P798" s="1">
        <v>2122.8696</v>
      </c>
      <c r="Q798" s="1">
        <v>1537.2503999999999</v>
      </c>
      <c r="R798" s="1">
        <v>42</v>
      </c>
      <c r="S798" s="1" t="s">
        <v>93</v>
      </c>
    </row>
    <row r="799" spans="1:19" x14ac:dyDescent="0.35">
      <c r="A799" s="1" t="s">
        <v>1165</v>
      </c>
      <c r="B799" s="3">
        <v>45875</v>
      </c>
      <c r="C799" s="1" t="s">
        <v>113</v>
      </c>
      <c r="D799" s="1">
        <v>8</v>
      </c>
      <c r="E799" s="1" t="s">
        <v>495</v>
      </c>
      <c r="F799" s="1" t="s">
        <v>58</v>
      </c>
      <c r="G799" s="1" t="s">
        <v>64</v>
      </c>
      <c r="H799" s="1" t="s">
        <v>77</v>
      </c>
      <c r="I799" s="1" t="s">
        <v>103</v>
      </c>
      <c r="J799" s="1">
        <v>7</v>
      </c>
      <c r="K799" s="1">
        <v>194.56</v>
      </c>
      <c r="L799" s="1">
        <v>0.1</v>
      </c>
      <c r="M799" s="1">
        <v>1361.92</v>
      </c>
      <c r="N799" s="1">
        <v>136.19200000000001</v>
      </c>
      <c r="O799" s="1">
        <v>1225.7280000000001</v>
      </c>
      <c r="P799" s="1">
        <v>882.52416000000005</v>
      </c>
      <c r="Q799" s="1">
        <v>343.20384000000001</v>
      </c>
      <c r="R799" s="1">
        <v>28</v>
      </c>
      <c r="S799" s="1" t="s">
        <v>26</v>
      </c>
    </row>
    <row r="800" spans="1:19" x14ac:dyDescent="0.35">
      <c r="A800" s="1" t="s">
        <v>1166</v>
      </c>
      <c r="B800" s="3">
        <v>45990</v>
      </c>
      <c r="C800" s="1" t="s">
        <v>56</v>
      </c>
      <c r="D800" s="1">
        <v>11</v>
      </c>
      <c r="E800" s="1" t="s">
        <v>1013</v>
      </c>
      <c r="F800" s="1" t="s">
        <v>22</v>
      </c>
      <c r="G800" s="1" t="s">
        <v>23</v>
      </c>
      <c r="H800" s="1" t="s">
        <v>24</v>
      </c>
      <c r="I800" s="1" t="s">
        <v>139</v>
      </c>
      <c r="J800" s="1">
        <v>7</v>
      </c>
      <c r="K800" s="1">
        <v>3994.85</v>
      </c>
      <c r="L800" s="1">
        <v>0.2</v>
      </c>
      <c r="M800" s="1">
        <v>27963.95</v>
      </c>
      <c r="N800" s="1">
        <v>5592.7900000000009</v>
      </c>
      <c r="O800" s="1">
        <v>22371.16</v>
      </c>
      <c r="P800" s="1">
        <v>12304.138000000001</v>
      </c>
      <c r="Q800" s="1">
        <v>10067.022000000001</v>
      </c>
      <c r="R800" s="1">
        <v>44.999999999999993</v>
      </c>
      <c r="S800" s="1" t="s">
        <v>26</v>
      </c>
    </row>
    <row r="801" spans="1:19" x14ac:dyDescent="0.35">
      <c r="A801" s="1" t="s">
        <v>1167</v>
      </c>
      <c r="B801" s="3">
        <v>45882</v>
      </c>
      <c r="C801" s="1" t="s">
        <v>113</v>
      </c>
      <c r="D801" s="1">
        <v>8</v>
      </c>
      <c r="E801" s="1" t="s">
        <v>227</v>
      </c>
      <c r="F801" s="1" t="s">
        <v>22</v>
      </c>
      <c r="G801" s="1" t="s">
        <v>38</v>
      </c>
      <c r="H801" s="1" t="s">
        <v>99</v>
      </c>
      <c r="I801" s="1" t="s">
        <v>145</v>
      </c>
      <c r="J801" s="1">
        <v>5</v>
      </c>
      <c r="K801" s="1">
        <v>24985.07</v>
      </c>
      <c r="L801" s="1">
        <v>0.05</v>
      </c>
      <c r="M801" s="1">
        <v>124925.35</v>
      </c>
      <c r="N801" s="1">
        <v>6246.2675000000008</v>
      </c>
      <c r="O801" s="1">
        <v>118679.0825</v>
      </c>
      <c r="P801" s="1">
        <v>80701.776100000003</v>
      </c>
      <c r="Q801" s="1">
        <v>37977.306400000001</v>
      </c>
      <c r="R801" s="1">
        <v>32</v>
      </c>
      <c r="S801" s="1" t="s">
        <v>73</v>
      </c>
    </row>
    <row r="802" spans="1:19" x14ac:dyDescent="0.35">
      <c r="A802" s="1" t="s">
        <v>1168</v>
      </c>
      <c r="B802" s="3">
        <v>45889</v>
      </c>
      <c r="C802" s="1" t="s">
        <v>113</v>
      </c>
      <c r="D802" s="1">
        <v>8</v>
      </c>
      <c r="E802" s="1" t="s">
        <v>441</v>
      </c>
      <c r="F802" s="1" t="s">
        <v>43</v>
      </c>
      <c r="G802" s="1" t="s">
        <v>64</v>
      </c>
      <c r="H802" s="1" t="s">
        <v>39</v>
      </c>
      <c r="I802" s="1" t="s">
        <v>214</v>
      </c>
      <c r="J802" s="1">
        <v>1</v>
      </c>
      <c r="K802" s="1">
        <v>60419.19</v>
      </c>
      <c r="L802" s="1">
        <v>0.1</v>
      </c>
      <c r="M802" s="1">
        <v>60419.19</v>
      </c>
      <c r="N802" s="1">
        <v>6041.9190000000008</v>
      </c>
      <c r="O802" s="1">
        <v>54377.271000000001</v>
      </c>
      <c r="P802" s="1">
        <v>42414.271379999998</v>
      </c>
      <c r="Q802" s="1">
        <v>11962.999620000001</v>
      </c>
      <c r="R802" s="1">
        <v>22</v>
      </c>
      <c r="S802" s="1" t="s">
        <v>93</v>
      </c>
    </row>
    <row r="803" spans="1:19" x14ac:dyDescent="0.35">
      <c r="A803" s="1" t="s">
        <v>1169</v>
      </c>
      <c r="B803" s="3">
        <v>45750</v>
      </c>
      <c r="C803" s="1" t="s">
        <v>20</v>
      </c>
      <c r="D803" s="1">
        <v>4</v>
      </c>
      <c r="E803" s="1" t="s">
        <v>551</v>
      </c>
      <c r="F803" s="1" t="s">
        <v>76</v>
      </c>
      <c r="G803" s="1" t="s">
        <v>23</v>
      </c>
      <c r="H803" s="1" t="s">
        <v>99</v>
      </c>
      <c r="I803" s="1" t="s">
        <v>108</v>
      </c>
      <c r="J803" s="1">
        <v>4</v>
      </c>
      <c r="K803" s="1">
        <v>20518.060000000001</v>
      </c>
      <c r="L803" s="1">
        <v>0.15</v>
      </c>
      <c r="M803" s="1">
        <v>82072.240000000005</v>
      </c>
      <c r="N803" s="1">
        <v>12310.835999999999</v>
      </c>
      <c r="O803" s="1">
        <v>69761.40400000001</v>
      </c>
      <c r="P803" s="1">
        <v>47437.754720000012</v>
      </c>
      <c r="Q803" s="1">
        <v>22323.649280000001</v>
      </c>
      <c r="R803" s="1">
        <v>32</v>
      </c>
      <c r="S803" s="1" t="s">
        <v>93</v>
      </c>
    </row>
    <row r="804" spans="1:19" x14ac:dyDescent="0.35">
      <c r="A804" s="1" t="s">
        <v>1170</v>
      </c>
      <c r="B804" s="3">
        <v>45858</v>
      </c>
      <c r="C804" s="1" t="s">
        <v>62</v>
      </c>
      <c r="D804" s="1">
        <v>7</v>
      </c>
      <c r="E804" s="1" t="s">
        <v>701</v>
      </c>
      <c r="F804" s="1" t="s">
        <v>111</v>
      </c>
      <c r="G804" s="1" t="s">
        <v>23</v>
      </c>
      <c r="H804" s="1" t="s">
        <v>77</v>
      </c>
      <c r="I804" s="1" t="s">
        <v>90</v>
      </c>
      <c r="J804" s="1">
        <v>3</v>
      </c>
      <c r="K804" s="1">
        <v>654.64</v>
      </c>
      <c r="L804" s="1">
        <v>0.15</v>
      </c>
      <c r="M804" s="1">
        <v>1963.92</v>
      </c>
      <c r="N804" s="1">
        <v>294.58800000000002</v>
      </c>
      <c r="O804" s="1">
        <v>1669.3320000000001</v>
      </c>
      <c r="P804" s="1">
        <v>1201.91904</v>
      </c>
      <c r="Q804" s="1">
        <v>467.41296000000011</v>
      </c>
      <c r="R804" s="1">
        <v>28</v>
      </c>
      <c r="S804" s="1" t="s">
        <v>93</v>
      </c>
    </row>
    <row r="805" spans="1:19" x14ac:dyDescent="0.35">
      <c r="A805" s="1" t="s">
        <v>1171</v>
      </c>
      <c r="B805" s="3">
        <v>45798</v>
      </c>
      <c r="C805" s="1" t="s">
        <v>97</v>
      </c>
      <c r="D805" s="1">
        <v>5</v>
      </c>
      <c r="E805" s="1" t="s">
        <v>576</v>
      </c>
      <c r="F805" s="1" t="s">
        <v>22</v>
      </c>
      <c r="G805" s="1" t="s">
        <v>64</v>
      </c>
      <c r="H805" s="1" t="s">
        <v>24</v>
      </c>
      <c r="I805" s="1" t="s">
        <v>44</v>
      </c>
      <c r="J805" s="1">
        <v>3</v>
      </c>
      <c r="K805" s="1">
        <v>653.13</v>
      </c>
      <c r="L805" s="1">
        <v>0.05</v>
      </c>
      <c r="M805" s="1">
        <v>1959.39</v>
      </c>
      <c r="N805" s="1">
        <v>97.969499999999996</v>
      </c>
      <c r="O805" s="1">
        <v>1861.4204999999999</v>
      </c>
      <c r="P805" s="1">
        <v>1023.7812750000001</v>
      </c>
      <c r="Q805" s="1">
        <v>837.6392249999999</v>
      </c>
      <c r="R805" s="1">
        <v>44.999999999999993</v>
      </c>
      <c r="S805" s="1" t="s">
        <v>60</v>
      </c>
    </row>
    <row r="806" spans="1:19" x14ac:dyDescent="0.35">
      <c r="A806" s="1" t="s">
        <v>1172</v>
      </c>
      <c r="B806" s="3">
        <v>45709</v>
      </c>
      <c r="C806" s="1" t="s">
        <v>42</v>
      </c>
      <c r="D806" s="1">
        <v>2</v>
      </c>
      <c r="E806" s="1" t="s">
        <v>1086</v>
      </c>
      <c r="F806" s="1" t="s">
        <v>30</v>
      </c>
      <c r="G806" s="1" t="s">
        <v>38</v>
      </c>
      <c r="H806" s="1" t="s">
        <v>53</v>
      </c>
      <c r="I806" s="1" t="s">
        <v>72</v>
      </c>
      <c r="J806" s="1">
        <v>1</v>
      </c>
      <c r="K806" s="1">
        <v>1764.16</v>
      </c>
      <c r="L806" s="1">
        <v>0.3</v>
      </c>
      <c r="M806" s="1">
        <v>1764.16</v>
      </c>
      <c r="N806" s="1">
        <v>529.24800000000005</v>
      </c>
      <c r="O806" s="1">
        <v>1234.912</v>
      </c>
      <c r="P806" s="1">
        <v>716.24896000000001</v>
      </c>
      <c r="Q806" s="1">
        <v>518.66304000000002</v>
      </c>
      <c r="R806" s="1">
        <v>42</v>
      </c>
      <c r="S806" s="1" t="s">
        <v>73</v>
      </c>
    </row>
    <row r="807" spans="1:19" x14ac:dyDescent="0.35">
      <c r="A807" s="1" t="s">
        <v>1173</v>
      </c>
      <c r="B807" s="3">
        <v>45721</v>
      </c>
      <c r="C807" s="1" t="s">
        <v>28</v>
      </c>
      <c r="D807" s="1">
        <v>3</v>
      </c>
      <c r="E807" s="1" t="s">
        <v>196</v>
      </c>
      <c r="F807" s="1" t="s">
        <v>69</v>
      </c>
      <c r="G807" s="1" t="s">
        <v>23</v>
      </c>
      <c r="H807" s="1" t="s">
        <v>53</v>
      </c>
      <c r="I807" s="1" t="s">
        <v>123</v>
      </c>
      <c r="J807" s="1">
        <v>6</v>
      </c>
      <c r="K807" s="1">
        <v>588.42999999999995</v>
      </c>
      <c r="L807" s="1">
        <v>0.25</v>
      </c>
      <c r="M807" s="1">
        <v>3530.58</v>
      </c>
      <c r="N807" s="1">
        <v>882.64499999999998</v>
      </c>
      <c r="O807" s="1">
        <v>2647.9349999999999</v>
      </c>
      <c r="P807" s="1">
        <v>1535.8023000000001</v>
      </c>
      <c r="Q807" s="1">
        <v>1112.1327000000001</v>
      </c>
      <c r="R807" s="1">
        <v>42.000000000000007</v>
      </c>
      <c r="S807" s="1" t="s">
        <v>93</v>
      </c>
    </row>
    <row r="808" spans="1:19" x14ac:dyDescent="0.35">
      <c r="A808" s="1" t="s">
        <v>1174</v>
      </c>
      <c r="B808" s="3">
        <v>45762</v>
      </c>
      <c r="C808" s="1" t="s">
        <v>20</v>
      </c>
      <c r="D808" s="1">
        <v>4</v>
      </c>
      <c r="E808" s="1" t="s">
        <v>460</v>
      </c>
      <c r="F808" s="1" t="s">
        <v>43</v>
      </c>
      <c r="G808" s="1" t="s">
        <v>38</v>
      </c>
      <c r="H808" s="1" t="s">
        <v>24</v>
      </c>
      <c r="I808" s="1" t="s">
        <v>44</v>
      </c>
      <c r="J808" s="1">
        <v>2</v>
      </c>
      <c r="K808" s="1">
        <v>1645.53</v>
      </c>
      <c r="L808" s="1">
        <v>0.05</v>
      </c>
      <c r="M808" s="1">
        <v>3291.06</v>
      </c>
      <c r="N808" s="1">
        <v>164.553</v>
      </c>
      <c r="O808" s="1">
        <v>3126.5070000000001</v>
      </c>
      <c r="P808" s="1">
        <v>1719.5788500000001</v>
      </c>
      <c r="Q808" s="1">
        <v>1406.92815</v>
      </c>
      <c r="R808" s="1">
        <v>44.999999999999993</v>
      </c>
      <c r="S808" s="1" t="s">
        <v>33</v>
      </c>
    </row>
    <row r="809" spans="1:19" x14ac:dyDescent="0.35">
      <c r="A809" s="1" t="s">
        <v>1175</v>
      </c>
      <c r="B809" s="3">
        <v>45753</v>
      </c>
      <c r="C809" s="1" t="s">
        <v>20</v>
      </c>
      <c r="D809" s="1">
        <v>4</v>
      </c>
      <c r="E809" s="1" t="s">
        <v>981</v>
      </c>
      <c r="F809" s="1" t="s">
        <v>58</v>
      </c>
      <c r="G809" s="1" t="s">
        <v>38</v>
      </c>
      <c r="H809" s="1" t="s">
        <v>39</v>
      </c>
      <c r="I809" s="1" t="s">
        <v>214</v>
      </c>
      <c r="J809" s="1">
        <v>7</v>
      </c>
      <c r="K809" s="1">
        <v>51430.26</v>
      </c>
      <c r="L809" s="1">
        <v>0.1</v>
      </c>
      <c r="M809" s="1">
        <v>360011.82</v>
      </c>
      <c r="N809" s="1">
        <v>36001.182000000001</v>
      </c>
      <c r="O809" s="1">
        <v>324010.63799999998</v>
      </c>
      <c r="P809" s="1">
        <v>252728.29764</v>
      </c>
      <c r="Q809" s="1">
        <v>71282.340360000002</v>
      </c>
      <c r="R809" s="1">
        <v>22</v>
      </c>
      <c r="S809" s="1" t="s">
        <v>60</v>
      </c>
    </row>
    <row r="810" spans="1:19" x14ac:dyDescent="0.35">
      <c r="A810" s="1" t="s">
        <v>1176</v>
      </c>
      <c r="B810" s="3">
        <v>45975</v>
      </c>
      <c r="C810" s="1" t="s">
        <v>56</v>
      </c>
      <c r="D810" s="1">
        <v>11</v>
      </c>
      <c r="E810" s="1" t="s">
        <v>990</v>
      </c>
      <c r="F810" s="1" t="s">
        <v>52</v>
      </c>
      <c r="G810" s="1" t="s">
        <v>38</v>
      </c>
      <c r="H810" s="1" t="s">
        <v>31</v>
      </c>
      <c r="I810" s="1" t="s">
        <v>190</v>
      </c>
      <c r="J810" s="1">
        <v>2</v>
      </c>
      <c r="K810" s="1">
        <v>1477.91</v>
      </c>
      <c r="L810" s="1">
        <v>0.2</v>
      </c>
      <c r="M810" s="1">
        <v>2955.82</v>
      </c>
      <c r="N810" s="1">
        <v>591.1640000000001</v>
      </c>
      <c r="O810" s="1">
        <v>2364.6559999999999</v>
      </c>
      <c r="P810" s="1">
        <v>1229.62112</v>
      </c>
      <c r="Q810" s="1">
        <v>1135.0348799999999</v>
      </c>
      <c r="R810" s="1">
        <v>48</v>
      </c>
      <c r="S810" s="1" t="s">
        <v>73</v>
      </c>
    </row>
    <row r="811" spans="1:19" x14ac:dyDescent="0.35">
      <c r="A811" s="1" t="s">
        <v>1177</v>
      </c>
      <c r="B811" s="3">
        <v>45841</v>
      </c>
      <c r="C811" s="1" t="s">
        <v>62</v>
      </c>
      <c r="D811" s="1">
        <v>7</v>
      </c>
      <c r="E811" s="1" t="s">
        <v>1178</v>
      </c>
      <c r="F811" s="1" t="s">
        <v>22</v>
      </c>
      <c r="G811" s="1" t="s">
        <v>64</v>
      </c>
      <c r="H811" s="1" t="s">
        <v>39</v>
      </c>
      <c r="I811" s="1" t="s">
        <v>214</v>
      </c>
      <c r="J811" s="1">
        <v>4</v>
      </c>
      <c r="K811" s="1">
        <v>12305.4</v>
      </c>
      <c r="L811" s="1">
        <v>0.15</v>
      </c>
      <c r="M811" s="1">
        <v>49221.599999999999</v>
      </c>
      <c r="N811" s="1">
        <v>7383.24</v>
      </c>
      <c r="O811" s="1">
        <v>41838.36</v>
      </c>
      <c r="P811" s="1">
        <v>32633.9208</v>
      </c>
      <c r="Q811" s="1">
        <v>9204.4392000000007</v>
      </c>
      <c r="R811" s="1">
        <v>22</v>
      </c>
      <c r="S811" s="1" t="s">
        <v>26</v>
      </c>
    </row>
    <row r="812" spans="1:19" x14ac:dyDescent="0.35">
      <c r="A812" s="1" t="s">
        <v>1179</v>
      </c>
      <c r="B812" s="3">
        <v>45878</v>
      </c>
      <c r="C812" s="1" t="s">
        <v>113</v>
      </c>
      <c r="D812" s="1">
        <v>8</v>
      </c>
      <c r="E812" s="1" t="s">
        <v>448</v>
      </c>
      <c r="F812" s="1" t="s">
        <v>69</v>
      </c>
      <c r="G812" s="1" t="s">
        <v>23</v>
      </c>
      <c r="H812" s="1" t="s">
        <v>77</v>
      </c>
      <c r="I812" s="1" t="s">
        <v>78</v>
      </c>
      <c r="J812" s="1">
        <v>6</v>
      </c>
      <c r="K812" s="1">
        <v>870.7</v>
      </c>
      <c r="L812" s="1">
        <v>0.05</v>
      </c>
      <c r="M812" s="1">
        <v>5224.2000000000007</v>
      </c>
      <c r="N812" s="1">
        <v>261.20999999999998</v>
      </c>
      <c r="O812" s="1">
        <v>4962.9900000000007</v>
      </c>
      <c r="P812" s="1">
        <v>3573.352800000001</v>
      </c>
      <c r="Q812" s="1">
        <v>1389.6371999999999</v>
      </c>
      <c r="R812" s="1">
        <v>28</v>
      </c>
      <c r="S812" s="1" t="s">
        <v>73</v>
      </c>
    </row>
    <row r="813" spans="1:19" x14ac:dyDescent="0.35">
      <c r="A813" s="1" t="s">
        <v>1180</v>
      </c>
      <c r="B813" s="3">
        <v>45819</v>
      </c>
      <c r="C813" s="1" t="s">
        <v>82</v>
      </c>
      <c r="D813" s="1">
        <v>6</v>
      </c>
      <c r="E813" s="1" t="s">
        <v>95</v>
      </c>
      <c r="F813" s="1" t="s">
        <v>47</v>
      </c>
      <c r="G813" s="1" t="s">
        <v>23</v>
      </c>
      <c r="H813" s="1" t="s">
        <v>53</v>
      </c>
      <c r="I813" s="1" t="s">
        <v>54</v>
      </c>
      <c r="J813" s="1">
        <v>6</v>
      </c>
      <c r="K813" s="1">
        <v>1262.1099999999999</v>
      </c>
      <c r="L813" s="1">
        <v>0</v>
      </c>
      <c r="M813" s="1">
        <v>7572.66</v>
      </c>
      <c r="N813" s="1">
        <v>0</v>
      </c>
      <c r="O813" s="1">
        <v>7572.66</v>
      </c>
      <c r="P813" s="1">
        <v>4392.1427999999996</v>
      </c>
      <c r="Q813" s="1">
        <v>3180.5171999999998</v>
      </c>
      <c r="R813" s="1">
        <v>42.000000000000007</v>
      </c>
      <c r="S813" s="1" t="s">
        <v>60</v>
      </c>
    </row>
    <row r="814" spans="1:19" x14ac:dyDescent="0.35">
      <c r="A814" s="1" t="s">
        <v>1181</v>
      </c>
      <c r="B814" s="3">
        <v>45975</v>
      </c>
      <c r="C814" s="1" t="s">
        <v>56</v>
      </c>
      <c r="D814" s="1">
        <v>11</v>
      </c>
      <c r="E814" s="1" t="s">
        <v>532</v>
      </c>
      <c r="F814" s="1" t="s">
        <v>47</v>
      </c>
      <c r="G814" s="1" t="s">
        <v>64</v>
      </c>
      <c r="H814" s="1" t="s">
        <v>77</v>
      </c>
      <c r="I814" s="1" t="s">
        <v>103</v>
      </c>
      <c r="J814" s="1">
        <v>7</v>
      </c>
      <c r="K814" s="1">
        <v>121.85</v>
      </c>
      <c r="L814" s="1">
        <v>0.15</v>
      </c>
      <c r="M814" s="1">
        <v>852.94999999999993</v>
      </c>
      <c r="N814" s="1">
        <v>127.9425</v>
      </c>
      <c r="O814" s="1">
        <v>725.00749999999994</v>
      </c>
      <c r="P814" s="1">
        <v>522.0053999999999</v>
      </c>
      <c r="Q814" s="1">
        <v>203.00210000000001</v>
      </c>
      <c r="R814" s="1">
        <v>28.000000000000011</v>
      </c>
      <c r="S814" s="1" t="s">
        <v>33</v>
      </c>
    </row>
    <row r="815" spans="1:19" x14ac:dyDescent="0.35">
      <c r="A815" s="1" t="s">
        <v>1182</v>
      </c>
      <c r="B815" s="3">
        <v>45815</v>
      </c>
      <c r="C815" s="1" t="s">
        <v>82</v>
      </c>
      <c r="D815" s="1">
        <v>6</v>
      </c>
      <c r="E815" s="1" t="s">
        <v>624</v>
      </c>
      <c r="F815" s="1" t="s">
        <v>76</v>
      </c>
      <c r="G815" s="1" t="s">
        <v>38</v>
      </c>
      <c r="H815" s="1" t="s">
        <v>39</v>
      </c>
      <c r="I815" s="1" t="s">
        <v>214</v>
      </c>
      <c r="J815" s="1">
        <v>3</v>
      </c>
      <c r="K815" s="1">
        <v>23278.69</v>
      </c>
      <c r="L815" s="1">
        <v>0.2</v>
      </c>
      <c r="M815" s="1">
        <v>69836.069999999992</v>
      </c>
      <c r="N815" s="1">
        <v>13967.214</v>
      </c>
      <c r="O815" s="1">
        <v>55868.855999999992</v>
      </c>
      <c r="P815" s="1">
        <v>43577.707679999992</v>
      </c>
      <c r="Q815" s="1">
        <v>12291.14832</v>
      </c>
      <c r="R815" s="1">
        <v>22</v>
      </c>
      <c r="S815" s="1" t="s">
        <v>26</v>
      </c>
    </row>
    <row r="816" spans="1:19" x14ac:dyDescent="0.35">
      <c r="A816" s="1" t="s">
        <v>1183</v>
      </c>
      <c r="B816" s="3">
        <v>46015</v>
      </c>
      <c r="C816" s="1" t="s">
        <v>67</v>
      </c>
      <c r="D816" s="1">
        <v>12</v>
      </c>
      <c r="E816" s="1" t="s">
        <v>196</v>
      </c>
      <c r="F816" s="1" t="s">
        <v>30</v>
      </c>
      <c r="G816" s="1" t="s">
        <v>23</v>
      </c>
      <c r="H816" s="1" t="s">
        <v>77</v>
      </c>
      <c r="I816" s="1" t="s">
        <v>103</v>
      </c>
      <c r="J816" s="1">
        <v>3</v>
      </c>
      <c r="K816" s="1">
        <v>679.12</v>
      </c>
      <c r="L816" s="1">
        <v>0.15</v>
      </c>
      <c r="M816" s="1">
        <v>2037.36</v>
      </c>
      <c r="N816" s="1">
        <v>305.60399999999998</v>
      </c>
      <c r="O816" s="1">
        <v>1731.7560000000001</v>
      </c>
      <c r="P816" s="1">
        <v>1246.8643199999999</v>
      </c>
      <c r="Q816" s="1">
        <v>484.89168000000018</v>
      </c>
      <c r="R816" s="1">
        <v>28.000000000000011</v>
      </c>
      <c r="S816" s="1" t="s">
        <v>93</v>
      </c>
    </row>
    <row r="817" spans="1:19" x14ac:dyDescent="0.35">
      <c r="A817" s="1" t="s">
        <v>1184</v>
      </c>
      <c r="B817" s="3">
        <v>45697</v>
      </c>
      <c r="C817" s="1" t="s">
        <v>42</v>
      </c>
      <c r="D817" s="1">
        <v>2</v>
      </c>
      <c r="E817" s="1" t="s">
        <v>540</v>
      </c>
      <c r="F817" s="1" t="s">
        <v>52</v>
      </c>
      <c r="G817" s="1" t="s">
        <v>23</v>
      </c>
      <c r="H817" s="1" t="s">
        <v>53</v>
      </c>
      <c r="I817" s="1" t="s">
        <v>72</v>
      </c>
      <c r="J817" s="1">
        <v>3</v>
      </c>
      <c r="K817" s="1">
        <v>1257.98</v>
      </c>
      <c r="L817" s="1">
        <v>0.15</v>
      </c>
      <c r="M817" s="1">
        <v>3773.94</v>
      </c>
      <c r="N817" s="1">
        <v>566.09100000000001</v>
      </c>
      <c r="O817" s="1">
        <v>3207.8490000000002</v>
      </c>
      <c r="P817" s="1">
        <v>1860.55242</v>
      </c>
      <c r="Q817" s="1">
        <v>1347.2965799999999</v>
      </c>
      <c r="R817" s="1">
        <v>42.000000000000007</v>
      </c>
      <c r="S817" s="1" t="s">
        <v>26</v>
      </c>
    </row>
    <row r="818" spans="1:19" x14ac:dyDescent="0.35">
      <c r="A818" s="1" t="s">
        <v>1185</v>
      </c>
      <c r="B818" s="3">
        <v>45952</v>
      </c>
      <c r="C818" s="1" t="s">
        <v>35</v>
      </c>
      <c r="D818" s="1">
        <v>10</v>
      </c>
      <c r="E818" s="1" t="s">
        <v>147</v>
      </c>
      <c r="F818" s="1" t="s">
        <v>76</v>
      </c>
      <c r="G818" s="1" t="s">
        <v>64</v>
      </c>
      <c r="H818" s="1" t="s">
        <v>39</v>
      </c>
      <c r="I818" s="1" t="s">
        <v>155</v>
      </c>
      <c r="J818" s="1">
        <v>1</v>
      </c>
      <c r="K818" s="1">
        <v>42416.19</v>
      </c>
      <c r="L818" s="1">
        <v>0.05</v>
      </c>
      <c r="M818" s="1">
        <v>42416.19</v>
      </c>
      <c r="N818" s="1">
        <v>2120.8094999999998</v>
      </c>
      <c r="O818" s="1">
        <v>40295.380499999999</v>
      </c>
      <c r="P818" s="1">
        <v>31430.396789999999</v>
      </c>
      <c r="Q818" s="1">
        <v>8864.9837100000004</v>
      </c>
      <c r="R818" s="1">
        <v>22</v>
      </c>
      <c r="S818" s="1" t="s">
        <v>33</v>
      </c>
    </row>
    <row r="819" spans="1:19" x14ac:dyDescent="0.35">
      <c r="A819" s="1" t="s">
        <v>1186</v>
      </c>
      <c r="B819" s="3">
        <v>45681</v>
      </c>
      <c r="C819" s="1" t="s">
        <v>193</v>
      </c>
      <c r="D819" s="1">
        <v>1</v>
      </c>
      <c r="E819" s="1" t="s">
        <v>815</v>
      </c>
      <c r="F819" s="1" t="s">
        <v>22</v>
      </c>
      <c r="G819" s="1" t="s">
        <v>64</v>
      </c>
      <c r="H819" s="1" t="s">
        <v>39</v>
      </c>
      <c r="I819" s="1" t="s">
        <v>214</v>
      </c>
      <c r="J819" s="1">
        <v>7</v>
      </c>
      <c r="K819" s="1">
        <v>20641.43</v>
      </c>
      <c r="L819" s="1">
        <v>0.2</v>
      </c>
      <c r="M819" s="1">
        <v>144490.01</v>
      </c>
      <c r="N819" s="1">
        <v>28898.002</v>
      </c>
      <c r="O819" s="1">
        <v>115592.008</v>
      </c>
      <c r="P819" s="1">
        <v>90161.766239999997</v>
      </c>
      <c r="Q819" s="1">
        <v>25430.241760000001</v>
      </c>
      <c r="R819" s="1">
        <v>22</v>
      </c>
      <c r="S819" s="1" t="s">
        <v>26</v>
      </c>
    </row>
    <row r="820" spans="1:19" x14ac:dyDescent="0.35">
      <c r="A820" s="1" t="s">
        <v>1187</v>
      </c>
      <c r="B820" s="3">
        <v>45986</v>
      </c>
      <c r="C820" s="1" t="s">
        <v>56</v>
      </c>
      <c r="D820" s="1">
        <v>11</v>
      </c>
      <c r="E820" s="1" t="s">
        <v>912</v>
      </c>
      <c r="F820" s="1" t="s">
        <v>22</v>
      </c>
      <c r="G820" s="1" t="s">
        <v>38</v>
      </c>
      <c r="H820" s="1" t="s">
        <v>24</v>
      </c>
      <c r="I820" s="1" t="s">
        <v>44</v>
      </c>
      <c r="J820" s="1">
        <v>3</v>
      </c>
      <c r="K820" s="1">
        <v>4941.9399999999996</v>
      </c>
      <c r="L820" s="1">
        <v>0.2</v>
      </c>
      <c r="M820" s="1">
        <v>14825.82</v>
      </c>
      <c r="N820" s="1">
        <v>2965.1640000000002</v>
      </c>
      <c r="O820" s="1">
        <v>11860.656000000001</v>
      </c>
      <c r="P820" s="1">
        <v>6523.3608000000004</v>
      </c>
      <c r="Q820" s="1">
        <v>5337.2951999999987</v>
      </c>
      <c r="R820" s="1">
        <v>44.999999999999993</v>
      </c>
      <c r="S820" s="1" t="s">
        <v>93</v>
      </c>
    </row>
    <row r="821" spans="1:19" x14ac:dyDescent="0.35">
      <c r="A821" s="1" t="s">
        <v>1188</v>
      </c>
      <c r="B821" s="3">
        <v>46001</v>
      </c>
      <c r="C821" s="1" t="s">
        <v>67</v>
      </c>
      <c r="D821" s="1">
        <v>12</v>
      </c>
      <c r="E821" s="1" t="s">
        <v>844</v>
      </c>
      <c r="F821" s="1" t="s">
        <v>47</v>
      </c>
      <c r="G821" s="1" t="s">
        <v>38</v>
      </c>
      <c r="H821" s="1" t="s">
        <v>39</v>
      </c>
      <c r="I821" s="1" t="s">
        <v>87</v>
      </c>
      <c r="J821" s="1">
        <v>4</v>
      </c>
      <c r="K821" s="1">
        <v>9736.1</v>
      </c>
      <c r="L821" s="1">
        <v>0</v>
      </c>
      <c r="M821" s="1">
        <v>38944.400000000001</v>
      </c>
      <c r="N821" s="1">
        <v>0</v>
      </c>
      <c r="O821" s="1">
        <v>38944.400000000001</v>
      </c>
      <c r="P821" s="1">
        <v>30376.632000000001</v>
      </c>
      <c r="Q821" s="1">
        <v>8567.768</v>
      </c>
      <c r="R821" s="1">
        <v>22</v>
      </c>
      <c r="S821" s="1" t="s">
        <v>26</v>
      </c>
    </row>
    <row r="822" spans="1:19" x14ac:dyDescent="0.35">
      <c r="A822" s="1" t="s">
        <v>1189</v>
      </c>
      <c r="B822" s="3">
        <v>45691</v>
      </c>
      <c r="C822" s="1" t="s">
        <v>42</v>
      </c>
      <c r="D822" s="1">
        <v>2</v>
      </c>
      <c r="E822" s="1" t="s">
        <v>764</v>
      </c>
      <c r="F822" s="1" t="s">
        <v>111</v>
      </c>
      <c r="G822" s="1" t="s">
        <v>64</v>
      </c>
      <c r="H822" s="1" t="s">
        <v>24</v>
      </c>
      <c r="I822" s="1" t="s">
        <v>139</v>
      </c>
      <c r="J822" s="1">
        <v>3</v>
      </c>
      <c r="K822" s="1">
        <v>3094.34</v>
      </c>
      <c r="L822" s="1">
        <v>0.3</v>
      </c>
      <c r="M822" s="1">
        <v>9283.02</v>
      </c>
      <c r="N822" s="1">
        <v>2784.9059999999999</v>
      </c>
      <c r="O822" s="1">
        <v>6498.1139999999996</v>
      </c>
      <c r="P822" s="1">
        <v>3573.9627</v>
      </c>
      <c r="Q822" s="1">
        <v>2924.1513</v>
      </c>
      <c r="R822" s="1">
        <v>44.999999999999993</v>
      </c>
      <c r="S822" s="1" t="s">
        <v>33</v>
      </c>
    </row>
    <row r="823" spans="1:19" x14ac:dyDescent="0.35">
      <c r="A823" s="1" t="s">
        <v>1190</v>
      </c>
      <c r="B823" s="3">
        <v>45781</v>
      </c>
      <c r="C823" s="1" t="s">
        <v>97</v>
      </c>
      <c r="D823" s="1">
        <v>5</v>
      </c>
      <c r="E823" s="1" t="s">
        <v>1053</v>
      </c>
      <c r="F823" s="1" t="s">
        <v>30</v>
      </c>
      <c r="G823" s="1" t="s">
        <v>23</v>
      </c>
      <c r="H823" s="1" t="s">
        <v>53</v>
      </c>
      <c r="I823" s="1" t="s">
        <v>123</v>
      </c>
      <c r="J823" s="1">
        <v>7</v>
      </c>
      <c r="K823" s="1">
        <v>976.88</v>
      </c>
      <c r="L823" s="1">
        <v>0.2</v>
      </c>
      <c r="M823" s="1">
        <v>6838.16</v>
      </c>
      <c r="N823" s="1">
        <v>1367.6320000000001</v>
      </c>
      <c r="O823" s="1">
        <v>5470.5280000000002</v>
      </c>
      <c r="P823" s="1">
        <v>3172.9062399999998</v>
      </c>
      <c r="Q823" s="1">
        <v>2297.62176</v>
      </c>
      <c r="R823" s="1">
        <v>42.000000000000007</v>
      </c>
      <c r="S823" s="1" t="s">
        <v>73</v>
      </c>
    </row>
    <row r="824" spans="1:19" x14ac:dyDescent="0.35">
      <c r="A824" s="1" t="s">
        <v>1191</v>
      </c>
      <c r="B824" s="3">
        <v>45728</v>
      </c>
      <c r="C824" s="1" t="s">
        <v>28</v>
      </c>
      <c r="D824" s="1">
        <v>3</v>
      </c>
      <c r="E824" s="1" t="s">
        <v>833</v>
      </c>
      <c r="F824" s="1" t="s">
        <v>69</v>
      </c>
      <c r="G824" s="1" t="s">
        <v>23</v>
      </c>
      <c r="H824" s="1" t="s">
        <v>39</v>
      </c>
      <c r="I824" s="1" t="s">
        <v>87</v>
      </c>
      <c r="J824" s="1">
        <v>7</v>
      </c>
      <c r="K824" s="1">
        <v>57474.1</v>
      </c>
      <c r="L824" s="1">
        <v>0.1</v>
      </c>
      <c r="M824" s="1">
        <v>402318.7</v>
      </c>
      <c r="N824" s="1">
        <v>40231.870000000003</v>
      </c>
      <c r="O824" s="1">
        <v>362086.83</v>
      </c>
      <c r="P824" s="1">
        <v>282427.72739999997</v>
      </c>
      <c r="Q824" s="1">
        <v>79659.102599999984</v>
      </c>
      <c r="R824" s="1">
        <v>21.999999999999989</v>
      </c>
      <c r="S824" s="1" t="s">
        <v>60</v>
      </c>
    </row>
    <row r="825" spans="1:19" x14ac:dyDescent="0.35">
      <c r="A825" s="1" t="s">
        <v>1192</v>
      </c>
      <c r="B825" s="3">
        <v>45822</v>
      </c>
      <c r="C825" s="1" t="s">
        <v>82</v>
      </c>
      <c r="D825" s="1">
        <v>6</v>
      </c>
      <c r="E825" s="1" t="s">
        <v>1156</v>
      </c>
      <c r="F825" s="1" t="s">
        <v>76</v>
      </c>
      <c r="G825" s="1" t="s">
        <v>38</v>
      </c>
      <c r="H825" s="1" t="s">
        <v>31</v>
      </c>
      <c r="I825" s="1" t="s">
        <v>32</v>
      </c>
      <c r="J825" s="1">
        <v>4</v>
      </c>
      <c r="K825" s="1">
        <v>1912.77</v>
      </c>
      <c r="L825" s="1">
        <v>0.3</v>
      </c>
      <c r="M825" s="1">
        <v>7651.08</v>
      </c>
      <c r="N825" s="1">
        <v>2295.3240000000001</v>
      </c>
      <c r="O825" s="1">
        <v>5355.7559999999994</v>
      </c>
      <c r="P825" s="1">
        <v>2784.9931200000001</v>
      </c>
      <c r="Q825" s="1">
        <v>2570.7628800000002</v>
      </c>
      <c r="R825" s="1">
        <v>48.000000000000007</v>
      </c>
      <c r="S825" s="1" t="s">
        <v>73</v>
      </c>
    </row>
    <row r="826" spans="1:19" x14ac:dyDescent="0.35">
      <c r="A826" s="1" t="s">
        <v>1193</v>
      </c>
      <c r="B826" s="3">
        <v>45749</v>
      </c>
      <c r="C826" s="1" t="s">
        <v>20</v>
      </c>
      <c r="D826" s="1">
        <v>4</v>
      </c>
      <c r="E826" s="1" t="s">
        <v>418</v>
      </c>
      <c r="F826" s="1" t="s">
        <v>69</v>
      </c>
      <c r="G826" s="1" t="s">
        <v>23</v>
      </c>
      <c r="H826" s="1" t="s">
        <v>53</v>
      </c>
      <c r="I826" s="1" t="s">
        <v>185</v>
      </c>
      <c r="J826" s="1">
        <v>1</v>
      </c>
      <c r="K826" s="1">
        <v>861.49</v>
      </c>
      <c r="L826" s="1">
        <v>0.1</v>
      </c>
      <c r="M826" s="1">
        <v>861.49</v>
      </c>
      <c r="N826" s="1">
        <v>86.149000000000001</v>
      </c>
      <c r="O826" s="1">
        <v>775.34100000000001</v>
      </c>
      <c r="P826" s="1">
        <v>449.69778000000002</v>
      </c>
      <c r="Q826" s="1">
        <v>325.64321999999999</v>
      </c>
      <c r="R826" s="1">
        <v>42.000000000000007</v>
      </c>
      <c r="S826" s="1" t="s">
        <v>26</v>
      </c>
    </row>
    <row r="827" spans="1:19" x14ac:dyDescent="0.35">
      <c r="A827" s="1" t="s">
        <v>1194</v>
      </c>
      <c r="B827" s="3">
        <v>45750</v>
      </c>
      <c r="C827" s="1" t="s">
        <v>20</v>
      </c>
      <c r="D827" s="1">
        <v>4</v>
      </c>
      <c r="E827" s="1" t="s">
        <v>254</v>
      </c>
      <c r="F827" s="1" t="s">
        <v>47</v>
      </c>
      <c r="G827" s="1" t="s">
        <v>38</v>
      </c>
      <c r="H827" s="1" t="s">
        <v>24</v>
      </c>
      <c r="I827" s="1" t="s">
        <v>139</v>
      </c>
      <c r="J827" s="1">
        <v>5</v>
      </c>
      <c r="K827" s="1">
        <v>5347.76</v>
      </c>
      <c r="L827" s="1">
        <v>0.15</v>
      </c>
      <c r="M827" s="1">
        <v>26738.799999999999</v>
      </c>
      <c r="N827" s="1">
        <v>4010.82</v>
      </c>
      <c r="O827" s="1">
        <v>22727.98</v>
      </c>
      <c r="P827" s="1">
        <v>12500.388999999999</v>
      </c>
      <c r="Q827" s="1">
        <v>10227.591</v>
      </c>
      <c r="R827" s="1">
        <v>44.999999999999993</v>
      </c>
      <c r="S827" s="1" t="s">
        <v>33</v>
      </c>
    </row>
    <row r="828" spans="1:19" x14ac:dyDescent="0.35">
      <c r="A828" s="1" t="s">
        <v>1195</v>
      </c>
      <c r="B828" s="3">
        <v>45821</v>
      </c>
      <c r="C828" s="1" t="s">
        <v>82</v>
      </c>
      <c r="D828" s="1">
        <v>6</v>
      </c>
      <c r="E828" s="1" t="s">
        <v>312</v>
      </c>
      <c r="F828" s="1" t="s">
        <v>37</v>
      </c>
      <c r="G828" s="1" t="s">
        <v>38</v>
      </c>
      <c r="H828" s="1" t="s">
        <v>77</v>
      </c>
      <c r="I828" s="1" t="s">
        <v>103</v>
      </c>
      <c r="J828" s="1">
        <v>4</v>
      </c>
      <c r="K828" s="1">
        <v>184.19</v>
      </c>
      <c r="L828" s="1">
        <v>0.15</v>
      </c>
      <c r="M828" s="1">
        <v>736.76</v>
      </c>
      <c r="N828" s="1">
        <v>110.514</v>
      </c>
      <c r="O828" s="1">
        <v>626.24599999999998</v>
      </c>
      <c r="P828" s="1">
        <v>450.89711999999997</v>
      </c>
      <c r="Q828" s="1">
        <v>175.34888000000001</v>
      </c>
      <c r="R828" s="1">
        <v>28</v>
      </c>
      <c r="S828" s="1" t="s">
        <v>60</v>
      </c>
    </row>
    <row r="829" spans="1:19" x14ac:dyDescent="0.35">
      <c r="A829" s="1" t="s">
        <v>1196</v>
      </c>
      <c r="B829" s="3">
        <v>45927</v>
      </c>
      <c r="C829" s="1" t="s">
        <v>50</v>
      </c>
      <c r="D829" s="1">
        <v>9</v>
      </c>
      <c r="E829" s="1" t="s">
        <v>150</v>
      </c>
      <c r="F829" s="1" t="s">
        <v>30</v>
      </c>
      <c r="G829" s="1" t="s">
        <v>64</v>
      </c>
      <c r="H829" s="1" t="s">
        <v>24</v>
      </c>
      <c r="I829" s="1" t="s">
        <v>48</v>
      </c>
      <c r="J829" s="1">
        <v>1</v>
      </c>
      <c r="K829" s="1">
        <v>928.33</v>
      </c>
      <c r="L829" s="1">
        <v>0.15</v>
      </c>
      <c r="M829" s="1">
        <v>928.33</v>
      </c>
      <c r="N829" s="1">
        <v>139.24950000000001</v>
      </c>
      <c r="O829" s="1">
        <v>789.08050000000003</v>
      </c>
      <c r="P829" s="1">
        <v>433.99427500000007</v>
      </c>
      <c r="Q829" s="1">
        <v>355.08622500000001</v>
      </c>
      <c r="R829" s="1">
        <v>44.999999999999993</v>
      </c>
      <c r="S829" s="1" t="s">
        <v>26</v>
      </c>
    </row>
    <row r="830" spans="1:19" x14ac:dyDescent="0.35">
      <c r="A830" s="1" t="s">
        <v>1197</v>
      </c>
      <c r="B830" s="3">
        <v>45932</v>
      </c>
      <c r="C830" s="1" t="s">
        <v>35</v>
      </c>
      <c r="D830" s="1">
        <v>10</v>
      </c>
      <c r="E830" s="1" t="s">
        <v>880</v>
      </c>
      <c r="F830" s="1" t="s">
        <v>76</v>
      </c>
      <c r="G830" s="1" t="s">
        <v>38</v>
      </c>
      <c r="H830" s="1" t="s">
        <v>39</v>
      </c>
      <c r="I830" s="1" t="s">
        <v>155</v>
      </c>
      <c r="J830" s="1">
        <v>2</v>
      </c>
      <c r="K830" s="1">
        <v>50155.11</v>
      </c>
      <c r="L830" s="1">
        <v>0</v>
      </c>
      <c r="M830" s="1">
        <v>100310.22</v>
      </c>
      <c r="N830" s="1">
        <v>0</v>
      </c>
      <c r="O830" s="1">
        <v>100310.22</v>
      </c>
      <c r="P830" s="1">
        <v>78241.971600000004</v>
      </c>
      <c r="Q830" s="1">
        <v>22068.2484</v>
      </c>
      <c r="R830" s="1">
        <v>22</v>
      </c>
      <c r="S830" s="1" t="s">
        <v>60</v>
      </c>
    </row>
    <row r="831" spans="1:19" x14ac:dyDescent="0.35">
      <c r="A831" s="1" t="s">
        <v>1198</v>
      </c>
      <c r="B831" s="3">
        <v>45875</v>
      </c>
      <c r="C831" s="1" t="s">
        <v>113</v>
      </c>
      <c r="D831" s="1">
        <v>8</v>
      </c>
      <c r="E831" s="1" t="s">
        <v>321</v>
      </c>
      <c r="F831" s="1" t="s">
        <v>69</v>
      </c>
      <c r="G831" s="1" t="s">
        <v>38</v>
      </c>
      <c r="H831" s="1" t="s">
        <v>31</v>
      </c>
      <c r="I831" s="1" t="s">
        <v>167</v>
      </c>
      <c r="J831" s="1">
        <v>3</v>
      </c>
      <c r="K831" s="1">
        <v>1375.62</v>
      </c>
      <c r="L831" s="1">
        <v>0.05</v>
      </c>
      <c r="M831" s="1">
        <v>4126.8599999999997</v>
      </c>
      <c r="N831" s="1">
        <v>206.34299999999999</v>
      </c>
      <c r="O831" s="1">
        <v>3920.5169999999998</v>
      </c>
      <c r="P831" s="1">
        <v>2038.66884</v>
      </c>
      <c r="Q831" s="1">
        <v>1881.84816</v>
      </c>
      <c r="R831" s="1">
        <v>48</v>
      </c>
      <c r="S831" s="1" t="s">
        <v>26</v>
      </c>
    </row>
    <row r="832" spans="1:19" x14ac:dyDescent="0.35">
      <c r="A832" s="1" t="s">
        <v>1199</v>
      </c>
      <c r="B832" s="3">
        <v>45705</v>
      </c>
      <c r="C832" s="1" t="s">
        <v>42</v>
      </c>
      <c r="D832" s="1">
        <v>2</v>
      </c>
      <c r="E832" s="1" t="s">
        <v>914</v>
      </c>
      <c r="F832" s="1" t="s">
        <v>76</v>
      </c>
      <c r="G832" s="1" t="s">
        <v>64</v>
      </c>
      <c r="H832" s="1" t="s">
        <v>77</v>
      </c>
      <c r="I832" s="1" t="s">
        <v>148</v>
      </c>
      <c r="J832" s="1">
        <v>4</v>
      </c>
      <c r="K832" s="1">
        <v>339.8</v>
      </c>
      <c r="L832" s="1">
        <v>0.25</v>
      </c>
      <c r="M832" s="1">
        <v>1359.2</v>
      </c>
      <c r="N832" s="1">
        <v>339.8</v>
      </c>
      <c r="O832" s="1">
        <v>1019.4</v>
      </c>
      <c r="P832" s="1">
        <v>733.96800000000007</v>
      </c>
      <c r="Q832" s="1">
        <v>285.43200000000002</v>
      </c>
      <c r="R832" s="1">
        <v>28</v>
      </c>
      <c r="S832" s="1" t="s">
        <v>33</v>
      </c>
    </row>
    <row r="833" spans="1:19" x14ac:dyDescent="0.35">
      <c r="A833" s="1" t="s">
        <v>1200</v>
      </c>
      <c r="B833" s="3">
        <v>45860</v>
      </c>
      <c r="C833" s="1" t="s">
        <v>62</v>
      </c>
      <c r="D833" s="1">
        <v>7</v>
      </c>
      <c r="E833" s="1" t="s">
        <v>549</v>
      </c>
      <c r="F833" s="1" t="s">
        <v>22</v>
      </c>
      <c r="G833" s="1" t="s">
        <v>38</v>
      </c>
      <c r="H833" s="1" t="s">
        <v>39</v>
      </c>
      <c r="I833" s="1" t="s">
        <v>40</v>
      </c>
      <c r="J833" s="1">
        <v>1</v>
      </c>
      <c r="K833" s="1">
        <v>35059.1</v>
      </c>
      <c r="L833" s="1">
        <v>0.05</v>
      </c>
      <c r="M833" s="1">
        <v>35059.1</v>
      </c>
      <c r="N833" s="1">
        <v>1752.9549999999999</v>
      </c>
      <c r="O833" s="1">
        <v>33306.144999999997</v>
      </c>
      <c r="P833" s="1">
        <v>25978.793099999999</v>
      </c>
      <c r="Q833" s="1">
        <v>7327.3518999999978</v>
      </c>
      <c r="R833" s="1">
        <v>21.999999999999989</v>
      </c>
      <c r="S833" s="1" t="s">
        <v>73</v>
      </c>
    </row>
    <row r="834" spans="1:19" x14ac:dyDescent="0.35">
      <c r="A834" s="1" t="s">
        <v>1201</v>
      </c>
      <c r="B834" s="3">
        <v>45906</v>
      </c>
      <c r="C834" s="1" t="s">
        <v>50</v>
      </c>
      <c r="D834" s="1">
        <v>9</v>
      </c>
      <c r="E834" s="1" t="s">
        <v>122</v>
      </c>
      <c r="F834" s="1" t="s">
        <v>43</v>
      </c>
      <c r="G834" s="1" t="s">
        <v>64</v>
      </c>
      <c r="H834" s="1" t="s">
        <v>31</v>
      </c>
      <c r="I834" s="1" t="s">
        <v>65</v>
      </c>
      <c r="J834" s="1">
        <v>5</v>
      </c>
      <c r="K834" s="1">
        <v>319.92</v>
      </c>
      <c r="L834" s="1">
        <v>0</v>
      </c>
      <c r="M834" s="1">
        <v>1599.6</v>
      </c>
      <c r="N834" s="1">
        <v>0</v>
      </c>
      <c r="O834" s="1">
        <v>1599.6</v>
      </c>
      <c r="P834" s="1">
        <v>831.79200000000014</v>
      </c>
      <c r="Q834" s="1">
        <v>767.80799999999999</v>
      </c>
      <c r="R834" s="1">
        <v>48</v>
      </c>
      <c r="S834" s="1" t="s">
        <v>73</v>
      </c>
    </row>
    <row r="835" spans="1:19" x14ac:dyDescent="0.35">
      <c r="A835" s="1" t="s">
        <v>1202</v>
      </c>
      <c r="B835" s="3">
        <v>45708</v>
      </c>
      <c r="C835" s="1" t="s">
        <v>42</v>
      </c>
      <c r="D835" s="1">
        <v>2</v>
      </c>
      <c r="E835" s="1" t="s">
        <v>301</v>
      </c>
      <c r="F835" s="1" t="s">
        <v>58</v>
      </c>
      <c r="G835" s="1" t="s">
        <v>23</v>
      </c>
      <c r="H835" s="1" t="s">
        <v>77</v>
      </c>
      <c r="I835" s="1" t="s">
        <v>103</v>
      </c>
      <c r="J835" s="1">
        <v>5</v>
      </c>
      <c r="K835" s="1">
        <v>799.65</v>
      </c>
      <c r="L835" s="1">
        <v>0.2</v>
      </c>
      <c r="M835" s="1">
        <v>3998.25</v>
      </c>
      <c r="N835" s="1">
        <v>799.65000000000009</v>
      </c>
      <c r="O835" s="1">
        <v>3198.6</v>
      </c>
      <c r="P835" s="1">
        <v>2302.9920000000002</v>
      </c>
      <c r="Q835" s="1">
        <v>895.60800000000017</v>
      </c>
      <c r="R835" s="1">
        <v>28.000000000000011</v>
      </c>
      <c r="S835" s="1" t="s">
        <v>26</v>
      </c>
    </row>
    <row r="836" spans="1:19" x14ac:dyDescent="0.35">
      <c r="A836" s="1" t="s">
        <v>1203</v>
      </c>
      <c r="B836" s="3">
        <v>45925</v>
      </c>
      <c r="C836" s="1" t="s">
        <v>50</v>
      </c>
      <c r="D836" s="1">
        <v>9</v>
      </c>
      <c r="E836" s="1" t="s">
        <v>418</v>
      </c>
      <c r="F836" s="1" t="s">
        <v>76</v>
      </c>
      <c r="G836" s="1" t="s">
        <v>64</v>
      </c>
      <c r="H836" s="1" t="s">
        <v>99</v>
      </c>
      <c r="I836" s="1" t="s">
        <v>145</v>
      </c>
      <c r="J836" s="1">
        <v>2</v>
      </c>
      <c r="K836" s="1">
        <v>18239.38</v>
      </c>
      <c r="L836" s="1">
        <v>0.1</v>
      </c>
      <c r="M836" s="1">
        <v>36478.76</v>
      </c>
      <c r="N836" s="1">
        <v>3647.8760000000002</v>
      </c>
      <c r="O836" s="1">
        <v>32830.884000000013</v>
      </c>
      <c r="P836" s="1">
        <v>22325.001120000001</v>
      </c>
      <c r="Q836" s="1">
        <v>10505.882879999999</v>
      </c>
      <c r="R836" s="1">
        <v>32</v>
      </c>
      <c r="S836" s="1" t="s">
        <v>60</v>
      </c>
    </row>
    <row r="837" spans="1:19" x14ac:dyDescent="0.35">
      <c r="A837" s="1" t="s">
        <v>1204</v>
      </c>
      <c r="B837" s="3">
        <v>45971</v>
      </c>
      <c r="C837" s="1" t="s">
        <v>56</v>
      </c>
      <c r="D837" s="1">
        <v>11</v>
      </c>
      <c r="E837" s="1" t="s">
        <v>373</v>
      </c>
      <c r="F837" s="1" t="s">
        <v>47</v>
      </c>
      <c r="G837" s="1" t="s">
        <v>23</v>
      </c>
      <c r="H837" s="1" t="s">
        <v>39</v>
      </c>
      <c r="I837" s="1" t="s">
        <v>40</v>
      </c>
      <c r="J837" s="1">
        <v>7</v>
      </c>
      <c r="K837" s="1">
        <v>41480.080000000002</v>
      </c>
      <c r="L837" s="1">
        <v>0</v>
      </c>
      <c r="M837" s="1">
        <v>290360.56</v>
      </c>
      <c r="N837" s="1">
        <v>0</v>
      </c>
      <c r="O837" s="1">
        <v>290360.56</v>
      </c>
      <c r="P837" s="1">
        <v>226481.23680000001</v>
      </c>
      <c r="Q837" s="1">
        <v>63879.323199999977</v>
      </c>
      <c r="R837" s="1">
        <v>21.999999999999989</v>
      </c>
      <c r="S837" s="1" t="s">
        <v>26</v>
      </c>
    </row>
    <row r="838" spans="1:19" x14ac:dyDescent="0.35">
      <c r="A838" s="1" t="s">
        <v>1205</v>
      </c>
      <c r="B838" s="3">
        <v>45855</v>
      </c>
      <c r="C838" s="1" t="s">
        <v>62</v>
      </c>
      <c r="D838" s="1">
        <v>7</v>
      </c>
      <c r="E838" s="1" t="s">
        <v>584</v>
      </c>
      <c r="F838" s="1" t="s">
        <v>37</v>
      </c>
      <c r="G838" s="1" t="s">
        <v>23</v>
      </c>
      <c r="H838" s="1" t="s">
        <v>53</v>
      </c>
      <c r="I838" s="1" t="s">
        <v>185</v>
      </c>
      <c r="J838" s="1">
        <v>7</v>
      </c>
      <c r="K838" s="1">
        <v>1294.07</v>
      </c>
      <c r="L838" s="1">
        <v>0.05</v>
      </c>
      <c r="M838" s="1">
        <v>9058.49</v>
      </c>
      <c r="N838" s="1">
        <v>452.92450000000002</v>
      </c>
      <c r="O838" s="1">
        <v>8605.5655000000006</v>
      </c>
      <c r="P838" s="1">
        <v>4991.2279900000003</v>
      </c>
      <c r="Q838" s="1">
        <v>3614.3375099999998</v>
      </c>
      <c r="R838" s="1">
        <v>42</v>
      </c>
      <c r="S838" s="1" t="s">
        <v>73</v>
      </c>
    </row>
    <row r="839" spans="1:19" x14ac:dyDescent="0.35">
      <c r="A839" s="1" t="s">
        <v>1206</v>
      </c>
      <c r="B839" s="3">
        <v>45728</v>
      </c>
      <c r="C839" s="1" t="s">
        <v>28</v>
      </c>
      <c r="D839" s="1">
        <v>3</v>
      </c>
      <c r="E839" s="1" t="s">
        <v>993</v>
      </c>
      <c r="F839" s="1" t="s">
        <v>47</v>
      </c>
      <c r="G839" s="1" t="s">
        <v>38</v>
      </c>
      <c r="H839" s="1" t="s">
        <v>99</v>
      </c>
      <c r="I839" s="1" t="s">
        <v>145</v>
      </c>
      <c r="J839" s="1">
        <v>2</v>
      </c>
      <c r="K839" s="1">
        <v>9713.9500000000007</v>
      </c>
      <c r="L839" s="1">
        <v>0.05</v>
      </c>
      <c r="M839" s="1">
        <v>19427.900000000001</v>
      </c>
      <c r="N839" s="1">
        <v>971.3950000000001</v>
      </c>
      <c r="O839" s="1">
        <v>18456.505000000001</v>
      </c>
      <c r="P839" s="1">
        <v>12550.4234</v>
      </c>
      <c r="Q839" s="1">
        <v>5906.0816000000004</v>
      </c>
      <c r="R839" s="1">
        <v>32</v>
      </c>
      <c r="S839" s="1" t="s">
        <v>73</v>
      </c>
    </row>
    <row r="840" spans="1:19" x14ac:dyDescent="0.35">
      <c r="A840" s="1" t="s">
        <v>1207</v>
      </c>
      <c r="B840" s="3">
        <v>45790</v>
      </c>
      <c r="C840" s="1" t="s">
        <v>97</v>
      </c>
      <c r="D840" s="1">
        <v>5</v>
      </c>
      <c r="E840" s="1" t="s">
        <v>189</v>
      </c>
      <c r="F840" s="1" t="s">
        <v>58</v>
      </c>
      <c r="G840" s="1" t="s">
        <v>64</v>
      </c>
      <c r="H840" s="1" t="s">
        <v>53</v>
      </c>
      <c r="I840" s="1" t="s">
        <v>123</v>
      </c>
      <c r="J840" s="1">
        <v>1</v>
      </c>
      <c r="K840" s="1">
        <v>1473.48</v>
      </c>
      <c r="L840" s="1">
        <v>0.1</v>
      </c>
      <c r="M840" s="1">
        <v>1473.48</v>
      </c>
      <c r="N840" s="1">
        <v>147.34800000000001</v>
      </c>
      <c r="O840" s="1">
        <v>1326.1320000000001</v>
      </c>
      <c r="P840" s="1">
        <v>769.15656000000001</v>
      </c>
      <c r="Q840" s="1">
        <v>556.97544000000005</v>
      </c>
      <c r="R840" s="1">
        <v>42.000000000000007</v>
      </c>
      <c r="S840" s="1" t="s">
        <v>33</v>
      </c>
    </row>
    <row r="841" spans="1:19" x14ac:dyDescent="0.35">
      <c r="A841" s="1" t="s">
        <v>1208</v>
      </c>
      <c r="B841" s="3">
        <v>45935</v>
      </c>
      <c r="C841" s="1" t="s">
        <v>35</v>
      </c>
      <c r="D841" s="1">
        <v>10</v>
      </c>
      <c r="E841" s="1" t="s">
        <v>291</v>
      </c>
      <c r="F841" s="1" t="s">
        <v>58</v>
      </c>
      <c r="G841" s="1" t="s">
        <v>64</v>
      </c>
      <c r="H841" s="1" t="s">
        <v>24</v>
      </c>
      <c r="I841" s="1" t="s">
        <v>25</v>
      </c>
      <c r="J841" s="1">
        <v>2</v>
      </c>
      <c r="K841" s="1">
        <v>4859.8100000000004</v>
      </c>
      <c r="L841" s="1">
        <v>0.05</v>
      </c>
      <c r="M841" s="1">
        <v>9719.6200000000008</v>
      </c>
      <c r="N841" s="1">
        <v>485.98100000000011</v>
      </c>
      <c r="O841" s="1">
        <v>9233.639000000001</v>
      </c>
      <c r="P841" s="1">
        <v>5078.5014500000007</v>
      </c>
      <c r="Q841" s="1">
        <v>4155.1375500000004</v>
      </c>
      <c r="R841" s="1">
        <v>45</v>
      </c>
      <c r="S841" s="1" t="s">
        <v>33</v>
      </c>
    </row>
    <row r="842" spans="1:19" x14ac:dyDescent="0.35">
      <c r="A842" s="1" t="s">
        <v>1209</v>
      </c>
      <c r="B842" s="3">
        <v>46008</v>
      </c>
      <c r="C842" s="1" t="s">
        <v>67</v>
      </c>
      <c r="D842" s="1">
        <v>12</v>
      </c>
      <c r="E842" s="1" t="s">
        <v>1086</v>
      </c>
      <c r="F842" s="1" t="s">
        <v>76</v>
      </c>
      <c r="G842" s="1" t="s">
        <v>64</v>
      </c>
      <c r="H842" s="1" t="s">
        <v>31</v>
      </c>
      <c r="I842" s="1" t="s">
        <v>190</v>
      </c>
      <c r="J842" s="1">
        <v>5</v>
      </c>
      <c r="K842" s="1">
        <v>1035.56</v>
      </c>
      <c r="L842" s="1">
        <v>0.15</v>
      </c>
      <c r="M842" s="1">
        <v>5177.7999999999993</v>
      </c>
      <c r="N842" s="1">
        <v>776.66999999999985</v>
      </c>
      <c r="O842" s="1">
        <v>4401.1299999999992</v>
      </c>
      <c r="P842" s="1">
        <v>2288.5875999999998</v>
      </c>
      <c r="Q842" s="1">
        <v>2112.5423999999989</v>
      </c>
      <c r="R842" s="1">
        <v>47.999999999999993</v>
      </c>
      <c r="S842" s="1" t="s">
        <v>26</v>
      </c>
    </row>
    <row r="843" spans="1:19" x14ac:dyDescent="0.35">
      <c r="A843" s="1" t="s">
        <v>1210</v>
      </c>
      <c r="B843" s="3">
        <v>45820</v>
      </c>
      <c r="C843" s="1" t="s">
        <v>82</v>
      </c>
      <c r="D843" s="1">
        <v>6</v>
      </c>
      <c r="E843" s="1" t="s">
        <v>92</v>
      </c>
      <c r="F843" s="1" t="s">
        <v>37</v>
      </c>
      <c r="G843" s="1" t="s">
        <v>64</v>
      </c>
      <c r="H843" s="1" t="s">
        <v>53</v>
      </c>
      <c r="I843" s="1" t="s">
        <v>128</v>
      </c>
      <c r="J843" s="1">
        <v>5</v>
      </c>
      <c r="K843" s="1">
        <v>1765.92</v>
      </c>
      <c r="L843" s="1">
        <v>0</v>
      </c>
      <c r="M843" s="1">
        <v>8829.6</v>
      </c>
      <c r="N843" s="1">
        <v>0</v>
      </c>
      <c r="O843" s="1">
        <v>8829.6</v>
      </c>
      <c r="P843" s="1">
        <v>5121.1679999999997</v>
      </c>
      <c r="Q843" s="1">
        <v>3708.4320000000012</v>
      </c>
      <c r="R843" s="1">
        <v>42.000000000000007</v>
      </c>
      <c r="S843" s="1" t="s">
        <v>26</v>
      </c>
    </row>
    <row r="844" spans="1:19" x14ac:dyDescent="0.35">
      <c r="A844" s="1" t="s">
        <v>1211</v>
      </c>
      <c r="B844" s="3">
        <v>45795</v>
      </c>
      <c r="C844" s="1" t="s">
        <v>97</v>
      </c>
      <c r="D844" s="1">
        <v>5</v>
      </c>
      <c r="E844" s="1" t="s">
        <v>207</v>
      </c>
      <c r="F844" s="1" t="s">
        <v>37</v>
      </c>
      <c r="G844" s="1" t="s">
        <v>23</v>
      </c>
      <c r="H844" s="1" t="s">
        <v>53</v>
      </c>
      <c r="I844" s="1" t="s">
        <v>128</v>
      </c>
      <c r="J844" s="1">
        <v>2</v>
      </c>
      <c r="K844" s="1">
        <v>622.66999999999996</v>
      </c>
      <c r="L844" s="1">
        <v>0.15</v>
      </c>
      <c r="M844" s="1">
        <v>1245.3399999999999</v>
      </c>
      <c r="N844" s="1">
        <v>186.80099999999999</v>
      </c>
      <c r="O844" s="1">
        <v>1058.539</v>
      </c>
      <c r="P844" s="1">
        <v>613.95261999999991</v>
      </c>
      <c r="Q844" s="1">
        <v>444.58638000000008</v>
      </c>
      <c r="R844" s="1">
        <v>42.000000000000007</v>
      </c>
      <c r="S844" s="1" t="s">
        <v>60</v>
      </c>
    </row>
    <row r="845" spans="1:19" x14ac:dyDescent="0.35">
      <c r="A845" s="1" t="s">
        <v>1212</v>
      </c>
      <c r="B845" s="3">
        <v>45713</v>
      </c>
      <c r="C845" s="1" t="s">
        <v>42</v>
      </c>
      <c r="D845" s="1">
        <v>2</v>
      </c>
      <c r="E845" s="1" t="s">
        <v>83</v>
      </c>
      <c r="F845" s="1" t="s">
        <v>22</v>
      </c>
      <c r="G845" s="1" t="s">
        <v>38</v>
      </c>
      <c r="H845" s="1" t="s">
        <v>31</v>
      </c>
      <c r="I845" s="1" t="s">
        <v>167</v>
      </c>
      <c r="J845" s="1">
        <v>2</v>
      </c>
      <c r="K845" s="1">
        <v>1462.2</v>
      </c>
      <c r="L845" s="1">
        <v>0.1</v>
      </c>
      <c r="M845" s="1">
        <v>2924.4</v>
      </c>
      <c r="N845" s="1">
        <v>292.44</v>
      </c>
      <c r="O845" s="1">
        <v>2631.96</v>
      </c>
      <c r="P845" s="1">
        <v>1368.6192000000001</v>
      </c>
      <c r="Q845" s="1">
        <v>1263.3407999999999</v>
      </c>
      <c r="R845" s="1">
        <v>48</v>
      </c>
      <c r="S845" s="1" t="s">
        <v>73</v>
      </c>
    </row>
    <row r="846" spans="1:19" x14ac:dyDescent="0.35">
      <c r="A846" s="1" t="s">
        <v>1213</v>
      </c>
      <c r="B846" s="3">
        <v>45767</v>
      </c>
      <c r="C846" s="1" t="s">
        <v>20</v>
      </c>
      <c r="D846" s="1">
        <v>4</v>
      </c>
      <c r="E846" s="1" t="s">
        <v>668</v>
      </c>
      <c r="F846" s="1" t="s">
        <v>58</v>
      </c>
      <c r="G846" s="1" t="s">
        <v>64</v>
      </c>
      <c r="H846" s="1" t="s">
        <v>39</v>
      </c>
      <c r="I846" s="1" t="s">
        <v>87</v>
      </c>
      <c r="J846" s="1">
        <v>1</v>
      </c>
      <c r="K846" s="1">
        <v>61005.54</v>
      </c>
      <c r="L846" s="1">
        <v>0.1</v>
      </c>
      <c r="M846" s="1">
        <v>61005.54</v>
      </c>
      <c r="N846" s="1">
        <v>6100.5540000000001</v>
      </c>
      <c r="O846" s="1">
        <v>54904.985999999997</v>
      </c>
      <c r="P846" s="1">
        <v>42825.889080000008</v>
      </c>
      <c r="Q846" s="1">
        <v>12079.09692</v>
      </c>
      <c r="R846" s="1">
        <v>21.999999999999989</v>
      </c>
      <c r="S846" s="1" t="s">
        <v>73</v>
      </c>
    </row>
    <row r="847" spans="1:19" x14ac:dyDescent="0.35">
      <c r="A847" s="1" t="s">
        <v>1214</v>
      </c>
      <c r="B847" s="3">
        <v>45861</v>
      </c>
      <c r="C847" s="1" t="s">
        <v>62</v>
      </c>
      <c r="D847" s="1">
        <v>7</v>
      </c>
      <c r="E847" s="1" t="s">
        <v>465</v>
      </c>
      <c r="F847" s="1" t="s">
        <v>22</v>
      </c>
      <c r="G847" s="1" t="s">
        <v>64</v>
      </c>
      <c r="H847" s="1" t="s">
        <v>99</v>
      </c>
      <c r="I847" s="1" t="s">
        <v>223</v>
      </c>
      <c r="J847" s="1">
        <v>3</v>
      </c>
      <c r="K847" s="1">
        <v>2783</v>
      </c>
      <c r="L847" s="1">
        <v>0.05</v>
      </c>
      <c r="M847" s="1">
        <v>8349</v>
      </c>
      <c r="N847" s="1">
        <v>417.45</v>
      </c>
      <c r="O847" s="1">
        <v>7931.55</v>
      </c>
      <c r="P847" s="1">
        <v>5393.4540000000006</v>
      </c>
      <c r="Q847" s="1">
        <v>2538.096</v>
      </c>
      <c r="R847" s="1">
        <v>32</v>
      </c>
      <c r="S847" s="1" t="s">
        <v>26</v>
      </c>
    </row>
    <row r="848" spans="1:19" x14ac:dyDescent="0.35">
      <c r="A848" s="1" t="s">
        <v>1215</v>
      </c>
      <c r="B848" s="3">
        <v>45694</v>
      </c>
      <c r="C848" s="1" t="s">
        <v>42</v>
      </c>
      <c r="D848" s="1">
        <v>2</v>
      </c>
      <c r="E848" s="1" t="s">
        <v>626</v>
      </c>
      <c r="F848" s="1" t="s">
        <v>52</v>
      </c>
      <c r="G848" s="1" t="s">
        <v>23</v>
      </c>
      <c r="H848" s="1" t="s">
        <v>53</v>
      </c>
      <c r="I848" s="1" t="s">
        <v>123</v>
      </c>
      <c r="J848" s="1">
        <v>6</v>
      </c>
      <c r="K848" s="1">
        <v>1126.4100000000001</v>
      </c>
      <c r="L848" s="1">
        <v>0.15</v>
      </c>
      <c r="M848" s="1">
        <v>6758.4600000000009</v>
      </c>
      <c r="N848" s="1">
        <v>1013.769</v>
      </c>
      <c r="O848" s="1">
        <v>5744.6910000000007</v>
      </c>
      <c r="P848" s="1">
        <v>3331.9207799999999</v>
      </c>
      <c r="Q848" s="1">
        <v>2412.7702199999999</v>
      </c>
      <c r="R848" s="1">
        <v>42</v>
      </c>
      <c r="S848" s="1" t="s">
        <v>93</v>
      </c>
    </row>
    <row r="849" spans="1:19" x14ac:dyDescent="0.35">
      <c r="A849" s="1" t="s">
        <v>1216</v>
      </c>
      <c r="B849" s="3">
        <v>45818</v>
      </c>
      <c r="C849" s="1" t="s">
        <v>82</v>
      </c>
      <c r="D849" s="1">
        <v>6</v>
      </c>
      <c r="E849" s="1" t="s">
        <v>57</v>
      </c>
      <c r="F849" s="1" t="s">
        <v>30</v>
      </c>
      <c r="G849" s="1" t="s">
        <v>64</v>
      </c>
      <c r="H849" s="1" t="s">
        <v>99</v>
      </c>
      <c r="I849" s="1" t="s">
        <v>108</v>
      </c>
      <c r="J849" s="1">
        <v>6</v>
      </c>
      <c r="K849" s="1">
        <v>13167.3</v>
      </c>
      <c r="L849" s="1">
        <v>0</v>
      </c>
      <c r="M849" s="1">
        <v>79003.799999999988</v>
      </c>
      <c r="N849" s="1">
        <v>0</v>
      </c>
      <c r="O849" s="1">
        <v>79003.799999999988</v>
      </c>
      <c r="P849" s="1">
        <v>53722.584000000003</v>
      </c>
      <c r="Q849" s="1">
        <v>25281.215999999989</v>
      </c>
      <c r="R849" s="1">
        <v>32</v>
      </c>
      <c r="S849" s="1" t="s">
        <v>93</v>
      </c>
    </row>
    <row r="850" spans="1:19" x14ac:dyDescent="0.35">
      <c r="A850" s="1" t="s">
        <v>1217</v>
      </c>
      <c r="B850" s="3">
        <v>45746</v>
      </c>
      <c r="C850" s="1" t="s">
        <v>28</v>
      </c>
      <c r="D850" s="1">
        <v>3</v>
      </c>
      <c r="E850" s="1" t="s">
        <v>407</v>
      </c>
      <c r="F850" s="1" t="s">
        <v>76</v>
      </c>
      <c r="G850" s="1" t="s">
        <v>23</v>
      </c>
      <c r="H850" s="1" t="s">
        <v>31</v>
      </c>
      <c r="I850" s="1" t="s">
        <v>190</v>
      </c>
      <c r="J850" s="1">
        <v>2</v>
      </c>
      <c r="K850" s="1">
        <v>3132.16</v>
      </c>
      <c r="L850" s="1">
        <v>0.1</v>
      </c>
      <c r="M850" s="1">
        <v>6264.32</v>
      </c>
      <c r="N850" s="1">
        <v>626.43200000000002</v>
      </c>
      <c r="O850" s="1">
        <v>5637.8879999999999</v>
      </c>
      <c r="P850" s="1">
        <v>2931.7017599999999</v>
      </c>
      <c r="Q850" s="1">
        <v>2706.18624</v>
      </c>
      <c r="R850" s="1">
        <v>48</v>
      </c>
      <c r="S850" s="1" t="s">
        <v>60</v>
      </c>
    </row>
    <row r="851" spans="1:19" x14ac:dyDescent="0.35">
      <c r="A851" s="1" t="s">
        <v>1218</v>
      </c>
      <c r="B851" s="3">
        <v>45685</v>
      </c>
      <c r="C851" s="1" t="s">
        <v>193</v>
      </c>
      <c r="D851" s="1">
        <v>1</v>
      </c>
      <c r="E851" s="1" t="s">
        <v>307</v>
      </c>
      <c r="F851" s="1" t="s">
        <v>111</v>
      </c>
      <c r="G851" s="1" t="s">
        <v>64</v>
      </c>
      <c r="H851" s="1" t="s">
        <v>53</v>
      </c>
      <c r="I851" s="1" t="s">
        <v>72</v>
      </c>
      <c r="J851" s="1">
        <v>1</v>
      </c>
      <c r="K851" s="1">
        <v>2148.3200000000002</v>
      </c>
      <c r="L851" s="1">
        <v>0.15</v>
      </c>
      <c r="M851" s="1">
        <v>2148.3200000000002</v>
      </c>
      <c r="N851" s="1">
        <v>322.24799999999999</v>
      </c>
      <c r="O851" s="1">
        <v>1826.0719999999999</v>
      </c>
      <c r="P851" s="1">
        <v>1059.12176</v>
      </c>
      <c r="Q851" s="1">
        <v>766.95024000000012</v>
      </c>
      <c r="R851" s="1">
        <v>42.000000000000007</v>
      </c>
      <c r="S851" s="1" t="s">
        <v>26</v>
      </c>
    </row>
    <row r="852" spans="1:19" x14ac:dyDescent="0.35">
      <c r="A852" s="1" t="s">
        <v>1219</v>
      </c>
      <c r="B852" s="3">
        <v>45982</v>
      </c>
      <c r="C852" s="1" t="s">
        <v>56</v>
      </c>
      <c r="D852" s="1">
        <v>11</v>
      </c>
      <c r="E852" s="1" t="s">
        <v>1022</v>
      </c>
      <c r="F852" s="1" t="s">
        <v>30</v>
      </c>
      <c r="G852" s="1" t="s">
        <v>38</v>
      </c>
      <c r="H852" s="1" t="s">
        <v>39</v>
      </c>
      <c r="I852" s="1" t="s">
        <v>234</v>
      </c>
      <c r="J852" s="1">
        <v>2</v>
      </c>
      <c r="K852" s="1">
        <v>39799.11</v>
      </c>
      <c r="L852" s="1">
        <v>0.1</v>
      </c>
      <c r="M852" s="1">
        <v>79598.22</v>
      </c>
      <c r="N852" s="1">
        <v>7959.8220000000001</v>
      </c>
      <c r="O852" s="1">
        <v>71638.398000000001</v>
      </c>
      <c r="P852" s="1">
        <v>55877.950440000001</v>
      </c>
      <c r="Q852" s="1">
        <v>15760.447560000001</v>
      </c>
      <c r="R852" s="1">
        <v>22</v>
      </c>
      <c r="S852" s="1" t="s">
        <v>60</v>
      </c>
    </row>
    <row r="853" spans="1:19" x14ac:dyDescent="0.35">
      <c r="A853" s="1" t="s">
        <v>1220</v>
      </c>
      <c r="B853" s="3">
        <v>45762</v>
      </c>
      <c r="C853" s="1" t="s">
        <v>20</v>
      </c>
      <c r="D853" s="1">
        <v>4</v>
      </c>
      <c r="E853" s="1" t="s">
        <v>1156</v>
      </c>
      <c r="F853" s="1" t="s">
        <v>69</v>
      </c>
      <c r="G853" s="1" t="s">
        <v>23</v>
      </c>
      <c r="H853" s="1" t="s">
        <v>77</v>
      </c>
      <c r="I853" s="1" t="s">
        <v>78</v>
      </c>
      <c r="J853" s="1">
        <v>7</v>
      </c>
      <c r="K853" s="1">
        <v>1102.44</v>
      </c>
      <c r="L853" s="1">
        <v>0.1</v>
      </c>
      <c r="M853" s="1">
        <v>7717.08</v>
      </c>
      <c r="N853" s="1">
        <v>771.70800000000008</v>
      </c>
      <c r="O853" s="1">
        <v>6945.3719999999994</v>
      </c>
      <c r="P853" s="1">
        <v>5000.6678399999992</v>
      </c>
      <c r="Q853" s="1">
        <v>1944.70416</v>
      </c>
      <c r="R853" s="1">
        <v>28.000000000000011</v>
      </c>
      <c r="S853" s="1" t="s">
        <v>73</v>
      </c>
    </row>
    <row r="854" spans="1:19" x14ac:dyDescent="0.35">
      <c r="A854" s="1" t="s">
        <v>1221</v>
      </c>
      <c r="B854" s="3">
        <v>45826</v>
      </c>
      <c r="C854" s="1" t="s">
        <v>82</v>
      </c>
      <c r="D854" s="1">
        <v>6</v>
      </c>
      <c r="E854" s="1" t="s">
        <v>578</v>
      </c>
      <c r="F854" s="1" t="s">
        <v>30</v>
      </c>
      <c r="G854" s="1" t="s">
        <v>23</v>
      </c>
      <c r="H854" s="1" t="s">
        <v>77</v>
      </c>
      <c r="I854" s="1" t="s">
        <v>103</v>
      </c>
      <c r="J854" s="1">
        <v>5</v>
      </c>
      <c r="K854" s="1">
        <v>693.77</v>
      </c>
      <c r="L854" s="1">
        <v>0.1</v>
      </c>
      <c r="M854" s="1">
        <v>3468.85</v>
      </c>
      <c r="N854" s="1">
        <v>346.88499999999999</v>
      </c>
      <c r="O854" s="1">
        <v>3121.9650000000001</v>
      </c>
      <c r="P854" s="1">
        <v>2247.8148000000001</v>
      </c>
      <c r="Q854" s="1">
        <v>874.15020000000004</v>
      </c>
      <c r="R854" s="1">
        <v>28</v>
      </c>
      <c r="S854" s="1" t="s">
        <v>93</v>
      </c>
    </row>
    <row r="855" spans="1:19" x14ac:dyDescent="0.35">
      <c r="A855" s="1" t="s">
        <v>1222</v>
      </c>
      <c r="B855" s="3">
        <v>45685</v>
      </c>
      <c r="C855" s="1" t="s">
        <v>193</v>
      </c>
      <c r="D855" s="1">
        <v>1</v>
      </c>
      <c r="E855" s="1" t="s">
        <v>729</v>
      </c>
      <c r="F855" s="1" t="s">
        <v>52</v>
      </c>
      <c r="G855" s="1" t="s">
        <v>23</v>
      </c>
      <c r="H855" s="1" t="s">
        <v>24</v>
      </c>
      <c r="I855" s="1" t="s">
        <v>139</v>
      </c>
      <c r="J855" s="1">
        <v>6</v>
      </c>
      <c r="K855" s="1">
        <v>774.26</v>
      </c>
      <c r="L855" s="1">
        <v>0.15</v>
      </c>
      <c r="M855" s="1">
        <v>4645.5599999999986</v>
      </c>
      <c r="N855" s="1">
        <v>696.83399999999995</v>
      </c>
      <c r="O855" s="1">
        <v>3948.7260000000001</v>
      </c>
      <c r="P855" s="1">
        <v>2171.7993000000001</v>
      </c>
      <c r="Q855" s="1">
        <v>1776.9267</v>
      </c>
      <c r="R855" s="1">
        <v>44.999999999999993</v>
      </c>
      <c r="S855" s="1" t="s">
        <v>93</v>
      </c>
    </row>
    <row r="856" spans="1:19" x14ac:dyDescent="0.35">
      <c r="A856" s="1" t="s">
        <v>1223</v>
      </c>
      <c r="B856" s="3">
        <v>45784</v>
      </c>
      <c r="C856" s="1" t="s">
        <v>97</v>
      </c>
      <c r="D856" s="1">
        <v>5</v>
      </c>
      <c r="E856" s="1" t="s">
        <v>92</v>
      </c>
      <c r="F856" s="1" t="s">
        <v>111</v>
      </c>
      <c r="G856" s="1" t="s">
        <v>64</v>
      </c>
      <c r="H856" s="1" t="s">
        <v>99</v>
      </c>
      <c r="I856" s="1" t="s">
        <v>108</v>
      </c>
      <c r="J856" s="1">
        <v>2</v>
      </c>
      <c r="K856" s="1">
        <v>3731.76</v>
      </c>
      <c r="L856" s="1">
        <v>0.1</v>
      </c>
      <c r="M856" s="1">
        <v>7463.52</v>
      </c>
      <c r="N856" s="1">
        <v>746.35200000000009</v>
      </c>
      <c r="O856" s="1">
        <v>6717.1680000000006</v>
      </c>
      <c r="P856" s="1">
        <v>4567.6742400000003</v>
      </c>
      <c r="Q856" s="1">
        <v>2149.4937599999998</v>
      </c>
      <c r="R856" s="1">
        <v>32</v>
      </c>
      <c r="S856" s="1" t="s">
        <v>33</v>
      </c>
    </row>
    <row r="857" spans="1:19" x14ac:dyDescent="0.35">
      <c r="A857" s="1" t="s">
        <v>1224</v>
      </c>
      <c r="B857" s="3">
        <v>45974</v>
      </c>
      <c r="C857" s="1" t="s">
        <v>56</v>
      </c>
      <c r="D857" s="1">
        <v>11</v>
      </c>
      <c r="E857" s="1" t="s">
        <v>450</v>
      </c>
      <c r="F857" s="1" t="s">
        <v>76</v>
      </c>
      <c r="G857" s="1" t="s">
        <v>23</v>
      </c>
      <c r="H857" s="1" t="s">
        <v>24</v>
      </c>
      <c r="I857" s="1" t="s">
        <v>139</v>
      </c>
      <c r="J857" s="1">
        <v>2</v>
      </c>
      <c r="K857" s="1">
        <v>4780.87</v>
      </c>
      <c r="L857" s="1">
        <v>0.25</v>
      </c>
      <c r="M857" s="1">
        <v>9561.74</v>
      </c>
      <c r="N857" s="1">
        <v>2390.4349999999999</v>
      </c>
      <c r="O857" s="1">
        <v>7171.3050000000003</v>
      </c>
      <c r="P857" s="1">
        <v>3944.2177500000012</v>
      </c>
      <c r="Q857" s="1">
        <v>3227.08725</v>
      </c>
      <c r="R857" s="1">
        <v>44.999999999999993</v>
      </c>
      <c r="S857" s="1" t="s">
        <v>73</v>
      </c>
    </row>
    <row r="858" spans="1:19" x14ac:dyDescent="0.35">
      <c r="A858" s="1" t="s">
        <v>1225</v>
      </c>
      <c r="B858" s="3">
        <v>45839</v>
      </c>
      <c r="C858" s="1" t="s">
        <v>62</v>
      </c>
      <c r="D858" s="1">
        <v>7</v>
      </c>
      <c r="E858" s="1" t="s">
        <v>354</v>
      </c>
      <c r="F858" s="1" t="s">
        <v>76</v>
      </c>
      <c r="G858" s="1" t="s">
        <v>38</v>
      </c>
      <c r="H858" s="1" t="s">
        <v>24</v>
      </c>
      <c r="I858" s="1" t="s">
        <v>139</v>
      </c>
      <c r="J858" s="1">
        <v>1</v>
      </c>
      <c r="K858" s="1">
        <v>1086.03</v>
      </c>
      <c r="L858" s="1">
        <v>0.15</v>
      </c>
      <c r="M858" s="1">
        <v>1086.03</v>
      </c>
      <c r="N858" s="1">
        <v>162.90450000000001</v>
      </c>
      <c r="O858" s="1">
        <v>923.12549999999999</v>
      </c>
      <c r="P858" s="1">
        <v>507.71902499999999</v>
      </c>
      <c r="Q858" s="1">
        <v>415.40647499999989</v>
      </c>
      <c r="R858" s="1">
        <v>44.999999999999993</v>
      </c>
      <c r="S858" s="1" t="s">
        <v>26</v>
      </c>
    </row>
    <row r="859" spans="1:19" x14ac:dyDescent="0.35">
      <c r="A859" s="1" t="s">
        <v>1226</v>
      </c>
      <c r="B859" s="3">
        <v>45802</v>
      </c>
      <c r="C859" s="1" t="s">
        <v>97</v>
      </c>
      <c r="D859" s="1">
        <v>5</v>
      </c>
      <c r="E859" s="1" t="s">
        <v>753</v>
      </c>
      <c r="F859" s="1" t="s">
        <v>69</v>
      </c>
      <c r="G859" s="1" t="s">
        <v>64</v>
      </c>
      <c r="H859" s="1" t="s">
        <v>39</v>
      </c>
      <c r="I859" s="1" t="s">
        <v>40</v>
      </c>
      <c r="J859" s="1">
        <v>2</v>
      </c>
      <c r="K859" s="1">
        <v>11254.65</v>
      </c>
      <c r="L859" s="1">
        <v>0</v>
      </c>
      <c r="M859" s="1">
        <v>22509.3</v>
      </c>
      <c r="N859" s="1">
        <v>0</v>
      </c>
      <c r="O859" s="1">
        <v>22509.3</v>
      </c>
      <c r="P859" s="1">
        <v>17557.254000000001</v>
      </c>
      <c r="Q859" s="1">
        <v>4952.0459999999975</v>
      </c>
      <c r="R859" s="1">
        <v>21.999999999999989</v>
      </c>
      <c r="S859" s="1" t="s">
        <v>60</v>
      </c>
    </row>
    <row r="860" spans="1:19" x14ac:dyDescent="0.35">
      <c r="A860" s="1" t="s">
        <v>1227</v>
      </c>
      <c r="B860" s="3">
        <v>45667</v>
      </c>
      <c r="C860" s="1" t="s">
        <v>193</v>
      </c>
      <c r="D860" s="1">
        <v>1</v>
      </c>
      <c r="E860" s="1" t="s">
        <v>484</v>
      </c>
      <c r="F860" s="1" t="s">
        <v>76</v>
      </c>
      <c r="G860" s="1" t="s">
        <v>38</v>
      </c>
      <c r="H860" s="1" t="s">
        <v>31</v>
      </c>
      <c r="I860" s="1" t="s">
        <v>59</v>
      </c>
      <c r="J860" s="1">
        <v>5</v>
      </c>
      <c r="K860" s="1">
        <v>1244.3499999999999</v>
      </c>
      <c r="L860" s="1">
        <v>0.2</v>
      </c>
      <c r="M860" s="1">
        <v>6221.75</v>
      </c>
      <c r="N860" s="1">
        <v>1244.3499999999999</v>
      </c>
      <c r="O860" s="1">
        <v>4977.3999999999996</v>
      </c>
      <c r="P860" s="1">
        <v>2588.248</v>
      </c>
      <c r="Q860" s="1">
        <v>2389.152</v>
      </c>
      <c r="R860" s="1">
        <v>47.999999999999993</v>
      </c>
      <c r="S860" s="1" t="s">
        <v>60</v>
      </c>
    </row>
    <row r="861" spans="1:19" x14ac:dyDescent="0.35">
      <c r="A861" s="1" t="s">
        <v>1228</v>
      </c>
      <c r="B861" s="3">
        <v>45787</v>
      </c>
      <c r="C861" s="1" t="s">
        <v>97</v>
      </c>
      <c r="D861" s="1">
        <v>5</v>
      </c>
      <c r="E861" s="1" t="s">
        <v>293</v>
      </c>
      <c r="F861" s="1" t="s">
        <v>69</v>
      </c>
      <c r="G861" s="1" t="s">
        <v>64</v>
      </c>
      <c r="H861" s="1" t="s">
        <v>31</v>
      </c>
      <c r="I861" s="1" t="s">
        <v>59</v>
      </c>
      <c r="J861" s="1">
        <v>1</v>
      </c>
      <c r="K861" s="1">
        <v>977.37</v>
      </c>
      <c r="L861" s="1">
        <v>0.25</v>
      </c>
      <c r="M861" s="1">
        <v>977.37</v>
      </c>
      <c r="N861" s="1">
        <v>244.3425</v>
      </c>
      <c r="O861" s="1">
        <v>733.02750000000003</v>
      </c>
      <c r="P861" s="1">
        <v>381.17430000000002</v>
      </c>
      <c r="Q861" s="1">
        <v>351.85320000000002</v>
      </c>
      <c r="R861" s="1">
        <v>48</v>
      </c>
      <c r="S861" s="1" t="s">
        <v>73</v>
      </c>
    </row>
    <row r="862" spans="1:19" x14ac:dyDescent="0.35">
      <c r="A862" s="1" t="s">
        <v>1229</v>
      </c>
      <c r="B862" s="3">
        <v>45947</v>
      </c>
      <c r="C862" s="1" t="s">
        <v>35</v>
      </c>
      <c r="D862" s="1">
        <v>10</v>
      </c>
      <c r="E862" s="1" t="s">
        <v>936</v>
      </c>
      <c r="F862" s="1" t="s">
        <v>47</v>
      </c>
      <c r="G862" s="1" t="s">
        <v>23</v>
      </c>
      <c r="H862" s="1" t="s">
        <v>53</v>
      </c>
      <c r="I862" s="1" t="s">
        <v>72</v>
      </c>
      <c r="J862" s="1">
        <v>2</v>
      </c>
      <c r="K862" s="1">
        <v>2417.85</v>
      </c>
      <c r="L862" s="1">
        <v>0.05</v>
      </c>
      <c r="M862" s="1">
        <v>4835.7</v>
      </c>
      <c r="N862" s="1">
        <v>241.785</v>
      </c>
      <c r="O862" s="1">
        <v>4593.915</v>
      </c>
      <c r="P862" s="1">
        <v>2664.4706999999999</v>
      </c>
      <c r="Q862" s="1">
        <v>1929.4443000000001</v>
      </c>
      <c r="R862" s="1">
        <v>42.000000000000007</v>
      </c>
      <c r="S862" s="1" t="s">
        <v>60</v>
      </c>
    </row>
    <row r="863" spans="1:19" x14ac:dyDescent="0.35">
      <c r="A863" s="1" t="s">
        <v>1230</v>
      </c>
      <c r="B863" s="3">
        <v>45902</v>
      </c>
      <c r="C863" s="1" t="s">
        <v>50</v>
      </c>
      <c r="D863" s="1">
        <v>9</v>
      </c>
      <c r="E863" s="1" t="s">
        <v>561</v>
      </c>
      <c r="F863" s="1" t="s">
        <v>111</v>
      </c>
      <c r="G863" s="1" t="s">
        <v>23</v>
      </c>
      <c r="H863" s="1" t="s">
        <v>99</v>
      </c>
      <c r="I863" s="1" t="s">
        <v>100</v>
      </c>
      <c r="J863" s="1">
        <v>5</v>
      </c>
      <c r="K863" s="1">
        <v>11221.55</v>
      </c>
      <c r="L863" s="1">
        <v>0.1</v>
      </c>
      <c r="M863" s="1">
        <v>56107.75</v>
      </c>
      <c r="N863" s="1">
        <v>5610.7750000000005</v>
      </c>
      <c r="O863" s="1">
        <v>50496.974999999999</v>
      </c>
      <c r="P863" s="1">
        <v>34337.942999999999</v>
      </c>
      <c r="Q863" s="1">
        <v>16159.031999999999</v>
      </c>
      <c r="R863" s="1">
        <v>32</v>
      </c>
      <c r="S863" s="1" t="s">
        <v>26</v>
      </c>
    </row>
    <row r="864" spans="1:19" x14ac:dyDescent="0.35">
      <c r="A864" s="1" t="s">
        <v>1231</v>
      </c>
      <c r="B864" s="3">
        <v>45796</v>
      </c>
      <c r="C864" s="1" t="s">
        <v>97</v>
      </c>
      <c r="D864" s="1">
        <v>5</v>
      </c>
      <c r="E864" s="1" t="s">
        <v>331</v>
      </c>
      <c r="F864" s="1" t="s">
        <v>37</v>
      </c>
      <c r="G864" s="1" t="s">
        <v>23</v>
      </c>
      <c r="H864" s="1" t="s">
        <v>31</v>
      </c>
      <c r="I864" s="1" t="s">
        <v>32</v>
      </c>
      <c r="J864" s="1">
        <v>3</v>
      </c>
      <c r="K864" s="1">
        <v>3394.47</v>
      </c>
      <c r="L864" s="1">
        <v>0.25</v>
      </c>
      <c r="M864" s="1">
        <v>10183.41</v>
      </c>
      <c r="N864" s="1">
        <v>2545.8525</v>
      </c>
      <c r="O864" s="1">
        <v>7637.5574999999999</v>
      </c>
      <c r="P864" s="1">
        <v>3971.5299</v>
      </c>
      <c r="Q864" s="1">
        <v>3666.0275999999999</v>
      </c>
      <c r="R864" s="1">
        <v>48</v>
      </c>
      <c r="S864" s="1" t="s">
        <v>60</v>
      </c>
    </row>
    <row r="865" spans="1:19" x14ac:dyDescent="0.35">
      <c r="A865" s="1" t="s">
        <v>1232</v>
      </c>
      <c r="B865" s="3">
        <v>45772</v>
      </c>
      <c r="C865" s="1" t="s">
        <v>20</v>
      </c>
      <c r="D865" s="1">
        <v>4</v>
      </c>
      <c r="E865" s="1" t="s">
        <v>580</v>
      </c>
      <c r="F865" s="1" t="s">
        <v>37</v>
      </c>
      <c r="G865" s="1" t="s">
        <v>38</v>
      </c>
      <c r="H865" s="1" t="s">
        <v>99</v>
      </c>
      <c r="I865" s="1" t="s">
        <v>223</v>
      </c>
      <c r="J865" s="1">
        <v>7</v>
      </c>
      <c r="K865" s="1">
        <v>12599.16</v>
      </c>
      <c r="L865" s="1">
        <v>0.15</v>
      </c>
      <c r="M865" s="1">
        <v>88194.12</v>
      </c>
      <c r="N865" s="1">
        <v>13229.118</v>
      </c>
      <c r="O865" s="1">
        <v>74965.001999999993</v>
      </c>
      <c r="P865" s="1">
        <v>50976.201359999999</v>
      </c>
      <c r="Q865" s="1">
        <v>23988.80063999999</v>
      </c>
      <c r="R865" s="1">
        <v>32</v>
      </c>
      <c r="S865" s="1" t="s">
        <v>26</v>
      </c>
    </row>
    <row r="866" spans="1:19" x14ac:dyDescent="0.35">
      <c r="A866" s="1" t="s">
        <v>1233</v>
      </c>
      <c r="B866" s="3">
        <v>45836</v>
      </c>
      <c r="C866" s="1" t="s">
        <v>82</v>
      </c>
      <c r="D866" s="1">
        <v>6</v>
      </c>
      <c r="E866" s="1" t="s">
        <v>254</v>
      </c>
      <c r="F866" s="1" t="s">
        <v>30</v>
      </c>
      <c r="G866" s="1" t="s">
        <v>38</v>
      </c>
      <c r="H866" s="1" t="s">
        <v>39</v>
      </c>
      <c r="I866" s="1" t="s">
        <v>214</v>
      </c>
      <c r="J866" s="1">
        <v>6</v>
      </c>
      <c r="K866" s="1">
        <v>26639.39</v>
      </c>
      <c r="L866" s="1">
        <v>0.15</v>
      </c>
      <c r="M866" s="1">
        <v>159836.34</v>
      </c>
      <c r="N866" s="1">
        <v>23975.451000000001</v>
      </c>
      <c r="O866" s="1">
        <v>135860.889</v>
      </c>
      <c r="P866" s="1">
        <v>105971.49342</v>
      </c>
      <c r="Q866" s="1">
        <v>29889.39558</v>
      </c>
      <c r="R866" s="1">
        <v>22</v>
      </c>
      <c r="S866" s="1" t="s">
        <v>60</v>
      </c>
    </row>
    <row r="867" spans="1:19" x14ac:dyDescent="0.35">
      <c r="A867" s="1" t="s">
        <v>1234</v>
      </c>
      <c r="B867" s="3">
        <v>45676</v>
      </c>
      <c r="C867" s="1" t="s">
        <v>193</v>
      </c>
      <c r="D867" s="1">
        <v>1</v>
      </c>
      <c r="E867" s="1" t="s">
        <v>231</v>
      </c>
      <c r="F867" s="1" t="s">
        <v>43</v>
      </c>
      <c r="G867" s="1" t="s">
        <v>23</v>
      </c>
      <c r="H867" s="1" t="s">
        <v>99</v>
      </c>
      <c r="I867" s="1" t="s">
        <v>145</v>
      </c>
      <c r="J867" s="1">
        <v>2</v>
      </c>
      <c r="K867" s="1">
        <v>14478.11</v>
      </c>
      <c r="L867" s="1">
        <v>0.1</v>
      </c>
      <c r="M867" s="1">
        <v>28956.22</v>
      </c>
      <c r="N867" s="1">
        <v>2895.6219999999998</v>
      </c>
      <c r="O867" s="1">
        <v>26060.598000000002</v>
      </c>
      <c r="P867" s="1">
        <v>17721.20664</v>
      </c>
      <c r="Q867" s="1">
        <v>8339.3913599999978</v>
      </c>
      <c r="R867" s="1">
        <v>31.999999999999989</v>
      </c>
      <c r="S867" s="1" t="s">
        <v>60</v>
      </c>
    </row>
    <row r="868" spans="1:19" x14ac:dyDescent="0.35">
      <c r="A868" s="1" t="s">
        <v>1235</v>
      </c>
      <c r="B868" s="3">
        <v>45813</v>
      </c>
      <c r="C868" s="1" t="s">
        <v>82</v>
      </c>
      <c r="D868" s="1">
        <v>6</v>
      </c>
      <c r="E868" s="1" t="s">
        <v>272</v>
      </c>
      <c r="F868" s="1" t="s">
        <v>47</v>
      </c>
      <c r="G868" s="1" t="s">
        <v>38</v>
      </c>
      <c r="H868" s="1" t="s">
        <v>31</v>
      </c>
      <c r="I868" s="1" t="s">
        <v>167</v>
      </c>
      <c r="J868" s="1">
        <v>3</v>
      </c>
      <c r="K868" s="1">
        <v>1610.77</v>
      </c>
      <c r="L868" s="1">
        <v>0.15</v>
      </c>
      <c r="M868" s="1">
        <v>4832.3099999999986</v>
      </c>
      <c r="N868" s="1">
        <v>724.84649999999988</v>
      </c>
      <c r="O868" s="1">
        <v>4107.4634999999998</v>
      </c>
      <c r="P868" s="1">
        <v>2135.8810199999998</v>
      </c>
      <c r="Q868" s="1">
        <v>1971.58248</v>
      </c>
      <c r="R868" s="1">
        <v>48.000000000000007</v>
      </c>
      <c r="S868" s="1" t="s">
        <v>73</v>
      </c>
    </row>
    <row r="869" spans="1:19" x14ac:dyDescent="0.35">
      <c r="A869" s="1" t="s">
        <v>1236</v>
      </c>
      <c r="B869" s="3">
        <v>45887</v>
      </c>
      <c r="C869" s="1" t="s">
        <v>113</v>
      </c>
      <c r="D869" s="1">
        <v>8</v>
      </c>
      <c r="E869" s="1" t="s">
        <v>788</v>
      </c>
      <c r="F869" s="1" t="s">
        <v>69</v>
      </c>
      <c r="G869" s="1" t="s">
        <v>23</v>
      </c>
      <c r="H869" s="1" t="s">
        <v>77</v>
      </c>
      <c r="I869" s="1" t="s">
        <v>201</v>
      </c>
      <c r="J869" s="1">
        <v>2</v>
      </c>
      <c r="K869" s="1">
        <v>355.43</v>
      </c>
      <c r="L869" s="1">
        <v>0.2</v>
      </c>
      <c r="M869" s="1">
        <v>710.86</v>
      </c>
      <c r="N869" s="1">
        <v>142.172</v>
      </c>
      <c r="O869" s="1">
        <v>568.68799999999999</v>
      </c>
      <c r="P869" s="1">
        <v>409.45535999999998</v>
      </c>
      <c r="Q869" s="1">
        <v>159.23264</v>
      </c>
      <c r="R869" s="1">
        <v>28</v>
      </c>
      <c r="S869" s="1" t="s">
        <v>26</v>
      </c>
    </row>
    <row r="870" spans="1:19" x14ac:dyDescent="0.35">
      <c r="A870" s="1" t="s">
        <v>1237</v>
      </c>
      <c r="B870" s="3">
        <v>45927</v>
      </c>
      <c r="C870" s="1" t="s">
        <v>50</v>
      </c>
      <c r="D870" s="1">
        <v>9</v>
      </c>
      <c r="E870" s="1" t="s">
        <v>179</v>
      </c>
      <c r="F870" s="1" t="s">
        <v>43</v>
      </c>
      <c r="G870" s="1" t="s">
        <v>38</v>
      </c>
      <c r="H870" s="1" t="s">
        <v>77</v>
      </c>
      <c r="I870" s="1" t="s">
        <v>78</v>
      </c>
      <c r="J870" s="1">
        <v>4</v>
      </c>
      <c r="K870" s="1">
        <v>461.95</v>
      </c>
      <c r="L870" s="1">
        <v>0.05</v>
      </c>
      <c r="M870" s="1">
        <v>1847.8</v>
      </c>
      <c r="N870" s="1">
        <v>92.39</v>
      </c>
      <c r="O870" s="1">
        <v>1755.41</v>
      </c>
      <c r="P870" s="1">
        <v>1263.8951999999999</v>
      </c>
      <c r="Q870" s="1">
        <v>491.51479999999992</v>
      </c>
      <c r="R870" s="1">
        <v>28</v>
      </c>
      <c r="S870" s="1" t="s">
        <v>73</v>
      </c>
    </row>
    <row r="871" spans="1:19" x14ac:dyDescent="0.35">
      <c r="A871" s="1" t="s">
        <v>1238</v>
      </c>
      <c r="B871" s="3">
        <v>45677</v>
      </c>
      <c r="C871" s="1" t="s">
        <v>193</v>
      </c>
      <c r="D871" s="1">
        <v>1</v>
      </c>
      <c r="E871" s="1" t="s">
        <v>729</v>
      </c>
      <c r="F871" s="1" t="s">
        <v>37</v>
      </c>
      <c r="G871" s="1" t="s">
        <v>23</v>
      </c>
      <c r="H871" s="1" t="s">
        <v>77</v>
      </c>
      <c r="I871" s="1" t="s">
        <v>201</v>
      </c>
      <c r="J871" s="1">
        <v>2</v>
      </c>
      <c r="K871" s="1">
        <v>605.91</v>
      </c>
      <c r="L871" s="1">
        <v>0</v>
      </c>
      <c r="M871" s="1">
        <v>1211.82</v>
      </c>
      <c r="N871" s="1">
        <v>0</v>
      </c>
      <c r="O871" s="1">
        <v>1211.82</v>
      </c>
      <c r="P871" s="1">
        <v>872.51039999999989</v>
      </c>
      <c r="Q871" s="1">
        <v>339.30959999999999</v>
      </c>
      <c r="R871" s="1">
        <v>28</v>
      </c>
      <c r="S871" s="1" t="s">
        <v>60</v>
      </c>
    </row>
    <row r="872" spans="1:19" x14ac:dyDescent="0.35">
      <c r="A872" s="1" t="s">
        <v>1239</v>
      </c>
      <c r="B872" s="3">
        <v>45910</v>
      </c>
      <c r="C872" s="1" t="s">
        <v>50</v>
      </c>
      <c r="D872" s="1">
        <v>9</v>
      </c>
      <c r="E872" s="1" t="s">
        <v>875</v>
      </c>
      <c r="F872" s="1" t="s">
        <v>52</v>
      </c>
      <c r="G872" s="1" t="s">
        <v>64</v>
      </c>
      <c r="H872" s="1" t="s">
        <v>53</v>
      </c>
      <c r="I872" s="1" t="s">
        <v>72</v>
      </c>
      <c r="J872" s="1">
        <v>4</v>
      </c>
      <c r="K872" s="1">
        <v>1609.3</v>
      </c>
      <c r="L872" s="1">
        <v>0.2</v>
      </c>
      <c r="M872" s="1">
        <v>6437.2</v>
      </c>
      <c r="N872" s="1">
        <v>1287.44</v>
      </c>
      <c r="O872" s="1">
        <v>5149.76</v>
      </c>
      <c r="P872" s="1">
        <v>2986.8607999999999</v>
      </c>
      <c r="Q872" s="1">
        <v>2162.8991999999998</v>
      </c>
      <c r="R872" s="1">
        <v>42.000000000000007</v>
      </c>
      <c r="S872" s="1" t="s">
        <v>60</v>
      </c>
    </row>
    <row r="873" spans="1:19" x14ac:dyDescent="0.35">
      <c r="A873" s="1" t="s">
        <v>1240</v>
      </c>
      <c r="B873" s="3">
        <v>45799</v>
      </c>
      <c r="C873" s="1" t="s">
        <v>97</v>
      </c>
      <c r="D873" s="1">
        <v>5</v>
      </c>
      <c r="E873" s="1" t="s">
        <v>927</v>
      </c>
      <c r="F873" s="1" t="s">
        <v>58</v>
      </c>
      <c r="G873" s="1" t="s">
        <v>38</v>
      </c>
      <c r="H873" s="1" t="s">
        <v>53</v>
      </c>
      <c r="I873" s="1" t="s">
        <v>123</v>
      </c>
      <c r="J873" s="1">
        <v>1</v>
      </c>
      <c r="K873" s="1">
        <v>1259.3599999999999</v>
      </c>
      <c r="L873" s="1">
        <v>0.1</v>
      </c>
      <c r="M873" s="1">
        <v>1259.3599999999999</v>
      </c>
      <c r="N873" s="1">
        <v>125.93600000000001</v>
      </c>
      <c r="O873" s="1">
        <v>1133.424</v>
      </c>
      <c r="P873" s="1">
        <v>657.38591999999994</v>
      </c>
      <c r="Q873" s="1">
        <v>476.03807999999998</v>
      </c>
      <c r="R873" s="1">
        <v>42.000000000000007</v>
      </c>
      <c r="S873" s="1" t="s">
        <v>26</v>
      </c>
    </row>
    <row r="874" spans="1:19" x14ac:dyDescent="0.35">
      <c r="A874" s="1" t="s">
        <v>1241</v>
      </c>
      <c r="B874" s="3">
        <v>45793</v>
      </c>
      <c r="C874" s="1" t="s">
        <v>97</v>
      </c>
      <c r="D874" s="1">
        <v>5</v>
      </c>
      <c r="E874" s="1" t="s">
        <v>815</v>
      </c>
      <c r="F874" s="1" t="s">
        <v>111</v>
      </c>
      <c r="G874" s="1" t="s">
        <v>38</v>
      </c>
      <c r="H874" s="1" t="s">
        <v>24</v>
      </c>
      <c r="I874" s="1" t="s">
        <v>139</v>
      </c>
      <c r="J874" s="1">
        <v>3</v>
      </c>
      <c r="K874" s="1">
        <v>3421.61</v>
      </c>
      <c r="L874" s="1">
        <v>0</v>
      </c>
      <c r="M874" s="1">
        <v>10264.83</v>
      </c>
      <c r="N874" s="1">
        <v>0</v>
      </c>
      <c r="O874" s="1">
        <v>10264.83</v>
      </c>
      <c r="P874" s="1">
        <v>5645.6565000000001</v>
      </c>
      <c r="Q874" s="1">
        <v>4619.1734999999999</v>
      </c>
      <c r="R874" s="1">
        <v>45</v>
      </c>
      <c r="S874" s="1" t="s">
        <v>93</v>
      </c>
    </row>
    <row r="875" spans="1:19" x14ac:dyDescent="0.35">
      <c r="A875" s="1" t="s">
        <v>1242</v>
      </c>
      <c r="B875" s="3">
        <v>45730</v>
      </c>
      <c r="C875" s="1" t="s">
        <v>28</v>
      </c>
      <c r="D875" s="1">
        <v>3</v>
      </c>
      <c r="E875" s="1" t="s">
        <v>1243</v>
      </c>
      <c r="F875" s="1" t="s">
        <v>37</v>
      </c>
      <c r="G875" s="1" t="s">
        <v>64</v>
      </c>
      <c r="H875" s="1" t="s">
        <v>24</v>
      </c>
      <c r="I875" s="1" t="s">
        <v>48</v>
      </c>
      <c r="J875" s="1">
        <v>4</v>
      </c>
      <c r="K875" s="1">
        <v>2049.85</v>
      </c>
      <c r="L875" s="1">
        <v>0.15</v>
      </c>
      <c r="M875" s="1">
        <v>8199.4</v>
      </c>
      <c r="N875" s="1">
        <v>1229.9100000000001</v>
      </c>
      <c r="O875" s="1">
        <v>6969.49</v>
      </c>
      <c r="P875" s="1">
        <v>3833.2195000000002</v>
      </c>
      <c r="Q875" s="1">
        <v>3136.2705000000001</v>
      </c>
      <c r="R875" s="1">
        <v>44.999999999999993</v>
      </c>
      <c r="S875" s="1" t="s">
        <v>73</v>
      </c>
    </row>
    <row r="876" spans="1:19" x14ac:dyDescent="0.35">
      <c r="A876" s="1" t="s">
        <v>1244</v>
      </c>
      <c r="B876" s="3">
        <v>45932</v>
      </c>
      <c r="C876" s="1" t="s">
        <v>35</v>
      </c>
      <c r="D876" s="1">
        <v>10</v>
      </c>
      <c r="E876" s="1" t="s">
        <v>578</v>
      </c>
      <c r="F876" s="1" t="s">
        <v>47</v>
      </c>
      <c r="G876" s="1" t="s">
        <v>23</v>
      </c>
      <c r="H876" s="1" t="s">
        <v>53</v>
      </c>
      <c r="I876" s="1" t="s">
        <v>123</v>
      </c>
      <c r="J876" s="1">
        <v>1</v>
      </c>
      <c r="K876" s="1">
        <v>1240.4100000000001</v>
      </c>
      <c r="L876" s="1">
        <v>0.1</v>
      </c>
      <c r="M876" s="1">
        <v>1240.4100000000001</v>
      </c>
      <c r="N876" s="1">
        <v>124.041</v>
      </c>
      <c r="O876" s="1">
        <v>1116.3689999999999</v>
      </c>
      <c r="P876" s="1">
        <v>647.49402000000009</v>
      </c>
      <c r="Q876" s="1">
        <v>468.87498000000011</v>
      </c>
      <c r="R876" s="1">
        <v>42</v>
      </c>
      <c r="S876" s="1" t="s">
        <v>73</v>
      </c>
    </row>
    <row r="877" spans="1:19" x14ac:dyDescent="0.35">
      <c r="A877" s="1" t="s">
        <v>1245</v>
      </c>
      <c r="B877" s="3">
        <v>45858</v>
      </c>
      <c r="C877" s="1" t="s">
        <v>62</v>
      </c>
      <c r="D877" s="1">
        <v>7</v>
      </c>
      <c r="E877" s="1" t="s">
        <v>161</v>
      </c>
      <c r="F877" s="1" t="s">
        <v>76</v>
      </c>
      <c r="G877" s="1" t="s">
        <v>23</v>
      </c>
      <c r="H877" s="1" t="s">
        <v>39</v>
      </c>
      <c r="I877" s="1" t="s">
        <v>155</v>
      </c>
      <c r="J877" s="1">
        <v>6</v>
      </c>
      <c r="K877" s="1">
        <v>46361.47</v>
      </c>
      <c r="L877" s="1">
        <v>0</v>
      </c>
      <c r="M877" s="1">
        <v>278168.82</v>
      </c>
      <c r="N877" s="1">
        <v>0</v>
      </c>
      <c r="O877" s="1">
        <v>278168.82</v>
      </c>
      <c r="P877" s="1">
        <v>216971.6796</v>
      </c>
      <c r="Q877" s="1">
        <v>61197.140399999997</v>
      </c>
      <c r="R877" s="1">
        <v>22</v>
      </c>
      <c r="S877" s="1" t="s">
        <v>26</v>
      </c>
    </row>
    <row r="878" spans="1:19" x14ac:dyDescent="0.35">
      <c r="A878" s="1" t="s">
        <v>1246</v>
      </c>
      <c r="B878" s="3">
        <v>45960</v>
      </c>
      <c r="C878" s="1" t="s">
        <v>35</v>
      </c>
      <c r="D878" s="1">
        <v>10</v>
      </c>
      <c r="E878" s="1" t="s">
        <v>721</v>
      </c>
      <c r="F878" s="1" t="s">
        <v>58</v>
      </c>
      <c r="G878" s="1" t="s">
        <v>23</v>
      </c>
      <c r="H878" s="1" t="s">
        <v>99</v>
      </c>
      <c r="I878" s="1" t="s">
        <v>100</v>
      </c>
      <c r="J878" s="1">
        <v>1</v>
      </c>
      <c r="K878" s="1">
        <v>13159.9</v>
      </c>
      <c r="L878" s="1">
        <v>0.1</v>
      </c>
      <c r="M878" s="1">
        <v>13159.9</v>
      </c>
      <c r="N878" s="1">
        <v>1315.99</v>
      </c>
      <c r="O878" s="1">
        <v>11843.91</v>
      </c>
      <c r="P878" s="1">
        <v>8053.8588000000009</v>
      </c>
      <c r="Q878" s="1">
        <v>3790.051199999999</v>
      </c>
      <c r="R878" s="1">
        <v>31.999999999999989</v>
      </c>
      <c r="S878" s="1" t="s">
        <v>93</v>
      </c>
    </row>
    <row r="879" spans="1:19" x14ac:dyDescent="0.35">
      <c r="A879" s="1" t="s">
        <v>1247</v>
      </c>
      <c r="B879" s="3">
        <v>45834</v>
      </c>
      <c r="C879" s="1" t="s">
        <v>82</v>
      </c>
      <c r="D879" s="1">
        <v>6</v>
      </c>
      <c r="E879" s="1" t="s">
        <v>543</v>
      </c>
      <c r="F879" s="1" t="s">
        <v>47</v>
      </c>
      <c r="G879" s="1" t="s">
        <v>38</v>
      </c>
      <c r="H879" s="1" t="s">
        <v>77</v>
      </c>
      <c r="I879" s="1" t="s">
        <v>103</v>
      </c>
      <c r="J879" s="1">
        <v>3</v>
      </c>
      <c r="K879" s="1">
        <v>635.28</v>
      </c>
      <c r="L879" s="1">
        <v>0.1</v>
      </c>
      <c r="M879" s="1">
        <v>1905.84</v>
      </c>
      <c r="N879" s="1">
        <v>190.584</v>
      </c>
      <c r="O879" s="1">
        <v>1715.2560000000001</v>
      </c>
      <c r="P879" s="1">
        <v>1234.98432</v>
      </c>
      <c r="Q879" s="1">
        <v>480.27168000000012</v>
      </c>
      <c r="R879" s="1">
        <v>28.000000000000011</v>
      </c>
      <c r="S879" s="1" t="s">
        <v>60</v>
      </c>
    </row>
    <row r="880" spans="1:19" x14ac:dyDescent="0.35">
      <c r="A880" s="1" t="s">
        <v>1248</v>
      </c>
      <c r="B880" s="3">
        <v>45958</v>
      </c>
      <c r="C880" s="1" t="s">
        <v>35</v>
      </c>
      <c r="D880" s="1">
        <v>10</v>
      </c>
      <c r="E880" s="1" t="s">
        <v>561</v>
      </c>
      <c r="F880" s="1" t="s">
        <v>52</v>
      </c>
      <c r="G880" s="1" t="s">
        <v>23</v>
      </c>
      <c r="H880" s="1" t="s">
        <v>77</v>
      </c>
      <c r="I880" s="1" t="s">
        <v>148</v>
      </c>
      <c r="J880" s="1">
        <v>7</v>
      </c>
      <c r="K880" s="1">
        <v>591.44000000000005</v>
      </c>
      <c r="L880" s="1">
        <v>0.05</v>
      </c>
      <c r="M880" s="1">
        <v>4140.08</v>
      </c>
      <c r="N880" s="1">
        <v>207.00399999999999</v>
      </c>
      <c r="O880" s="1">
        <v>3933.076</v>
      </c>
      <c r="P880" s="1">
        <v>2831.8147199999999</v>
      </c>
      <c r="Q880" s="1">
        <v>1101.2612799999999</v>
      </c>
      <c r="R880" s="1">
        <v>28</v>
      </c>
      <c r="S880" s="1" t="s">
        <v>33</v>
      </c>
    </row>
    <row r="881" spans="1:19" x14ac:dyDescent="0.35">
      <c r="A881" s="1" t="s">
        <v>1249</v>
      </c>
      <c r="B881" s="3">
        <v>45732</v>
      </c>
      <c r="C881" s="1" t="s">
        <v>28</v>
      </c>
      <c r="D881" s="1">
        <v>3</v>
      </c>
      <c r="E881" s="1" t="s">
        <v>605</v>
      </c>
      <c r="F881" s="1" t="s">
        <v>43</v>
      </c>
      <c r="G881" s="1" t="s">
        <v>38</v>
      </c>
      <c r="H881" s="1" t="s">
        <v>31</v>
      </c>
      <c r="I881" s="1" t="s">
        <v>32</v>
      </c>
      <c r="J881" s="1">
        <v>7</v>
      </c>
      <c r="K881" s="1">
        <v>1450.72</v>
      </c>
      <c r="L881" s="1">
        <v>0.1</v>
      </c>
      <c r="M881" s="1">
        <v>10155.040000000001</v>
      </c>
      <c r="N881" s="1">
        <v>1015.504</v>
      </c>
      <c r="O881" s="1">
        <v>9139.5360000000001</v>
      </c>
      <c r="P881" s="1">
        <v>4752.55872</v>
      </c>
      <c r="Q881" s="1">
        <v>4386.9772800000001</v>
      </c>
      <c r="R881" s="1">
        <v>48</v>
      </c>
      <c r="S881" s="1" t="s">
        <v>33</v>
      </c>
    </row>
    <row r="882" spans="1:19" x14ac:dyDescent="0.35">
      <c r="A882" s="1" t="s">
        <v>1250</v>
      </c>
      <c r="B882" s="3">
        <v>45690</v>
      </c>
      <c r="C882" s="1" t="s">
        <v>42</v>
      </c>
      <c r="D882" s="1">
        <v>2</v>
      </c>
      <c r="E882" s="1" t="s">
        <v>1178</v>
      </c>
      <c r="F882" s="1" t="s">
        <v>22</v>
      </c>
      <c r="G882" s="1" t="s">
        <v>64</v>
      </c>
      <c r="H882" s="1" t="s">
        <v>39</v>
      </c>
      <c r="I882" s="1" t="s">
        <v>87</v>
      </c>
      <c r="J882" s="1">
        <v>6</v>
      </c>
      <c r="K882" s="1">
        <v>26565.03</v>
      </c>
      <c r="L882" s="1">
        <v>0.1</v>
      </c>
      <c r="M882" s="1">
        <v>159390.18</v>
      </c>
      <c r="N882" s="1">
        <v>15939.018</v>
      </c>
      <c r="O882" s="1">
        <v>143451.16200000001</v>
      </c>
      <c r="P882" s="1">
        <v>111891.90635999999</v>
      </c>
      <c r="Q882" s="1">
        <v>31559.255639999988</v>
      </c>
      <c r="R882" s="1">
        <v>21.999999999999989</v>
      </c>
      <c r="S882" s="1" t="s">
        <v>93</v>
      </c>
    </row>
    <row r="883" spans="1:19" x14ac:dyDescent="0.35">
      <c r="A883" s="1" t="s">
        <v>1251</v>
      </c>
      <c r="B883" s="3">
        <v>45773</v>
      </c>
      <c r="C883" s="1" t="s">
        <v>20</v>
      </c>
      <c r="D883" s="1">
        <v>4</v>
      </c>
      <c r="E883" s="1" t="s">
        <v>812</v>
      </c>
      <c r="F883" s="1" t="s">
        <v>58</v>
      </c>
      <c r="G883" s="1" t="s">
        <v>23</v>
      </c>
      <c r="H883" s="1" t="s">
        <v>31</v>
      </c>
      <c r="I883" s="1" t="s">
        <v>167</v>
      </c>
      <c r="J883" s="1">
        <v>7</v>
      </c>
      <c r="K883" s="1">
        <v>1350.91</v>
      </c>
      <c r="L883" s="1">
        <v>0.15</v>
      </c>
      <c r="M883" s="1">
        <v>9456.3700000000008</v>
      </c>
      <c r="N883" s="1">
        <v>1418.4555</v>
      </c>
      <c r="O883" s="1">
        <v>8037.9145000000008</v>
      </c>
      <c r="P883" s="1">
        <v>4179.7155400000001</v>
      </c>
      <c r="Q883" s="1">
        <v>3858.1989600000011</v>
      </c>
      <c r="R883" s="1">
        <v>48.000000000000007</v>
      </c>
      <c r="S883" s="1" t="s">
        <v>73</v>
      </c>
    </row>
    <row r="884" spans="1:19" x14ac:dyDescent="0.35">
      <c r="A884" s="1" t="s">
        <v>1252</v>
      </c>
      <c r="B884" s="3">
        <v>45724</v>
      </c>
      <c r="C884" s="1" t="s">
        <v>28</v>
      </c>
      <c r="D884" s="1">
        <v>3</v>
      </c>
      <c r="E884" s="1" t="s">
        <v>1050</v>
      </c>
      <c r="F884" s="1" t="s">
        <v>76</v>
      </c>
      <c r="G884" s="1" t="s">
        <v>64</v>
      </c>
      <c r="H884" s="1" t="s">
        <v>99</v>
      </c>
      <c r="I884" s="1" t="s">
        <v>100</v>
      </c>
      <c r="J884" s="1">
        <v>1</v>
      </c>
      <c r="K884" s="1">
        <v>20968.91</v>
      </c>
      <c r="L884" s="1">
        <v>0.05</v>
      </c>
      <c r="M884" s="1">
        <v>20968.91</v>
      </c>
      <c r="N884" s="1">
        <v>1048.4455</v>
      </c>
      <c r="O884" s="1">
        <v>19920.464499999998</v>
      </c>
      <c r="P884" s="1">
        <v>13545.915859999999</v>
      </c>
      <c r="Q884" s="1">
        <v>6374.5486399999991</v>
      </c>
      <c r="R884" s="1">
        <v>32</v>
      </c>
      <c r="S884" s="1" t="s">
        <v>60</v>
      </c>
    </row>
    <row r="885" spans="1:19" x14ac:dyDescent="0.35">
      <c r="A885" s="1" t="s">
        <v>1253</v>
      </c>
      <c r="B885" s="3">
        <v>46006</v>
      </c>
      <c r="C885" s="1" t="s">
        <v>67</v>
      </c>
      <c r="D885" s="1">
        <v>12</v>
      </c>
      <c r="E885" s="1" t="s">
        <v>289</v>
      </c>
      <c r="F885" s="1" t="s">
        <v>111</v>
      </c>
      <c r="G885" s="1" t="s">
        <v>38</v>
      </c>
      <c r="H885" s="1" t="s">
        <v>53</v>
      </c>
      <c r="I885" s="1" t="s">
        <v>185</v>
      </c>
      <c r="J885" s="1">
        <v>7</v>
      </c>
      <c r="K885" s="1">
        <v>100.58</v>
      </c>
      <c r="L885" s="1">
        <v>0.05</v>
      </c>
      <c r="M885" s="1">
        <v>704.06</v>
      </c>
      <c r="N885" s="1">
        <v>35.203000000000003</v>
      </c>
      <c r="O885" s="1">
        <v>668.85699999999997</v>
      </c>
      <c r="P885" s="1">
        <v>387.93705999999997</v>
      </c>
      <c r="Q885" s="1">
        <v>280.91994</v>
      </c>
      <c r="R885" s="1">
        <v>42.000000000000007</v>
      </c>
      <c r="S885" s="1" t="s">
        <v>73</v>
      </c>
    </row>
    <row r="886" spans="1:19" x14ac:dyDescent="0.35">
      <c r="A886" s="1" t="s">
        <v>1254</v>
      </c>
      <c r="B886" s="3">
        <v>45698</v>
      </c>
      <c r="C886" s="1" t="s">
        <v>42</v>
      </c>
      <c r="D886" s="1">
        <v>2</v>
      </c>
      <c r="E886" s="1" t="s">
        <v>1142</v>
      </c>
      <c r="F886" s="1" t="s">
        <v>69</v>
      </c>
      <c r="G886" s="1" t="s">
        <v>64</v>
      </c>
      <c r="H886" s="1" t="s">
        <v>99</v>
      </c>
      <c r="I886" s="1" t="s">
        <v>108</v>
      </c>
      <c r="J886" s="1">
        <v>2</v>
      </c>
      <c r="K886" s="1">
        <v>18455.36</v>
      </c>
      <c r="L886" s="1">
        <v>0</v>
      </c>
      <c r="M886" s="1">
        <v>36910.720000000001</v>
      </c>
      <c r="N886" s="1">
        <v>0</v>
      </c>
      <c r="O886" s="1">
        <v>36910.720000000001</v>
      </c>
      <c r="P886" s="1">
        <v>25099.2896</v>
      </c>
      <c r="Q886" s="1">
        <v>11811.430399999999</v>
      </c>
      <c r="R886" s="1">
        <v>31.999999999999989</v>
      </c>
      <c r="S886" s="1" t="s">
        <v>60</v>
      </c>
    </row>
    <row r="887" spans="1:19" x14ac:dyDescent="0.35">
      <c r="A887" s="1" t="s">
        <v>1255</v>
      </c>
      <c r="B887" s="3">
        <v>45848</v>
      </c>
      <c r="C887" s="1" t="s">
        <v>62</v>
      </c>
      <c r="D887" s="1">
        <v>7</v>
      </c>
      <c r="E887" s="1" t="s">
        <v>378</v>
      </c>
      <c r="F887" s="1" t="s">
        <v>58</v>
      </c>
      <c r="G887" s="1" t="s">
        <v>64</v>
      </c>
      <c r="H887" s="1" t="s">
        <v>53</v>
      </c>
      <c r="I887" s="1" t="s">
        <v>72</v>
      </c>
      <c r="J887" s="1">
        <v>1</v>
      </c>
      <c r="K887" s="1">
        <v>1781.09</v>
      </c>
      <c r="L887" s="1">
        <v>0.1</v>
      </c>
      <c r="M887" s="1">
        <v>1781.09</v>
      </c>
      <c r="N887" s="1">
        <v>178.10900000000001</v>
      </c>
      <c r="O887" s="1">
        <v>1602.981</v>
      </c>
      <c r="P887" s="1">
        <v>929.72897999999998</v>
      </c>
      <c r="Q887" s="1">
        <v>673.25202000000002</v>
      </c>
      <c r="R887" s="1">
        <v>42</v>
      </c>
      <c r="S887" s="1" t="s">
        <v>26</v>
      </c>
    </row>
    <row r="888" spans="1:19" x14ac:dyDescent="0.35">
      <c r="A888" s="1" t="s">
        <v>1256</v>
      </c>
      <c r="B888" s="3">
        <v>45785</v>
      </c>
      <c r="C888" s="1" t="s">
        <v>97</v>
      </c>
      <c r="D888" s="1">
        <v>5</v>
      </c>
      <c r="E888" s="1" t="s">
        <v>324</v>
      </c>
      <c r="F888" s="1" t="s">
        <v>47</v>
      </c>
      <c r="G888" s="1" t="s">
        <v>23</v>
      </c>
      <c r="H888" s="1" t="s">
        <v>39</v>
      </c>
      <c r="I888" s="1" t="s">
        <v>234</v>
      </c>
      <c r="J888" s="1">
        <v>2</v>
      </c>
      <c r="K888" s="1">
        <v>22785.79</v>
      </c>
      <c r="L888" s="1">
        <v>0.15</v>
      </c>
      <c r="M888" s="1">
        <v>45571.58</v>
      </c>
      <c r="N888" s="1">
        <v>6835.7370000000001</v>
      </c>
      <c r="O888" s="1">
        <v>38735.843000000001</v>
      </c>
      <c r="P888" s="1">
        <v>30213.957539999999</v>
      </c>
      <c r="Q888" s="1">
        <v>8521.8854599999977</v>
      </c>
      <c r="R888" s="1">
        <v>21.999999999999989</v>
      </c>
      <c r="S888" s="1" t="s">
        <v>93</v>
      </c>
    </row>
    <row r="889" spans="1:19" x14ac:dyDescent="0.35">
      <c r="A889" s="1" t="s">
        <v>1257</v>
      </c>
      <c r="B889" s="3">
        <v>45720</v>
      </c>
      <c r="C889" s="1" t="s">
        <v>28</v>
      </c>
      <c r="D889" s="1">
        <v>3</v>
      </c>
      <c r="E889" s="1" t="s">
        <v>1258</v>
      </c>
      <c r="F889" s="1" t="s">
        <v>47</v>
      </c>
      <c r="G889" s="1" t="s">
        <v>23</v>
      </c>
      <c r="H889" s="1" t="s">
        <v>24</v>
      </c>
      <c r="I889" s="1" t="s">
        <v>117</v>
      </c>
      <c r="J889" s="1">
        <v>1</v>
      </c>
      <c r="K889" s="1">
        <v>4811.8500000000004</v>
      </c>
      <c r="L889" s="1">
        <v>0.1</v>
      </c>
      <c r="M889" s="1">
        <v>4811.8500000000004</v>
      </c>
      <c r="N889" s="1">
        <v>481.18500000000012</v>
      </c>
      <c r="O889" s="1">
        <v>4330.665</v>
      </c>
      <c r="P889" s="1">
        <v>2381.8657499999999</v>
      </c>
      <c r="Q889" s="1">
        <v>1948.79925</v>
      </c>
      <c r="R889" s="1">
        <v>44.999999999999993</v>
      </c>
      <c r="S889" s="1" t="s">
        <v>26</v>
      </c>
    </row>
    <row r="890" spans="1:19" x14ac:dyDescent="0.35">
      <c r="A890" s="1" t="s">
        <v>1259</v>
      </c>
      <c r="B890" s="3">
        <v>45773</v>
      </c>
      <c r="C890" s="1" t="s">
        <v>20</v>
      </c>
      <c r="D890" s="1">
        <v>4</v>
      </c>
      <c r="E890" s="1" t="s">
        <v>1076</v>
      </c>
      <c r="F890" s="1" t="s">
        <v>69</v>
      </c>
      <c r="G890" s="1" t="s">
        <v>38</v>
      </c>
      <c r="H890" s="1" t="s">
        <v>39</v>
      </c>
      <c r="I890" s="1" t="s">
        <v>87</v>
      </c>
      <c r="J890" s="1">
        <v>6</v>
      </c>
      <c r="K890" s="1">
        <v>19695.669999999998</v>
      </c>
      <c r="L890" s="1">
        <v>0.1</v>
      </c>
      <c r="M890" s="1">
        <v>118174.02</v>
      </c>
      <c r="N890" s="1">
        <v>11817.402</v>
      </c>
      <c r="O890" s="1">
        <v>106356.618</v>
      </c>
      <c r="P890" s="1">
        <v>82958.162039999996</v>
      </c>
      <c r="Q890" s="1">
        <v>23398.455959999988</v>
      </c>
      <c r="R890" s="1">
        <v>21.999999999999989</v>
      </c>
      <c r="S890" s="1" t="s">
        <v>73</v>
      </c>
    </row>
    <row r="891" spans="1:19" x14ac:dyDescent="0.35">
      <c r="A891" s="1" t="s">
        <v>1260</v>
      </c>
      <c r="B891" s="3">
        <v>45801</v>
      </c>
      <c r="C891" s="1" t="s">
        <v>97</v>
      </c>
      <c r="D891" s="1">
        <v>5</v>
      </c>
      <c r="E891" s="1" t="s">
        <v>384</v>
      </c>
      <c r="F891" s="1" t="s">
        <v>43</v>
      </c>
      <c r="G891" s="1" t="s">
        <v>38</v>
      </c>
      <c r="H891" s="1" t="s">
        <v>39</v>
      </c>
      <c r="I891" s="1" t="s">
        <v>214</v>
      </c>
      <c r="J891" s="1">
        <v>2</v>
      </c>
      <c r="K891" s="1">
        <v>22077.03</v>
      </c>
      <c r="L891" s="1">
        <v>0.25</v>
      </c>
      <c r="M891" s="1">
        <v>44154.06</v>
      </c>
      <c r="N891" s="1">
        <v>11038.514999999999</v>
      </c>
      <c r="O891" s="1">
        <v>33115.544999999998</v>
      </c>
      <c r="P891" s="1">
        <v>25830.125100000001</v>
      </c>
      <c r="Q891" s="1">
        <v>7285.4198999999971</v>
      </c>
      <c r="R891" s="1">
        <v>21.999999999999989</v>
      </c>
      <c r="S891" s="1" t="s">
        <v>33</v>
      </c>
    </row>
    <row r="892" spans="1:19" x14ac:dyDescent="0.35">
      <c r="A892" s="1" t="s">
        <v>1261</v>
      </c>
      <c r="B892" s="3">
        <v>45927</v>
      </c>
      <c r="C892" s="1" t="s">
        <v>50</v>
      </c>
      <c r="D892" s="1">
        <v>9</v>
      </c>
      <c r="E892" s="1" t="s">
        <v>80</v>
      </c>
      <c r="F892" s="1" t="s">
        <v>37</v>
      </c>
      <c r="G892" s="1" t="s">
        <v>38</v>
      </c>
      <c r="H892" s="1" t="s">
        <v>31</v>
      </c>
      <c r="I892" s="1" t="s">
        <v>167</v>
      </c>
      <c r="J892" s="1">
        <v>7</v>
      </c>
      <c r="K892" s="1">
        <v>2183.16</v>
      </c>
      <c r="L892" s="1">
        <v>0</v>
      </c>
      <c r="M892" s="1">
        <v>15282.12</v>
      </c>
      <c r="N892" s="1">
        <v>0</v>
      </c>
      <c r="O892" s="1">
        <v>15282.12</v>
      </c>
      <c r="P892" s="1">
        <v>7946.7024000000001</v>
      </c>
      <c r="Q892" s="1">
        <v>7335.4175999999989</v>
      </c>
      <c r="R892" s="1">
        <v>48</v>
      </c>
      <c r="S892" s="1" t="s">
        <v>33</v>
      </c>
    </row>
    <row r="893" spans="1:19" x14ac:dyDescent="0.35">
      <c r="A893" s="1" t="s">
        <v>1262</v>
      </c>
      <c r="B893" s="3">
        <v>45680</v>
      </c>
      <c r="C893" s="1" t="s">
        <v>193</v>
      </c>
      <c r="D893" s="1">
        <v>1</v>
      </c>
      <c r="E893" s="1" t="s">
        <v>276</v>
      </c>
      <c r="F893" s="1" t="s">
        <v>76</v>
      </c>
      <c r="G893" s="1" t="s">
        <v>64</v>
      </c>
      <c r="H893" s="1" t="s">
        <v>24</v>
      </c>
      <c r="I893" s="1" t="s">
        <v>44</v>
      </c>
      <c r="J893" s="1">
        <v>6</v>
      </c>
      <c r="K893" s="1">
        <v>909.36</v>
      </c>
      <c r="L893" s="1">
        <v>0.1</v>
      </c>
      <c r="M893" s="1">
        <v>5456.16</v>
      </c>
      <c r="N893" s="1">
        <v>545.61599999999999</v>
      </c>
      <c r="O893" s="1">
        <v>4910.5439999999999</v>
      </c>
      <c r="P893" s="1">
        <v>2700.7991999999999</v>
      </c>
      <c r="Q893" s="1">
        <v>2209.7447999999999</v>
      </c>
      <c r="R893" s="1">
        <v>45</v>
      </c>
      <c r="S893" s="1" t="s">
        <v>60</v>
      </c>
    </row>
    <row r="894" spans="1:19" x14ac:dyDescent="0.35">
      <c r="A894" s="1" t="s">
        <v>1263</v>
      </c>
      <c r="B894" s="3">
        <v>45760</v>
      </c>
      <c r="C894" s="1" t="s">
        <v>20</v>
      </c>
      <c r="D894" s="1">
        <v>4</v>
      </c>
      <c r="E894" s="1" t="s">
        <v>114</v>
      </c>
      <c r="F894" s="1" t="s">
        <v>30</v>
      </c>
      <c r="G894" s="1" t="s">
        <v>38</v>
      </c>
      <c r="H894" s="1" t="s">
        <v>24</v>
      </c>
      <c r="I894" s="1" t="s">
        <v>25</v>
      </c>
      <c r="J894" s="1">
        <v>7</v>
      </c>
      <c r="K894" s="1">
        <v>3030.35</v>
      </c>
      <c r="L894" s="1">
        <v>0.05</v>
      </c>
      <c r="M894" s="1">
        <v>21212.45</v>
      </c>
      <c r="N894" s="1">
        <v>1060.6224999999999</v>
      </c>
      <c r="O894" s="1">
        <v>20151.827499999999</v>
      </c>
      <c r="P894" s="1">
        <v>11083.505125</v>
      </c>
      <c r="Q894" s="1">
        <v>9068.3223749999997</v>
      </c>
      <c r="R894" s="1">
        <v>45</v>
      </c>
      <c r="S894" s="1" t="s">
        <v>73</v>
      </c>
    </row>
    <row r="895" spans="1:19" x14ac:dyDescent="0.35">
      <c r="A895" s="1" t="s">
        <v>1264</v>
      </c>
      <c r="B895" s="3">
        <v>45954</v>
      </c>
      <c r="C895" s="1" t="s">
        <v>35</v>
      </c>
      <c r="D895" s="1">
        <v>10</v>
      </c>
      <c r="E895" s="1" t="s">
        <v>1265</v>
      </c>
      <c r="F895" s="1" t="s">
        <v>76</v>
      </c>
      <c r="G895" s="1" t="s">
        <v>38</v>
      </c>
      <c r="H895" s="1" t="s">
        <v>53</v>
      </c>
      <c r="I895" s="1" t="s">
        <v>72</v>
      </c>
      <c r="J895" s="1">
        <v>4</v>
      </c>
      <c r="K895" s="1">
        <v>1256.77</v>
      </c>
      <c r="L895" s="1">
        <v>0.2</v>
      </c>
      <c r="M895" s="1">
        <v>5027.08</v>
      </c>
      <c r="N895" s="1">
        <v>1005.4160000000001</v>
      </c>
      <c r="O895" s="1">
        <v>4021.6640000000002</v>
      </c>
      <c r="P895" s="1">
        <v>2332.5651200000002</v>
      </c>
      <c r="Q895" s="1">
        <v>1689.09888</v>
      </c>
      <c r="R895" s="1">
        <v>42.000000000000007</v>
      </c>
      <c r="S895" s="1" t="s">
        <v>73</v>
      </c>
    </row>
    <row r="896" spans="1:19" x14ac:dyDescent="0.35">
      <c r="A896" s="1" t="s">
        <v>1266</v>
      </c>
      <c r="B896" s="3">
        <v>45976</v>
      </c>
      <c r="C896" s="1" t="s">
        <v>56</v>
      </c>
      <c r="D896" s="1">
        <v>11</v>
      </c>
      <c r="E896" s="1" t="s">
        <v>83</v>
      </c>
      <c r="F896" s="1" t="s">
        <v>76</v>
      </c>
      <c r="G896" s="1" t="s">
        <v>23</v>
      </c>
      <c r="H896" s="1" t="s">
        <v>31</v>
      </c>
      <c r="I896" s="1" t="s">
        <v>59</v>
      </c>
      <c r="J896" s="1">
        <v>6</v>
      </c>
      <c r="K896" s="1">
        <v>2966.56</v>
      </c>
      <c r="L896" s="1">
        <v>0.15</v>
      </c>
      <c r="M896" s="1">
        <v>17799.36</v>
      </c>
      <c r="N896" s="1">
        <v>2669.904</v>
      </c>
      <c r="O896" s="1">
        <v>15129.456</v>
      </c>
      <c r="P896" s="1">
        <v>7867.3171200000006</v>
      </c>
      <c r="Q896" s="1">
        <v>7262.1388800000004</v>
      </c>
      <c r="R896" s="1">
        <v>48</v>
      </c>
      <c r="S896" s="1" t="s">
        <v>93</v>
      </c>
    </row>
    <row r="897" spans="1:19" x14ac:dyDescent="0.35">
      <c r="A897" s="1" t="s">
        <v>1267</v>
      </c>
      <c r="B897" s="3">
        <v>45987</v>
      </c>
      <c r="C897" s="1" t="s">
        <v>56</v>
      </c>
      <c r="D897" s="1">
        <v>11</v>
      </c>
      <c r="E897" s="1" t="s">
        <v>1076</v>
      </c>
      <c r="F897" s="1" t="s">
        <v>37</v>
      </c>
      <c r="G897" s="1" t="s">
        <v>23</v>
      </c>
      <c r="H897" s="1" t="s">
        <v>77</v>
      </c>
      <c r="I897" s="1" t="s">
        <v>78</v>
      </c>
      <c r="J897" s="1">
        <v>4</v>
      </c>
      <c r="K897" s="1">
        <v>409.65</v>
      </c>
      <c r="L897" s="1">
        <v>0.1</v>
      </c>
      <c r="M897" s="1">
        <v>1638.6</v>
      </c>
      <c r="N897" s="1">
        <v>163.86</v>
      </c>
      <c r="O897" s="1">
        <v>1474.74</v>
      </c>
      <c r="P897" s="1">
        <v>1061.8127999999999</v>
      </c>
      <c r="Q897" s="1">
        <v>412.92720000000008</v>
      </c>
      <c r="R897" s="1">
        <v>28.000000000000011</v>
      </c>
      <c r="S897" s="1" t="s">
        <v>33</v>
      </c>
    </row>
    <row r="898" spans="1:19" x14ac:dyDescent="0.35">
      <c r="A898" s="1" t="s">
        <v>1268</v>
      </c>
      <c r="B898" s="3">
        <v>45815</v>
      </c>
      <c r="C898" s="1" t="s">
        <v>82</v>
      </c>
      <c r="D898" s="1">
        <v>6</v>
      </c>
      <c r="E898" s="1" t="s">
        <v>189</v>
      </c>
      <c r="F898" s="1" t="s">
        <v>58</v>
      </c>
      <c r="G898" s="1" t="s">
        <v>64</v>
      </c>
      <c r="H898" s="1" t="s">
        <v>31</v>
      </c>
      <c r="I898" s="1" t="s">
        <v>59</v>
      </c>
      <c r="J898" s="1">
        <v>7</v>
      </c>
      <c r="K898" s="1">
        <v>546.82000000000005</v>
      </c>
      <c r="L898" s="1">
        <v>0.15</v>
      </c>
      <c r="M898" s="1">
        <v>3827.74</v>
      </c>
      <c r="N898" s="1">
        <v>574.16100000000006</v>
      </c>
      <c r="O898" s="1">
        <v>3253.5790000000002</v>
      </c>
      <c r="P898" s="1">
        <v>1691.8610799999999</v>
      </c>
      <c r="Q898" s="1">
        <v>1561.71792</v>
      </c>
      <c r="R898" s="1">
        <v>48</v>
      </c>
      <c r="S898" s="1" t="s">
        <v>33</v>
      </c>
    </row>
    <row r="899" spans="1:19" x14ac:dyDescent="0.35">
      <c r="A899" s="1" t="s">
        <v>1269</v>
      </c>
      <c r="B899" s="3">
        <v>45896</v>
      </c>
      <c r="C899" s="1" t="s">
        <v>113</v>
      </c>
      <c r="D899" s="1">
        <v>8</v>
      </c>
      <c r="E899" s="1" t="s">
        <v>701</v>
      </c>
      <c r="F899" s="1" t="s">
        <v>30</v>
      </c>
      <c r="G899" s="1" t="s">
        <v>23</v>
      </c>
      <c r="H899" s="1" t="s">
        <v>39</v>
      </c>
      <c r="I899" s="1" t="s">
        <v>40</v>
      </c>
      <c r="J899" s="1">
        <v>7</v>
      </c>
      <c r="K899" s="1">
        <v>47476.65</v>
      </c>
      <c r="L899" s="1">
        <v>0.15</v>
      </c>
      <c r="M899" s="1">
        <v>332336.55</v>
      </c>
      <c r="N899" s="1">
        <v>49850.482499999998</v>
      </c>
      <c r="O899" s="1">
        <v>282486.0675</v>
      </c>
      <c r="P899" s="1">
        <v>220339.13265000001</v>
      </c>
      <c r="Q899" s="1">
        <v>62146.934849999991</v>
      </c>
      <c r="R899" s="1">
        <v>22</v>
      </c>
      <c r="S899" s="1" t="s">
        <v>73</v>
      </c>
    </row>
    <row r="900" spans="1:19" x14ac:dyDescent="0.35">
      <c r="A900" s="1" t="s">
        <v>1270</v>
      </c>
      <c r="B900" s="3">
        <v>45875</v>
      </c>
      <c r="C900" s="1" t="s">
        <v>113</v>
      </c>
      <c r="D900" s="1">
        <v>8</v>
      </c>
      <c r="E900" s="1" t="s">
        <v>240</v>
      </c>
      <c r="F900" s="1" t="s">
        <v>47</v>
      </c>
      <c r="G900" s="1" t="s">
        <v>38</v>
      </c>
      <c r="H900" s="1" t="s">
        <v>77</v>
      </c>
      <c r="I900" s="1" t="s">
        <v>201</v>
      </c>
      <c r="J900" s="1">
        <v>1</v>
      </c>
      <c r="K900" s="1">
        <v>131.03</v>
      </c>
      <c r="L900" s="1">
        <v>0.05</v>
      </c>
      <c r="M900" s="1">
        <v>131.03</v>
      </c>
      <c r="N900" s="1">
        <v>6.5515000000000008</v>
      </c>
      <c r="O900" s="1">
        <v>124.4785</v>
      </c>
      <c r="P900" s="1">
        <v>89.62451999999999</v>
      </c>
      <c r="Q900" s="1">
        <v>34.853980000000007</v>
      </c>
      <c r="R900" s="1">
        <v>28.000000000000011</v>
      </c>
      <c r="S900" s="1" t="s">
        <v>73</v>
      </c>
    </row>
    <row r="901" spans="1:19" x14ac:dyDescent="0.35">
      <c r="A901" s="1" t="s">
        <v>1271</v>
      </c>
      <c r="B901" s="3">
        <v>45747</v>
      </c>
      <c r="C901" s="1" t="s">
        <v>28</v>
      </c>
      <c r="D901" s="1">
        <v>3</v>
      </c>
      <c r="E901" s="1" t="s">
        <v>89</v>
      </c>
      <c r="F901" s="1" t="s">
        <v>43</v>
      </c>
      <c r="G901" s="1" t="s">
        <v>64</v>
      </c>
      <c r="H901" s="1" t="s">
        <v>77</v>
      </c>
      <c r="I901" s="1" t="s">
        <v>148</v>
      </c>
      <c r="J901" s="1">
        <v>6</v>
      </c>
      <c r="K901" s="1">
        <v>236.51</v>
      </c>
      <c r="L901" s="1">
        <v>0.1</v>
      </c>
      <c r="M901" s="1">
        <v>1419.06</v>
      </c>
      <c r="N901" s="1">
        <v>141.90600000000001</v>
      </c>
      <c r="O901" s="1">
        <v>1277.154</v>
      </c>
      <c r="P901" s="1">
        <v>919.55088000000001</v>
      </c>
      <c r="Q901" s="1">
        <v>357.60311999999999</v>
      </c>
      <c r="R901" s="1">
        <v>28</v>
      </c>
      <c r="S901" s="1" t="s">
        <v>60</v>
      </c>
    </row>
    <row r="902" spans="1:19" x14ac:dyDescent="0.35">
      <c r="A902" s="1" t="s">
        <v>1272</v>
      </c>
      <c r="B902" s="3">
        <v>45926</v>
      </c>
      <c r="C902" s="1" t="s">
        <v>50</v>
      </c>
      <c r="D902" s="1">
        <v>9</v>
      </c>
      <c r="E902" s="1" t="s">
        <v>443</v>
      </c>
      <c r="F902" s="1" t="s">
        <v>47</v>
      </c>
      <c r="G902" s="1" t="s">
        <v>64</v>
      </c>
      <c r="H902" s="1" t="s">
        <v>99</v>
      </c>
      <c r="I902" s="1" t="s">
        <v>100</v>
      </c>
      <c r="J902" s="1">
        <v>3</v>
      </c>
      <c r="K902" s="1">
        <v>17264.57</v>
      </c>
      <c r="L902" s="1">
        <v>0.1</v>
      </c>
      <c r="M902" s="1">
        <v>51793.71</v>
      </c>
      <c r="N902" s="1">
        <v>5179.3710000000001</v>
      </c>
      <c r="O902" s="1">
        <v>46614.339</v>
      </c>
      <c r="P902" s="1">
        <v>31697.750520000001</v>
      </c>
      <c r="Q902" s="1">
        <v>14916.58848</v>
      </c>
      <c r="R902" s="1">
        <v>32</v>
      </c>
      <c r="S902" s="1" t="s">
        <v>93</v>
      </c>
    </row>
    <row r="903" spans="1:19" x14ac:dyDescent="0.35">
      <c r="A903" s="1" t="s">
        <v>1273</v>
      </c>
      <c r="B903" s="3">
        <v>46010</v>
      </c>
      <c r="C903" s="1" t="s">
        <v>67</v>
      </c>
      <c r="D903" s="1">
        <v>12</v>
      </c>
      <c r="E903" s="1" t="s">
        <v>495</v>
      </c>
      <c r="F903" s="1" t="s">
        <v>47</v>
      </c>
      <c r="G903" s="1" t="s">
        <v>38</v>
      </c>
      <c r="H903" s="1" t="s">
        <v>24</v>
      </c>
      <c r="I903" s="1" t="s">
        <v>25</v>
      </c>
      <c r="J903" s="1">
        <v>3</v>
      </c>
      <c r="K903" s="1">
        <v>1071.78</v>
      </c>
      <c r="L903" s="1">
        <v>0.3</v>
      </c>
      <c r="M903" s="1">
        <v>3215.34</v>
      </c>
      <c r="N903" s="1">
        <v>964.60199999999998</v>
      </c>
      <c r="O903" s="1">
        <v>2250.7379999999998</v>
      </c>
      <c r="P903" s="1">
        <v>1237.9059</v>
      </c>
      <c r="Q903" s="1">
        <v>1012.8321</v>
      </c>
      <c r="R903" s="1">
        <v>44.999999999999993</v>
      </c>
      <c r="S903" s="1" t="s">
        <v>26</v>
      </c>
    </row>
    <row r="904" spans="1:19" x14ac:dyDescent="0.35">
      <c r="A904" s="1" t="s">
        <v>1274</v>
      </c>
      <c r="B904" s="3">
        <v>45928</v>
      </c>
      <c r="C904" s="1" t="s">
        <v>50</v>
      </c>
      <c r="D904" s="1">
        <v>9</v>
      </c>
      <c r="E904" s="1" t="s">
        <v>424</v>
      </c>
      <c r="F904" s="1" t="s">
        <v>47</v>
      </c>
      <c r="G904" s="1" t="s">
        <v>64</v>
      </c>
      <c r="H904" s="1" t="s">
        <v>77</v>
      </c>
      <c r="I904" s="1" t="s">
        <v>90</v>
      </c>
      <c r="J904" s="1">
        <v>4</v>
      </c>
      <c r="K904" s="1">
        <v>380.88</v>
      </c>
      <c r="L904" s="1">
        <v>0.15</v>
      </c>
      <c r="M904" s="1">
        <v>1523.52</v>
      </c>
      <c r="N904" s="1">
        <v>228.52799999999999</v>
      </c>
      <c r="O904" s="1">
        <v>1294.992</v>
      </c>
      <c r="P904" s="1">
        <v>932.39423999999997</v>
      </c>
      <c r="Q904" s="1">
        <v>362.59775999999999</v>
      </c>
      <c r="R904" s="1">
        <v>28</v>
      </c>
      <c r="S904" s="1" t="s">
        <v>60</v>
      </c>
    </row>
    <row r="905" spans="1:19" x14ac:dyDescent="0.35">
      <c r="A905" s="1" t="s">
        <v>1275</v>
      </c>
      <c r="B905" s="3">
        <v>45780</v>
      </c>
      <c r="C905" s="1" t="s">
        <v>97</v>
      </c>
      <c r="D905" s="1">
        <v>5</v>
      </c>
      <c r="E905" s="1" t="s">
        <v>179</v>
      </c>
      <c r="F905" s="1" t="s">
        <v>69</v>
      </c>
      <c r="G905" s="1" t="s">
        <v>38</v>
      </c>
      <c r="H905" s="1" t="s">
        <v>31</v>
      </c>
      <c r="I905" s="1" t="s">
        <v>65</v>
      </c>
      <c r="J905" s="1">
        <v>3</v>
      </c>
      <c r="K905" s="1">
        <v>1712.24</v>
      </c>
      <c r="L905" s="1">
        <v>0.05</v>
      </c>
      <c r="M905" s="1">
        <v>5136.72</v>
      </c>
      <c r="N905" s="1">
        <v>256.83600000000001</v>
      </c>
      <c r="O905" s="1">
        <v>4879.884</v>
      </c>
      <c r="P905" s="1">
        <v>2537.5396799999999</v>
      </c>
      <c r="Q905" s="1">
        <v>2342.3443200000002</v>
      </c>
      <c r="R905" s="1">
        <v>47.999999999999993</v>
      </c>
      <c r="S905" s="1" t="s">
        <v>26</v>
      </c>
    </row>
    <row r="906" spans="1:19" x14ac:dyDescent="0.35">
      <c r="A906" s="1" t="s">
        <v>1276</v>
      </c>
      <c r="B906" s="3">
        <v>45779</v>
      </c>
      <c r="C906" s="1" t="s">
        <v>97</v>
      </c>
      <c r="D906" s="1">
        <v>5</v>
      </c>
      <c r="E906" s="1" t="s">
        <v>198</v>
      </c>
      <c r="F906" s="1" t="s">
        <v>58</v>
      </c>
      <c r="G906" s="1" t="s">
        <v>23</v>
      </c>
      <c r="H906" s="1" t="s">
        <v>53</v>
      </c>
      <c r="I906" s="1" t="s">
        <v>123</v>
      </c>
      <c r="J906" s="1">
        <v>2</v>
      </c>
      <c r="K906" s="1">
        <v>2408.5300000000002</v>
      </c>
      <c r="L906" s="1">
        <v>0.15</v>
      </c>
      <c r="M906" s="1">
        <v>4817.0600000000004</v>
      </c>
      <c r="N906" s="1">
        <v>722.55900000000008</v>
      </c>
      <c r="O906" s="1">
        <v>4094.5010000000002</v>
      </c>
      <c r="P906" s="1">
        <v>2374.8105799999998</v>
      </c>
      <c r="Q906" s="1">
        <v>1719.6904199999999</v>
      </c>
      <c r="R906" s="1">
        <v>42.000000000000007</v>
      </c>
      <c r="S906" s="1" t="s">
        <v>60</v>
      </c>
    </row>
    <row r="907" spans="1:19" x14ac:dyDescent="0.35">
      <c r="A907" s="1" t="s">
        <v>1277</v>
      </c>
      <c r="B907" s="3">
        <v>45725</v>
      </c>
      <c r="C907" s="1" t="s">
        <v>28</v>
      </c>
      <c r="D907" s="1">
        <v>3</v>
      </c>
      <c r="E907" s="1" t="s">
        <v>216</v>
      </c>
      <c r="F907" s="1" t="s">
        <v>47</v>
      </c>
      <c r="G907" s="1" t="s">
        <v>64</v>
      </c>
      <c r="H907" s="1" t="s">
        <v>24</v>
      </c>
      <c r="I907" s="1" t="s">
        <v>117</v>
      </c>
      <c r="J907" s="1">
        <v>5</v>
      </c>
      <c r="K907" s="1">
        <v>4790.46</v>
      </c>
      <c r="L907" s="1">
        <v>0.2</v>
      </c>
      <c r="M907" s="1">
        <v>23952.3</v>
      </c>
      <c r="N907" s="1">
        <v>4790.46</v>
      </c>
      <c r="O907" s="1">
        <v>19161.84</v>
      </c>
      <c r="P907" s="1">
        <v>10539.012000000001</v>
      </c>
      <c r="Q907" s="1">
        <v>8622.8279999999995</v>
      </c>
      <c r="R907" s="1">
        <v>44.999999999999993</v>
      </c>
      <c r="S907" s="1" t="s">
        <v>60</v>
      </c>
    </row>
    <row r="908" spans="1:19" x14ac:dyDescent="0.35">
      <c r="A908" s="1" t="s">
        <v>1278</v>
      </c>
      <c r="B908" s="3">
        <v>45855</v>
      </c>
      <c r="C908" s="1" t="s">
        <v>62</v>
      </c>
      <c r="D908" s="1">
        <v>7</v>
      </c>
      <c r="E908" s="1" t="s">
        <v>267</v>
      </c>
      <c r="F908" s="1" t="s">
        <v>22</v>
      </c>
      <c r="G908" s="1" t="s">
        <v>38</v>
      </c>
      <c r="H908" s="1" t="s">
        <v>99</v>
      </c>
      <c r="I908" s="1" t="s">
        <v>108</v>
      </c>
      <c r="J908" s="1">
        <v>3</v>
      </c>
      <c r="K908" s="1">
        <v>5043.6899999999996</v>
      </c>
      <c r="L908" s="1">
        <v>0.2</v>
      </c>
      <c r="M908" s="1">
        <v>15131.07</v>
      </c>
      <c r="N908" s="1">
        <v>3026.2139999999999</v>
      </c>
      <c r="O908" s="1">
        <v>12104.856</v>
      </c>
      <c r="P908" s="1">
        <v>8231.3020800000013</v>
      </c>
      <c r="Q908" s="1">
        <v>3873.553919999998</v>
      </c>
      <c r="R908" s="1">
        <v>31.999999999999989</v>
      </c>
      <c r="S908" s="1" t="s">
        <v>60</v>
      </c>
    </row>
    <row r="909" spans="1:19" x14ac:dyDescent="0.35">
      <c r="A909" s="1" t="s">
        <v>1279</v>
      </c>
      <c r="B909" s="3">
        <v>45822</v>
      </c>
      <c r="C909" s="1" t="s">
        <v>82</v>
      </c>
      <c r="D909" s="1">
        <v>6</v>
      </c>
      <c r="E909" s="1" t="s">
        <v>756</v>
      </c>
      <c r="F909" s="1" t="s">
        <v>37</v>
      </c>
      <c r="G909" s="1" t="s">
        <v>38</v>
      </c>
      <c r="H909" s="1" t="s">
        <v>53</v>
      </c>
      <c r="I909" s="1" t="s">
        <v>54</v>
      </c>
      <c r="J909" s="1">
        <v>7</v>
      </c>
      <c r="K909" s="1">
        <v>2337.87</v>
      </c>
      <c r="L909" s="1">
        <v>0.25</v>
      </c>
      <c r="M909" s="1">
        <v>16365.09</v>
      </c>
      <c r="N909" s="1">
        <v>4091.2725</v>
      </c>
      <c r="O909" s="1">
        <v>12273.817499999999</v>
      </c>
      <c r="P909" s="1">
        <v>7118.8141500000002</v>
      </c>
      <c r="Q909" s="1">
        <v>5155.0033500000009</v>
      </c>
      <c r="R909" s="1">
        <v>42.000000000000007</v>
      </c>
      <c r="S909" s="1" t="s">
        <v>60</v>
      </c>
    </row>
    <row r="910" spans="1:19" x14ac:dyDescent="0.35">
      <c r="A910" s="1" t="s">
        <v>1280</v>
      </c>
      <c r="B910" s="3">
        <v>45826</v>
      </c>
      <c r="C910" s="1" t="s">
        <v>82</v>
      </c>
      <c r="D910" s="1">
        <v>6</v>
      </c>
      <c r="E910" s="1" t="s">
        <v>376</v>
      </c>
      <c r="F910" s="1" t="s">
        <v>58</v>
      </c>
      <c r="G910" s="1" t="s">
        <v>23</v>
      </c>
      <c r="H910" s="1" t="s">
        <v>53</v>
      </c>
      <c r="I910" s="1" t="s">
        <v>54</v>
      </c>
      <c r="J910" s="1">
        <v>6</v>
      </c>
      <c r="K910" s="1">
        <v>1277.67</v>
      </c>
      <c r="L910" s="1">
        <v>0.1</v>
      </c>
      <c r="M910" s="1">
        <v>7666.02</v>
      </c>
      <c r="N910" s="1">
        <v>766.60200000000009</v>
      </c>
      <c r="O910" s="1">
        <v>6899.4180000000006</v>
      </c>
      <c r="P910" s="1">
        <v>4001.6624400000001</v>
      </c>
      <c r="Q910" s="1">
        <v>2897.755560000001</v>
      </c>
      <c r="R910" s="1">
        <v>42.000000000000007</v>
      </c>
      <c r="S910" s="1" t="s">
        <v>60</v>
      </c>
    </row>
    <row r="911" spans="1:19" x14ac:dyDescent="0.35">
      <c r="A911" s="1" t="s">
        <v>1281</v>
      </c>
      <c r="B911" s="3">
        <v>45680</v>
      </c>
      <c r="C911" s="1" t="s">
        <v>193</v>
      </c>
      <c r="D911" s="1">
        <v>1</v>
      </c>
      <c r="E911" s="1" t="s">
        <v>646</v>
      </c>
      <c r="F911" s="1" t="s">
        <v>111</v>
      </c>
      <c r="G911" s="1" t="s">
        <v>64</v>
      </c>
      <c r="H911" s="1" t="s">
        <v>31</v>
      </c>
      <c r="I911" s="1" t="s">
        <v>167</v>
      </c>
      <c r="J911" s="1">
        <v>6</v>
      </c>
      <c r="K911" s="1">
        <v>686.6</v>
      </c>
      <c r="L911" s="1">
        <v>0.15</v>
      </c>
      <c r="M911" s="1">
        <v>4119.6000000000004</v>
      </c>
      <c r="N911" s="1">
        <v>617.94000000000005</v>
      </c>
      <c r="O911" s="1">
        <v>3501.66</v>
      </c>
      <c r="P911" s="1">
        <v>1820.8632</v>
      </c>
      <c r="Q911" s="1">
        <v>1680.7968000000001</v>
      </c>
      <c r="R911" s="1">
        <v>48</v>
      </c>
      <c r="S911" s="1" t="s">
        <v>33</v>
      </c>
    </row>
    <row r="912" spans="1:19" x14ac:dyDescent="0.35">
      <c r="A912" s="1" t="s">
        <v>1282</v>
      </c>
      <c r="B912" s="3">
        <v>45984</v>
      </c>
      <c r="C912" s="1" t="s">
        <v>56</v>
      </c>
      <c r="D912" s="1">
        <v>11</v>
      </c>
      <c r="E912" s="1" t="s">
        <v>165</v>
      </c>
      <c r="F912" s="1" t="s">
        <v>52</v>
      </c>
      <c r="G912" s="1" t="s">
        <v>64</v>
      </c>
      <c r="H912" s="1" t="s">
        <v>53</v>
      </c>
      <c r="I912" s="1" t="s">
        <v>185</v>
      </c>
      <c r="J912" s="1">
        <v>7</v>
      </c>
      <c r="K912" s="1">
        <v>2370.58</v>
      </c>
      <c r="L912" s="1">
        <v>0.05</v>
      </c>
      <c r="M912" s="1">
        <v>16594.060000000001</v>
      </c>
      <c r="N912" s="1">
        <v>829.70299999999997</v>
      </c>
      <c r="O912" s="1">
        <v>15764.357</v>
      </c>
      <c r="P912" s="1">
        <v>9143.3270599999978</v>
      </c>
      <c r="Q912" s="1">
        <v>6621.0299400000004</v>
      </c>
      <c r="R912" s="1">
        <v>42.000000000000007</v>
      </c>
      <c r="S912" s="1" t="s">
        <v>73</v>
      </c>
    </row>
    <row r="913" spans="1:19" x14ac:dyDescent="0.35">
      <c r="A913" s="1" t="s">
        <v>1283</v>
      </c>
      <c r="B913" s="3">
        <v>45917</v>
      </c>
      <c r="C913" s="1" t="s">
        <v>50</v>
      </c>
      <c r="D913" s="1">
        <v>9</v>
      </c>
      <c r="E913" s="1" t="s">
        <v>210</v>
      </c>
      <c r="F913" s="1" t="s">
        <v>37</v>
      </c>
      <c r="G913" s="1" t="s">
        <v>64</v>
      </c>
      <c r="H913" s="1" t="s">
        <v>39</v>
      </c>
      <c r="I913" s="1" t="s">
        <v>40</v>
      </c>
      <c r="J913" s="1">
        <v>6</v>
      </c>
      <c r="K913" s="1">
        <v>27560.91</v>
      </c>
      <c r="L913" s="1">
        <v>0.15</v>
      </c>
      <c r="M913" s="1">
        <v>165365.46</v>
      </c>
      <c r="N913" s="1">
        <v>24804.819</v>
      </c>
      <c r="O913" s="1">
        <v>140560.641</v>
      </c>
      <c r="P913" s="1">
        <v>109637.29998</v>
      </c>
      <c r="Q913" s="1">
        <v>30923.341019999989</v>
      </c>
      <c r="R913" s="1">
        <v>21.999999999999989</v>
      </c>
      <c r="S913" s="1" t="s">
        <v>33</v>
      </c>
    </row>
    <row r="914" spans="1:19" x14ac:dyDescent="0.35">
      <c r="A914" s="1" t="s">
        <v>1284</v>
      </c>
      <c r="B914" s="3">
        <v>45717</v>
      </c>
      <c r="C914" s="1" t="s">
        <v>28</v>
      </c>
      <c r="D914" s="1">
        <v>3</v>
      </c>
      <c r="E914" s="1" t="s">
        <v>63</v>
      </c>
      <c r="F914" s="1" t="s">
        <v>47</v>
      </c>
      <c r="G914" s="1" t="s">
        <v>23</v>
      </c>
      <c r="H914" s="1" t="s">
        <v>39</v>
      </c>
      <c r="I914" s="1" t="s">
        <v>234</v>
      </c>
      <c r="J914" s="1">
        <v>3</v>
      </c>
      <c r="K914" s="1">
        <v>47665.25</v>
      </c>
      <c r="L914" s="1">
        <v>0.05</v>
      </c>
      <c r="M914" s="1">
        <v>142995.75</v>
      </c>
      <c r="N914" s="1">
        <v>7149.7875000000004</v>
      </c>
      <c r="O914" s="1">
        <v>135845.96249999999</v>
      </c>
      <c r="P914" s="1">
        <v>105959.85075</v>
      </c>
      <c r="Q914" s="1">
        <v>29886.11175</v>
      </c>
      <c r="R914" s="1">
        <v>22</v>
      </c>
      <c r="S914" s="1" t="s">
        <v>73</v>
      </c>
    </row>
    <row r="915" spans="1:19" x14ac:dyDescent="0.35">
      <c r="A915" s="1" t="s">
        <v>1285</v>
      </c>
      <c r="B915" s="3">
        <v>45937</v>
      </c>
      <c r="C915" s="1" t="s">
        <v>35</v>
      </c>
      <c r="D915" s="1">
        <v>10</v>
      </c>
      <c r="E915" s="1" t="s">
        <v>378</v>
      </c>
      <c r="F915" s="1" t="s">
        <v>37</v>
      </c>
      <c r="G915" s="1" t="s">
        <v>64</v>
      </c>
      <c r="H915" s="1" t="s">
        <v>53</v>
      </c>
      <c r="I915" s="1" t="s">
        <v>72</v>
      </c>
      <c r="J915" s="1">
        <v>5</v>
      </c>
      <c r="K915" s="1">
        <v>212.95</v>
      </c>
      <c r="L915" s="1">
        <v>0.15</v>
      </c>
      <c r="M915" s="1">
        <v>1064.75</v>
      </c>
      <c r="N915" s="1">
        <v>159.71250000000001</v>
      </c>
      <c r="O915" s="1">
        <v>905.03750000000002</v>
      </c>
      <c r="P915" s="1">
        <v>524.92174999999997</v>
      </c>
      <c r="Q915" s="1">
        <v>380.11574999999999</v>
      </c>
      <c r="R915" s="1">
        <v>42.000000000000007</v>
      </c>
      <c r="S915" s="1" t="s">
        <v>93</v>
      </c>
    </row>
    <row r="916" spans="1:19" x14ac:dyDescent="0.35">
      <c r="A916" s="1" t="s">
        <v>1286</v>
      </c>
      <c r="B916" s="3">
        <v>45906</v>
      </c>
      <c r="C916" s="1" t="s">
        <v>50</v>
      </c>
      <c r="D916" s="1">
        <v>9</v>
      </c>
      <c r="E916" s="1" t="s">
        <v>1287</v>
      </c>
      <c r="F916" s="1" t="s">
        <v>76</v>
      </c>
      <c r="G916" s="1" t="s">
        <v>38</v>
      </c>
      <c r="H916" s="1" t="s">
        <v>39</v>
      </c>
      <c r="I916" s="1" t="s">
        <v>214</v>
      </c>
      <c r="J916" s="1">
        <v>3</v>
      </c>
      <c r="K916" s="1">
        <v>23121.25</v>
      </c>
      <c r="L916" s="1">
        <v>0.25</v>
      </c>
      <c r="M916" s="1">
        <v>69363.75</v>
      </c>
      <c r="N916" s="1">
        <v>17340.9375</v>
      </c>
      <c r="O916" s="1">
        <v>52022.8125</v>
      </c>
      <c r="P916" s="1">
        <v>40577.793749999997</v>
      </c>
      <c r="Q916" s="1">
        <v>11445.018749999999</v>
      </c>
      <c r="R916" s="1">
        <v>21.999999999999989</v>
      </c>
      <c r="S916" s="1" t="s">
        <v>93</v>
      </c>
    </row>
    <row r="917" spans="1:19" x14ac:dyDescent="0.35">
      <c r="A917" s="1" t="s">
        <v>1288</v>
      </c>
      <c r="B917" s="3">
        <v>45798</v>
      </c>
      <c r="C917" s="1" t="s">
        <v>97</v>
      </c>
      <c r="D917" s="1">
        <v>5</v>
      </c>
      <c r="E917" s="1" t="s">
        <v>608</v>
      </c>
      <c r="F917" s="1" t="s">
        <v>52</v>
      </c>
      <c r="G917" s="1" t="s">
        <v>38</v>
      </c>
      <c r="H917" s="1" t="s">
        <v>39</v>
      </c>
      <c r="I917" s="1" t="s">
        <v>155</v>
      </c>
      <c r="J917" s="1">
        <v>3</v>
      </c>
      <c r="K917" s="1">
        <v>26569.43</v>
      </c>
      <c r="L917" s="1">
        <v>0.2</v>
      </c>
      <c r="M917" s="1">
        <v>79708.290000000008</v>
      </c>
      <c r="N917" s="1">
        <v>15941.657999999999</v>
      </c>
      <c r="O917" s="1">
        <v>63766.632000000012</v>
      </c>
      <c r="P917" s="1">
        <v>49737.972960000006</v>
      </c>
      <c r="Q917" s="1">
        <v>14028.65904</v>
      </c>
      <c r="R917" s="1">
        <v>22</v>
      </c>
      <c r="S917" s="1" t="s">
        <v>26</v>
      </c>
    </row>
    <row r="918" spans="1:19" x14ac:dyDescent="0.35">
      <c r="A918" s="1" t="s">
        <v>1289</v>
      </c>
      <c r="B918" s="3">
        <v>45785</v>
      </c>
      <c r="C918" s="1" t="s">
        <v>97</v>
      </c>
      <c r="D918" s="1">
        <v>5</v>
      </c>
      <c r="E918" s="1" t="s">
        <v>1290</v>
      </c>
      <c r="F918" s="1" t="s">
        <v>22</v>
      </c>
      <c r="G918" s="1" t="s">
        <v>23</v>
      </c>
      <c r="H918" s="1" t="s">
        <v>99</v>
      </c>
      <c r="I918" s="1" t="s">
        <v>145</v>
      </c>
      <c r="J918" s="1">
        <v>5</v>
      </c>
      <c r="K918" s="1">
        <v>5338.44</v>
      </c>
      <c r="L918" s="1">
        <v>0.05</v>
      </c>
      <c r="M918" s="1">
        <v>26692.2</v>
      </c>
      <c r="N918" s="1">
        <v>1334.61</v>
      </c>
      <c r="O918" s="1">
        <v>25357.59</v>
      </c>
      <c r="P918" s="1">
        <v>17243.161199999999</v>
      </c>
      <c r="Q918" s="1">
        <v>8114.4287999999979</v>
      </c>
      <c r="R918" s="1">
        <v>32</v>
      </c>
      <c r="S918" s="1" t="s">
        <v>73</v>
      </c>
    </row>
    <row r="919" spans="1:19" x14ac:dyDescent="0.35">
      <c r="A919" s="1" t="s">
        <v>1291</v>
      </c>
      <c r="B919" s="3">
        <v>45994</v>
      </c>
      <c r="C919" s="1" t="s">
        <v>67</v>
      </c>
      <c r="D919" s="1">
        <v>12</v>
      </c>
      <c r="E919" s="1" t="s">
        <v>321</v>
      </c>
      <c r="F919" s="1" t="s">
        <v>76</v>
      </c>
      <c r="G919" s="1" t="s">
        <v>23</v>
      </c>
      <c r="H919" s="1" t="s">
        <v>77</v>
      </c>
      <c r="I919" s="1" t="s">
        <v>148</v>
      </c>
      <c r="J919" s="1">
        <v>5</v>
      </c>
      <c r="K919" s="1">
        <v>158.74</v>
      </c>
      <c r="L919" s="1">
        <v>0.2</v>
      </c>
      <c r="M919" s="1">
        <v>793.7</v>
      </c>
      <c r="N919" s="1">
        <v>158.74</v>
      </c>
      <c r="O919" s="1">
        <v>634.96</v>
      </c>
      <c r="P919" s="1">
        <v>457.1712</v>
      </c>
      <c r="Q919" s="1">
        <v>177.78880000000001</v>
      </c>
      <c r="R919" s="1">
        <v>28</v>
      </c>
      <c r="S919" s="1" t="s">
        <v>73</v>
      </c>
    </row>
    <row r="920" spans="1:19" x14ac:dyDescent="0.35">
      <c r="A920" s="1" t="s">
        <v>1292</v>
      </c>
      <c r="B920" s="3">
        <v>45716</v>
      </c>
      <c r="C920" s="1" t="s">
        <v>42</v>
      </c>
      <c r="D920" s="1">
        <v>2</v>
      </c>
      <c r="E920" s="1" t="s">
        <v>1050</v>
      </c>
      <c r="F920" s="1" t="s">
        <v>76</v>
      </c>
      <c r="G920" s="1" t="s">
        <v>64</v>
      </c>
      <c r="H920" s="1" t="s">
        <v>24</v>
      </c>
      <c r="I920" s="1" t="s">
        <v>117</v>
      </c>
      <c r="J920" s="1">
        <v>1</v>
      </c>
      <c r="K920" s="1">
        <v>3401.23</v>
      </c>
      <c r="L920" s="1">
        <v>0.2</v>
      </c>
      <c r="M920" s="1">
        <v>3401.23</v>
      </c>
      <c r="N920" s="1">
        <v>680.24600000000009</v>
      </c>
      <c r="O920" s="1">
        <v>2720.9839999999999</v>
      </c>
      <c r="P920" s="1">
        <v>1496.5411999999999</v>
      </c>
      <c r="Q920" s="1">
        <v>1224.4428</v>
      </c>
      <c r="R920" s="1">
        <v>44.999999999999993</v>
      </c>
      <c r="S920" s="1" t="s">
        <v>33</v>
      </c>
    </row>
    <row r="921" spans="1:19" x14ac:dyDescent="0.35">
      <c r="A921" s="1" t="s">
        <v>1293</v>
      </c>
      <c r="B921" s="3">
        <v>45726</v>
      </c>
      <c r="C921" s="1" t="s">
        <v>28</v>
      </c>
      <c r="D921" s="1">
        <v>3</v>
      </c>
      <c r="E921" s="1" t="s">
        <v>89</v>
      </c>
      <c r="F921" s="1" t="s">
        <v>69</v>
      </c>
      <c r="G921" s="1" t="s">
        <v>64</v>
      </c>
      <c r="H921" s="1" t="s">
        <v>77</v>
      </c>
      <c r="I921" s="1" t="s">
        <v>90</v>
      </c>
      <c r="J921" s="1">
        <v>1</v>
      </c>
      <c r="K921" s="1">
        <v>123.89</v>
      </c>
      <c r="L921" s="1">
        <v>0.15</v>
      </c>
      <c r="M921" s="1">
        <v>123.89</v>
      </c>
      <c r="N921" s="1">
        <v>18.583500000000001</v>
      </c>
      <c r="O921" s="1">
        <v>105.3065</v>
      </c>
      <c r="P921" s="1">
        <v>75.820679999999996</v>
      </c>
      <c r="Q921" s="1">
        <v>29.48582</v>
      </c>
      <c r="R921" s="1">
        <v>28</v>
      </c>
      <c r="S921" s="1" t="s">
        <v>33</v>
      </c>
    </row>
    <row r="922" spans="1:19" x14ac:dyDescent="0.35">
      <c r="A922" s="1" t="s">
        <v>1294</v>
      </c>
      <c r="B922" s="3">
        <v>45659</v>
      </c>
      <c r="C922" s="1" t="s">
        <v>193</v>
      </c>
      <c r="D922" s="1">
        <v>1</v>
      </c>
      <c r="E922" s="1" t="s">
        <v>171</v>
      </c>
      <c r="F922" s="1" t="s">
        <v>76</v>
      </c>
      <c r="G922" s="1" t="s">
        <v>23</v>
      </c>
      <c r="H922" s="1" t="s">
        <v>39</v>
      </c>
      <c r="I922" s="1" t="s">
        <v>40</v>
      </c>
      <c r="J922" s="1">
        <v>1</v>
      </c>
      <c r="K922" s="1">
        <v>32528.04</v>
      </c>
      <c r="L922" s="1">
        <v>0.05</v>
      </c>
      <c r="M922" s="1">
        <v>32528.04</v>
      </c>
      <c r="N922" s="1">
        <v>1626.402</v>
      </c>
      <c r="O922" s="1">
        <v>30901.637999999999</v>
      </c>
      <c r="P922" s="1">
        <v>24103.27764</v>
      </c>
      <c r="Q922" s="1">
        <v>6798.3603599999988</v>
      </c>
      <c r="R922" s="1">
        <v>22</v>
      </c>
      <c r="S922" s="1" t="s">
        <v>26</v>
      </c>
    </row>
    <row r="923" spans="1:19" x14ac:dyDescent="0.35">
      <c r="A923" s="1" t="s">
        <v>1295</v>
      </c>
      <c r="B923" s="3">
        <v>45714</v>
      </c>
      <c r="C923" s="1" t="s">
        <v>42</v>
      </c>
      <c r="D923" s="1">
        <v>2</v>
      </c>
      <c r="E923" s="1" t="s">
        <v>1102</v>
      </c>
      <c r="F923" s="1" t="s">
        <v>76</v>
      </c>
      <c r="G923" s="1" t="s">
        <v>38</v>
      </c>
      <c r="H923" s="1" t="s">
        <v>99</v>
      </c>
      <c r="I923" s="1" t="s">
        <v>108</v>
      </c>
      <c r="J923" s="1">
        <v>4</v>
      </c>
      <c r="K923" s="1">
        <v>11553.86</v>
      </c>
      <c r="L923" s="1">
        <v>0.05</v>
      </c>
      <c r="M923" s="1">
        <v>46215.44</v>
      </c>
      <c r="N923" s="1">
        <v>2310.7719999999999</v>
      </c>
      <c r="O923" s="1">
        <v>43904.668000000012</v>
      </c>
      <c r="P923" s="1">
        <v>29855.17424</v>
      </c>
      <c r="Q923" s="1">
        <v>14049.493759999999</v>
      </c>
      <c r="R923" s="1">
        <v>32</v>
      </c>
      <c r="S923" s="1" t="s">
        <v>93</v>
      </c>
    </row>
    <row r="924" spans="1:19" x14ac:dyDescent="0.35">
      <c r="A924" s="1" t="s">
        <v>1296</v>
      </c>
      <c r="B924" s="3">
        <v>45849</v>
      </c>
      <c r="C924" s="1" t="s">
        <v>62</v>
      </c>
      <c r="D924" s="1">
        <v>7</v>
      </c>
      <c r="E924" s="1" t="s">
        <v>1258</v>
      </c>
      <c r="F924" s="1" t="s">
        <v>52</v>
      </c>
      <c r="G924" s="1" t="s">
        <v>64</v>
      </c>
      <c r="H924" s="1" t="s">
        <v>77</v>
      </c>
      <c r="I924" s="1" t="s">
        <v>148</v>
      </c>
      <c r="J924" s="1">
        <v>6</v>
      </c>
      <c r="K924" s="1">
        <v>187.91</v>
      </c>
      <c r="L924" s="1">
        <v>0.1</v>
      </c>
      <c r="M924" s="1">
        <v>1127.46</v>
      </c>
      <c r="N924" s="1">
        <v>112.746</v>
      </c>
      <c r="O924" s="1">
        <v>1014.7140000000001</v>
      </c>
      <c r="P924" s="1">
        <v>730.59407999999996</v>
      </c>
      <c r="Q924" s="1">
        <v>284.11992000000009</v>
      </c>
      <c r="R924" s="1">
        <v>28.000000000000011</v>
      </c>
      <c r="S924" s="1" t="s">
        <v>33</v>
      </c>
    </row>
    <row r="925" spans="1:19" x14ac:dyDescent="0.35">
      <c r="A925" s="1" t="s">
        <v>1297</v>
      </c>
      <c r="B925" s="3">
        <v>45718</v>
      </c>
      <c r="C925" s="1" t="s">
        <v>28</v>
      </c>
      <c r="D925" s="1">
        <v>3</v>
      </c>
      <c r="E925" s="1" t="s">
        <v>384</v>
      </c>
      <c r="F925" s="1" t="s">
        <v>43</v>
      </c>
      <c r="G925" s="1" t="s">
        <v>38</v>
      </c>
      <c r="H925" s="1" t="s">
        <v>77</v>
      </c>
      <c r="I925" s="1" t="s">
        <v>78</v>
      </c>
      <c r="J925" s="1">
        <v>3</v>
      </c>
      <c r="K925" s="1">
        <v>272.86</v>
      </c>
      <c r="L925" s="1">
        <v>0.05</v>
      </c>
      <c r="M925" s="1">
        <v>818.58</v>
      </c>
      <c r="N925" s="1">
        <v>40.929000000000002</v>
      </c>
      <c r="O925" s="1">
        <v>777.65100000000007</v>
      </c>
      <c r="P925" s="1">
        <v>559.90872000000002</v>
      </c>
      <c r="Q925" s="1">
        <v>217.74228000000011</v>
      </c>
      <c r="R925" s="1">
        <v>28</v>
      </c>
      <c r="S925" s="1" t="s">
        <v>26</v>
      </c>
    </row>
    <row r="926" spans="1:19" x14ac:dyDescent="0.35">
      <c r="A926" s="1" t="s">
        <v>1298</v>
      </c>
      <c r="B926" s="3">
        <v>45838</v>
      </c>
      <c r="C926" s="1" t="s">
        <v>82</v>
      </c>
      <c r="D926" s="1">
        <v>6</v>
      </c>
      <c r="E926" s="1" t="s">
        <v>553</v>
      </c>
      <c r="F926" s="1" t="s">
        <v>58</v>
      </c>
      <c r="G926" s="1" t="s">
        <v>38</v>
      </c>
      <c r="H926" s="1" t="s">
        <v>31</v>
      </c>
      <c r="I926" s="1" t="s">
        <v>167</v>
      </c>
      <c r="J926" s="1">
        <v>6</v>
      </c>
      <c r="K926" s="1">
        <v>3476.14</v>
      </c>
      <c r="L926" s="1">
        <v>0.2</v>
      </c>
      <c r="M926" s="1">
        <v>20856.84</v>
      </c>
      <c r="N926" s="1">
        <v>4171.3680000000004</v>
      </c>
      <c r="O926" s="1">
        <v>16685.472000000002</v>
      </c>
      <c r="P926" s="1">
        <v>8676.4454400000013</v>
      </c>
      <c r="Q926" s="1">
        <v>8009.0265600000002</v>
      </c>
      <c r="R926" s="1">
        <v>48</v>
      </c>
      <c r="S926" s="1" t="s">
        <v>26</v>
      </c>
    </row>
    <row r="927" spans="1:19" x14ac:dyDescent="0.35">
      <c r="A927" s="1" t="s">
        <v>1299</v>
      </c>
      <c r="B927" s="3">
        <v>45769</v>
      </c>
      <c r="C927" s="1" t="s">
        <v>20</v>
      </c>
      <c r="D927" s="1">
        <v>4</v>
      </c>
      <c r="E927" s="1" t="s">
        <v>127</v>
      </c>
      <c r="F927" s="1" t="s">
        <v>69</v>
      </c>
      <c r="G927" s="1" t="s">
        <v>64</v>
      </c>
      <c r="H927" s="1" t="s">
        <v>24</v>
      </c>
      <c r="I927" s="1" t="s">
        <v>139</v>
      </c>
      <c r="J927" s="1">
        <v>4</v>
      </c>
      <c r="K927" s="1">
        <v>5063.33</v>
      </c>
      <c r="L927" s="1">
        <v>0.1</v>
      </c>
      <c r="M927" s="1">
        <v>20253.32</v>
      </c>
      <c r="N927" s="1">
        <v>2025.3320000000001</v>
      </c>
      <c r="O927" s="1">
        <v>18227.988000000001</v>
      </c>
      <c r="P927" s="1">
        <v>10025.393400000001</v>
      </c>
      <c r="Q927" s="1">
        <v>8202.5946000000004</v>
      </c>
      <c r="R927" s="1">
        <v>45</v>
      </c>
      <c r="S927" s="1" t="s">
        <v>26</v>
      </c>
    </row>
    <row r="928" spans="1:19" x14ac:dyDescent="0.35">
      <c r="A928" s="1" t="s">
        <v>1300</v>
      </c>
      <c r="B928" s="3">
        <v>45772</v>
      </c>
      <c r="C928" s="1" t="s">
        <v>20</v>
      </c>
      <c r="D928" s="1">
        <v>4</v>
      </c>
      <c r="E928" s="1" t="s">
        <v>657</v>
      </c>
      <c r="F928" s="1" t="s">
        <v>69</v>
      </c>
      <c r="G928" s="1" t="s">
        <v>23</v>
      </c>
      <c r="H928" s="1" t="s">
        <v>53</v>
      </c>
      <c r="I928" s="1" t="s">
        <v>185</v>
      </c>
      <c r="J928" s="1">
        <v>5</v>
      </c>
      <c r="K928" s="1">
        <v>1649.82</v>
      </c>
      <c r="L928" s="1">
        <v>0</v>
      </c>
      <c r="M928" s="1">
        <v>8249.1</v>
      </c>
      <c r="N928" s="1">
        <v>0</v>
      </c>
      <c r="O928" s="1">
        <v>8249.1</v>
      </c>
      <c r="P928" s="1">
        <v>4784.4780000000001</v>
      </c>
      <c r="Q928" s="1">
        <v>3464.6219999999998</v>
      </c>
      <c r="R928" s="1">
        <v>42.000000000000007</v>
      </c>
      <c r="S928" s="1" t="s">
        <v>93</v>
      </c>
    </row>
    <row r="929" spans="1:19" x14ac:dyDescent="0.35">
      <c r="A929" s="1" t="s">
        <v>1301</v>
      </c>
      <c r="B929" s="3">
        <v>45811</v>
      </c>
      <c r="C929" s="1" t="s">
        <v>82</v>
      </c>
      <c r="D929" s="1">
        <v>6</v>
      </c>
      <c r="E929" s="1" t="s">
        <v>668</v>
      </c>
      <c r="F929" s="1" t="s">
        <v>52</v>
      </c>
      <c r="G929" s="1" t="s">
        <v>64</v>
      </c>
      <c r="H929" s="1" t="s">
        <v>77</v>
      </c>
      <c r="I929" s="1" t="s">
        <v>78</v>
      </c>
      <c r="J929" s="1">
        <v>7</v>
      </c>
      <c r="K929" s="1">
        <v>1056.67</v>
      </c>
      <c r="L929" s="1">
        <v>0.15</v>
      </c>
      <c r="M929" s="1">
        <v>7396.6900000000014</v>
      </c>
      <c r="N929" s="1">
        <v>1109.5035</v>
      </c>
      <c r="O929" s="1">
        <v>6287.1865000000007</v>
      </c>
      <c r="P929" s="1">
        <v>4526.7742800000015</v>
      </c>
      <c r="Q929" s="1">
        <v>1760.4122199999999</v>
      </c>
      <c r="R929" s="1">
        <v>28</v>
      </c>
      <c r="S929" s="1" t="s">
        <v>60</v>
      </c>
    </row>
    <row r="930" spans="1:19" x14ac:dyDescent="0.35">
      <c r="A930" s="1" t="s">
        <v>1302</v>
      </c>
      <c r="B930" s="3">
        <v>45846</v>
      </c>
      <c r="C930" s="1" t="s">
        <v>62</v>
      </c>
      <c r="D930" s="1">
        <v>7</v>
      </c>
      <c r="E930" s="1" t="s">
        <v>894</v>
      </c>
      <c r="F930" s="1" t="s">
        <v>37</v>
      </c>
      <c r="G930" s="1" t="s">
        <v>64</v>
      </c>
      <c r="H930" s="1" t="s">
        <v>53</v>
      </c>
      <c r="I930" s="1" t="s">
        <v>185</v>
      </c>
      <c r="J930" s="1">
        <v>2</v>
      </c>
      <c r="K930" s="1">
        <v>1345.99</v>
      </c>
      <c r="L930" s="1">
        <v>0.05</v>
      </c>
      <c r="M930" s="1">
        <v>2691.98</v>
      </c>
      <c r="N930" s="1">
        <v>134.59899999999999</v>
      </c>
      <c r="O930" s="1">
        <v>2557.3809999999999</v>
      </c>
      <c r="P930" s="1">
        <v>1483.28098</v>
      </c>
      <c r="Q930" s="1">
        <v>1074.1000200000001</v>
      </c>
      <c r="R930" s="1">
        <v>42.000000000000007</v>
      </c>
      <c r="S930" s="1" t="s">
        <v>60</v>
      </c>
    </row>
    <row r="931" spans="1:19" x14ac:dyDescent="0.35">
      <c r="A931" s="1" t="s">
        <v>1303</v>
      </c>
      <c r="B931" s="3">
        <v>45852</v>
      </c>
      <c r="C931" s="1" t="s">
        <v>62</v>
      </c>
      <c r="D931" s="1">
        <v>7</v>
      </c>
      <c r="E931" s="1" t="s">
        <v>95</v>
      </c>
      <c r="F931" s="1" t="s">
        <v>30</v>
      </c>
      <c r="G931" s="1" t="s">
        <v>23</v>
      </c>
      <c r="H931" s="1" t="s">
        <v>77</v>
      </c>
      <c r="I931" s="1" t="s">
        <v>201</v>
      </c>
      <c r="J931" s="1">
        <v>4</v>
      </c>
      <c r="K931" s="1">
        <v>338.64</v>
      </c>
      <c r="L931" s="1">
        <v>0.15</v>
      </c>
      <c r="M931" s="1">
        <v>1354.56</v>
      </c>
      <c r="N931" s="1">
        <v>203.184</v>
      </c>
      <c r="O931" s="1">
        <v>1151.376</v>
      </c>
      <c r="P931" s="1">
        <v>828.9907199999999</v>
      </c>
      <c r="Q931" s="1">
        <v>322.38528000000008</v>
      </c>
      <c r="R931" s="1">
        <v>28.000000000000011</v>
      </c>
      <c r="S931" s="1" t="s">
        <v>93</v>
      </c>
    </row>
    <row r="932" spans="1:19" x14ac:dyDescent="0.35">
      <c r="A932" s="1" t="s">
        <v>1304</v>
      </c>
      <c r="B932" s="3">
        <v>45744</v>
      </c>
      <c r="C932" s="1" t="s">
        <v>28</v>
      </c>
      <c r="D932" s="1">
        <v>3</v>
      </c>
      <c r="E932" s="1" t="s">
        <v>1013</v>
      </c>
      <c r="F932" s="1" t="s">
        <v>76</v>
      </c>
      <c r="G932" s="1" t="s">
        <v>23</v>
      </c>
      <c r="H932" s="1" t="s">
        <v>99</v>
      </c>
      <c r="I932" s="1" t="s">
        <v>120</v>
      </c>
      <c r="J932" s="1">
        <v>2</v>
      </c>
      <c r="K932" s="1">
        <v>16426.04</v>
      </c>
      <c r="L932" s="1">
        <v>0.05</v>
      </c>
      <c r="M932" s="1">
        <v>32852.080000000002</v>
      </c>
      <c r="N932" s="1">
        <v>1642.604</v>
      </c>
      <c r="O932" s="1">
        <v>31209.475999999999</v>
      </c>
      <c r="P932" s="1">
        <v>21222.44368</v>
      </c>
      <c r="Q932" s="1">
        <v>9987.0323199999984</v>
      </c>
      <c r="R932" s="1">
        <v>32</v>
      </c>
      <c r="S932" s="1" t="s">
        <v>33</v>
      </c>
    </row>
    <row r="933" spans="1:19" x14ac:dyDescent="0.35">
      <c r="A933" s="1" t="s">
        <v>1305</v>
      </c>
      <c r="B933" s="3">
        <v>45764</v>
      </c>
      <c r="C933" s="1" t="s">
        <v>20</v>
      </c>
      <c r="D933" s="1">
        <v>4</v>
      </c>
      <c r="E933" s="1" t="s">
        <v>930</v>
      </c>
      <c r="F933" s="1" t="s">
        <v>76</v>
      </c>
      <c r="G933" s="1" t="s">
        <v>38</v>
      </c>
      <c r="H933" s="1" t="s">
        <v>53</v>
      </c>
      <c r="I933" s="1" t="s">
        <v>72</v>
      </c>
      <c r="J933" s="1">
        <v>1</v>
      </c>
      <c r="K933" s="1">
        <v>2248.08</v>
      </c>
      <c r="L933" s="1">
        <v>0.15</v>
      </c>
      <c r="M933" s="1">
        <v>2248.08</v>
      </c>
      <c r="N933" s="1">
        <v>337.21199999999999</v>
      </c>
      <c r="O933" s="1">
        <v>1910.8679999999999</v>
      </c>
      <c r="P933" s="1">
        <v>1108.3034399999999</v>
      </c>
      <c r="Q933" s="1">
        <v>802.56456000000003</v>
      </c>
      <c r="R933" s="1">
        <v>42.000000000000007</v>
      </c>
      <c r="S933" s="1" t="s">
        <v>93</v>
      </c>
    </row>
    <row r="934" spans="1:19" x14ac:dyDescent="0.35">
      <c r="A934" s="1" t="s">
        <v>1306</v>
      </c>
      <c r="B934" s="3">
        <v>45892</v>
      </c>
      <c r="C934" s="1" t="s">
        <v>113</v>
      </c>
      <c r="D934" s="1">
        <v>8</v>
      </c>
      <c r="E934" s="1" t="s">
        <v>316</v>
      </c>
      <c r="F934" s="1" t="s">
        <v>43</v>
      </c>
      <c r="G934" s="1" t="s">
        <v>64</v>
      </c>
      <c r="H934" s="1" t="s">
        <v>24</v>
      </c>
      <c r="I934" s="1" t="s">
        <v>44</v>
      </c>
      <c r="J934" s="1">
        <v>3</v>
      </c>
      <c r="K934" s="1">
        <v>4182.8599999999997</v>
      </c>
      <c r="L934" s="1">
        <v>0.3</v>
      </c>
      <c r="M934" s="1">
        <v>12548.58</v>
      </c>
      <c r="N934" s="1">
        <v>3764.5739999999992</v>
      </c>
      <c r="O934" s="1">
        <v>8784.0059999999994</v>
      </c>
      <c r="P934" s="1">
        <v>4831.2033000000001</v>
      </c>
      <c r="Q934" s="1">
        <v>3952.8026999999988</v>
      </c>
      <c r="R934" s="1">
        <v>44.999999999999993</v>
      </c>
      <c r="S934" s="1" t="s">
        <v>33</v>
      </c>
    </row>
    <row r="935" spans="1:19" x14ac:dyDescent="0.35">
      <c r="A935" s="1" t="s">
        <v>1307</v>
      </c>
      <c r="B935" s="3">
        <v>45968</v>
      </c>
      <c r="C935" s="1" t="s">
        <v>56</v>
      </c>
      <c r="D935" s="1">
        <v>11</v>
      </c>
      <c r="E935" s="1" t="s">
        <v>418</v>
      </c>
      <c r="F935" s="1" t="s">
        <v>47</v>
      </c>
      <c r="G935" s="1" t="s">
        <v>38</v>
      </c>
      <c r="H935" s="1" t="s">
        <v>31</v>
      </c>
      <c r="I935" s="1" t="s">
        <v>59</v>
      </c>
      <c r="J935" s="1">
        <v>4</v>
      </c>
      <c r="K935" s="1">
        <v>1903.24</v>
      </c>
      <c r="L935" s="1">
        <v>0.1</v>
      </c>
      <c r="M935" s="1">
        <v>7612.96</v>
      </c>
      <c r="N935" s="1">
        <v>761.29600000000005</v>
      </c>
      <c r="O935" s="1">
        <v>6851.6639999999998</v>
      </c>
      <c r="P935" s="1">
        <v>3562.86528</v>
      </c>
      <c r="Q935" s="1">
        <v>3288.7987199999998</v>
      </c>
      <c r="R935" s="1">
        <v>48</v>
      </c>
      <c r="S935" s="1" t="s">
        <v>26</v>
      </c>
    </row>
    <row r="936" spans="1:19" x14ac:dyDescent="0.35">
      <c r="A936" s="1" t="s">
        <v>1308</v>
      </c>
      <c r="B936" s="3">
        <v>45770</v>
      </c>
      <c r="C936" s="1" t="s">
        <v>20</v>
      </c>
      <c r="D936" s="1">
        <v>4</v>
      </c>
      <c r="E936" s="1" t="s">
        <v>1309</v>
      </c>
      <c r="F936" s="1" t="s">
        <v>37</v>
      </c>
      <c r="G936" s="1" t="s">
        <v>64</v>
      </c>
      <c r="H936" s="1" t="s">
        <v>24</v>
      </c>
      <c r="I936" s="1" t="s">
        <v>48</v>
      </c>
      <c r="J936" s="1">
        <v>2</v>
      </c>
      <c r="K936" s="1">
        <v>3889.4</v>
      </c>
      <c r="L936" s="1">
        <v>0.1</v>
      </c>
      <c r="M936" s="1">
        <v>7778.8</v>
      </c>
      <c r="N936" s="1">
        <v>777.88000000000011</v>
      </c>
      <c r="O936" s="1">
        <v>7000.92</v>
      </c>
      <c r="P936" s="1">
        <v>3850.5059999999999</v>
      </c>
      <c r="Q936" s="1">
        <v>3150.4140000000002</v>
      </c>
      <c r="R936" s="1">
        <v>44.999999999999993</v>
      </c>
      <c r="S936" s="1" t="s">
        <v>26</v>
      </c>
    </row>
    <row r="937" spans="1:19" x14ac:dyDescent="0.35">
      <c r="A937" s="1" t="s">
        <v>1310</v>
      </c>
      <c r="B937" s="3">
        <v>45838</v>
      </c>
      <c r="C937" s="1" t="s">
        <v>82</v>
      </c>
      <c r="D937" s="1">
        <v>6</v>
      </c>
      <c r="E937" s="1" t="s">
        <v>664</v>
      </c>
      <c r="F937" s="1" t="s">
        <v>37</v>
      </c>
      <c r="G937" s="1" t="s">
        <v>38</v>
      </c>
      <c r="H937" s="1" t="s">
        <v>24</v>
      </c>
      <c r="I937" s="1" t="s">
        <v>44</v>
      </c>
      <c r="J937" s="1">
        <v>7</v>
      </c>
      <c r="K937" s="1">
        <v>1053.4100000000001</v>
      </c>
      <c r="L937" s="1">
        <v>0.1</v>
      </c>
      <c r="M937" s="1">
        <v>7373.8700000000008</v>
      </c>
      <c r="N937" s="1">
        <v>737.38700000000017</v>
      </c>
      <c r="O937" s="1">
        <v>6636.4830000000002</v>
      </c>
      <c r="P937" s="1">
        <v>3650.06565</v>
      </c>
      <c r="Q937" s="1">
        <v>2986.4173500000002</v>
      </c>
      <c r="R937" s="1">
        <v>44.999999999999993</v>
      </c>
      <c r="S937" s="1" t="s">
        <v>60</v>
      </c>
    </row>
    <row r="938" spans="1:19" x14ac:dyDescent="0.35">
      <c r="A938" s="1" t="s">
        <v>1311</v>
      </c>
      <c r="B938" s="3">
        <v>45948</v>
      </c>
      <c r="C938" s="1" t="s">
        <v>35</v>
      </c>
      <c r="D938" s="1">
        <v>10</v>
      </c>
      <c r="E938" s="1" t="s">
        <v>529</v>
      </c>
      <c r="F938" s="1" t="s">
        <v>69</v>
      </c>
      <c r="G938" s="1" t="s">
        <v>64</v>
      </c>
      <c r="H938" s="1" t="s">
        <v>31</v>
      </c>
      <c r="I938" s="1" t="s">
        <v>190</v>
      </c>
      <c r="J938" s="1">
        <v>2</v>
      </c>
      <c r="K938" s="1">
        <v>894.23</v>
      </c>
      <c r="L938" s="1">
        <v>0</v>
      </c>
      <c r="M938" s="1">
        <v>1788.46</v>
      </c>
      <c r="N938" s="1">
        <v>0</v>
      </c>
      <c r="O938" s="1">
        <v>1788.46</v>
      </c>
      <c r="P938" s="1">
        <v>929.99920000000009</v>
      </c>
      <c r="Q938" s="1">
        <v>858.46079999999995</v>
      </c>
      <c r="R938" s="1">
        <v>48</v>
      </c>
      <c r="S938" s="1" t="s">
        <v>93</v>
      </c>
    </row>
    <row r="939" spans="1:19" x14ac:dyDescent="0.35">
      <c r="A939" s="1" t="s">
        <v>1312</v>
      </c>
      <c r="B939" s="3">
        <v>45746</v>
      </c>
      <c r="C939" s="1" t="s">
        <v>28</v>
      </c>
      <c r="D939" s="1">
        <v>3</v>
      </c>
      <c r="E939" s="1" t="s">
        <v>932</v>
      </c>
      <c r="F939" s="1" t="s">
        <v>47</v>
      </c>
      <c r="G939" s="1" t="s">
        <v>38</v>
      </c>
      <c r="H939" s="1" t="s">
        <v>39</v>
      </c>
      <c r="I939" s="1" t="s">
        <v>87</v>
      </c>
      <c r="J939" s="1">
        <v>4</v>
      </c>
      <c r="K939" s="1">
        <v>15262.26</v>
      </c>
      <c r="L939" s="1">
        <v>0.15</v>
      </c>
      <c r="M939" s="1">
        <v>61049.04</v>
      </c>
      <c r="N939" s="1">
        <v>9157.3559999999998</v>
      </c>
      <c r="O939" s="1">
        <v>51891.684000000001</v>
      </c>
      <c r="P939" s="1">
        <v>40475.51352</v>
      </c>
      <c r="Q939" s="1">
        <v>11416.170480000001</v>
      </c>
      <c r="R939" s="1">
        <v>22</v>
      </c>
      <c r="S939" s="1" t="s">
        <v>26</v>
      </c>
    </row>
    <row r="940" spans="1:19" x14ac:dyDescent="0.35">
      <c r="A940" s="1" t="s">
        <v>1313</v>
      </c>
      <c r="B940" s="3">
        <v>45998</v>
      </c>
      <c r="C940" s="1" t="s">
        <v>67</v>
      </c>
      <c r="D940" s="1">
        <v>12</v>
      </c>
      <c r="E940" s="1" t="s">
        <v>177</v>
      </c>
      <c r="F940" s="1" t="s">
        <v>111</v>
      </c>
      <c r="G940" s="1" t="s">
        <v>23</v>
      </c>
      <c r="H940" s="1" t="s">
        <v>39</v>
      </c>
      <c r="I940" s="1" t="s">
        <v>87</v>
      </c>
      <c r="J940" s="1">
        <v>7</v>
      </c>
      <c r="K940" s="1">
        <v>17588.03</v>
      </c>
      <c r="L940" s="1">
        <v>0.2</v>
      </c>
      <c r="M940" s="1">
        <v>123116.21</v>
      </c>
      <c r="N940" s="1">
        <v>24623.241999999998</v>
      </c>
      <c r="O940" s="1">
        <v>98492.967999999993</v>
      </c>
      <c r="P940" s="1">
        <v>76824.515039999998</v>
      </c>
      <c r="Q940" s="1">
        <v>21668.452959999999</v>
      </c>
      <c r="R940" s="1">
        <v>22</v>
      </c>
      <c r="S940" s="1" t="s">
        <v>73</v>
      </c>
    </row>
    <row r="941" spans="1:19" x14ac:dyDescent="0.35">
      <c r="A941" s="1" t="s">
        <v>1314</v>
      </c>
      <c r="B941" s="3">
        <v>45884</v>
      </c>
      <c r="C941" s="1" t="s">
        <v>113</v>
      </c>
      <c r="D941" s="1">
        <v>8</v>
      </c>
      <c r="E941" s="1" t="s">
        <v>990</v>
      </c>
      <c r="F941" s="1" t="s">
        <v>52</v>
      </c>
      <c r="G941" s="1" t="s">
        <v>38</v>
      </c>
      <c r="H941" s="1" t="s">
        <v>77</v>
      </c>
      <c r="I941" s="1" t="s">
        <v>148</v>
      </c>
      <c r="J941" s="1">
        <v>3</v>
      </c>
      <c r="K941" s="1">
        <v>1052.03</v>
      </c>
      <c r="L941" s="1">
        <v>0.3</v>
      </c>
      <c r="M941" s="1">
        <v>3156.09</v>
      </c>
      <c r="N941" s="1">
        <v>946.827</v>
      </c>
      <c r="O941" s="1">
        <v>2209.2629999999999</v>
      </c>
      <c r="P941" s="1">
        <v>1590.6693600000001</v>
      </c>
      <c r="Q941" s="1">
        <v>618.59364000000005</v>
      </c>
      <c r="R941" s="1">
        <v>28</v>
      </c>
      <c r="S941" s="1" t="s">
        <v>60</v>
      </c>
    </row>
    <row r="942" spans="1:19" x14ac:dyDescent="0.35">
      <c r="A942" s="1" t="s">
        <v>1315</v>
      </c>
      <c r="B942" s="3">
        <v>45799</v>
      </c>
      <c r="C942" s="1" t="s">
        <v>97</v>
      </c>
      <c r="D942" s="1">
        <v>5</v>
      </c>
      <c r="E942" s="1" t="s">
        <v>1316</v>
      </c>
      <c r="F942" s="1" t="s">
        <v>69</v>
      </c>
      <c r="G942" s="1" t="s">
        <v>23</v>
      </c>
      <c r="H942" s="1" t="s">
        <v>24</v>
      </c>
      <c r="I942" s="1" t="s">
        <v>117</v>
      </c>
      <c r="J942" s="1">
        <v>1</v>
      </c>
      <c r="K942" s="1">
        <v>2609.44</v>
      </c>
      <c r="L942" s="1">
        <v>0.2</v>
      </c>
      <c r="M942" s="1">
        <v>2609.44</v>
      </c>
      <c r="N942" s="1">
        <v>521.88800000000003</v>
      </c>
      <c r="O942" s="1">
        <v>2087.5520000000001</v>
      </c>
      <c r="P942" s="1">
        <v>1148.1536000000001</v>
      </c>
      <c r="Q942" s="1">
        <v>939.39840000000004</v>
      </c>
      <c r="R942" s="1">
        <v>45</v>
      </c>
      <c r="S942" s="1" t="s">
        <v>60</v>
      </c>
    </row>
    <row r="943" spans="1:19" x14ac:dyDescent="0.35">
      <c r="A943" s="1" t="s">
        <v>1317</v>
      </c>
      <c r="B943" s="3">
        <v>45942</v>
      </c>
      <c r="C943" s="1" t="s">
        <v>35</v>
      </c>
      <c r="D943" s="1">
        <v>10</v>
      </c>
      <c r="E943" s="1" t="s">
        <v>116</v>
      </c>
      <c r="F943" s="1" t="s">
        <v>76</v>
      </c>
      <c r="G943" s="1" t="s">
        <v>64</v>
      </c>
      <c r="H943" s="1" t="s">
        <v>31</v>
      </c>
      <c r="I943" s="1" t="s">
        <v>59</v>
      </c>
      <c r="J943" s="1">
        <v>6</v>
      </c>
      <c r="K943" s="1">
        <v>1217.95</v>
      </c>
      <c r="L943" s="1">
        <v>0</v>
      </c>
      <c r="M943" s="1">
        <v>7307.7000000000007</v>
      </c>
      <c r="N943" s="1">
        <v>0</v>
      </c>
      <c r="O943" s="1">
        <v>7307.7000000000007</v>
      </c>
      <c r="P943" s="1">
        <v>3800.0039999999999</v>
      </c>
      <c r="Q943" s="1">
        <v>3507.6959999999999</v>
      </c>
      <c r="R943" s="1">
        <v>48</v>
      </c>
      <c r="S943" s="1" t="s">
        <v>73</v>
      </c>
    </row>
    <row r="944" spans="1:19" x14ac:dyDescent="0.35">
      <c r="A944" s="1" t="s">
        <v>1318</v>
      </c>
      <c r="B944" s="3">
        <v>45731</v>
      </c>
      <c r="C944" s="1" t="s">
        <v>28</v>
      </c>
      <c r="D944" s="1">
        <v>3</v>
      </c>
      <c r="E944" s="1" t="s">
        <v>418</v>
      </c>
      <c r="F944" s="1" t="s">
        <v>47</v>
      </c>
      <c r="G944" s="1" t="s">
        <v>64</v>
      </c>
      <c r="H944" s="1" t="s">
        <v>39</v>
      </c>
      <c r="I944" s="1" t="s">
        <v>234</v>
      </c>
      <c r="J944" s="1">
        <v>7</v>
      </c>
      <c r="K944" s="1">
        <v>8456.4599999999991</v>
      </c>
      <c r="L944" s="1">
        <v>0</v>
      </c>
      <c r="M944" s="1">
        <v>59195.219999999987</v>
      </c>
      <c r="N944" s="1">
        <v>0</v>
      </c>
      <c r="O944" s="1">
        <v>59195.219999999987</v>
      </c>
      <c r="P944" s="1">
        <v>46172.2716</v>
      </c>
      <c r="Q944" s="1">
        <v>13022.94839999999</v>
      </c>
      <c r="R944" s="1">
        <v>21.999999999999989</v>
      </c>
      <c r="S944" s="1" t="s">
        <v>26</v>
      </c>
    </row>
    <row r="945" spans="1:19" x14ac:dyDescent="0.35">
      <c r="A945" s="1" t="s">
        <v>1319</v>
      </c>
      <c r="B945" s="3">
        <v>45744</v>
      </c>
      <c r="C945" s="1" t="s">
        <v>28</v>
      </c>
      <c r="D945" s="1">
        <v>3</v>
      </c>
      <c r="E945" s="1" t="s">
        <v>405</v>
      </c>
      <c r="F945" s="1" t="s">
        <v>30</v>
      </c>
      <c r="G945" s="1" t="s">
        <v>38</v>
      </c>
      <c r="H945" s="1" t="s">
        <v>31</v>
      </c>
      <c r="I945" s="1" t="s">
        <v>65</v>
      </c>
      <c r="J945" s="1">
        <v>5</v>
      </c>
      <c r="K945" s="1">
        <v>2439.58</v>
      </c>
      <c r="L945" s="1">
        <v>0.1</v>
      </c>
      <c r="M945" s="1">
        <v>12197.9</v>
      </c>
      <c r="N945" s="1">
        <v>1219.79</v>
      </c>
      <c r="O945" s="1">
        <v>10978.11</v>
      </c>
      <c r="P945" s="1">
        <v>5708.6172000000006</v>
      </c>
      <c r="Q945" s="1">
        <v>5269.4928</v>
      </c>
      <c r="R945" s="1">
        <v>48</v>
      </c>
      <c r="S945" s="1" t="s">
        <v>33</v>
      </c>
    </row>
    <row r="946" spans="1:19" x14ac:dyDescent="0.35">
      <c r="A946" s="1" t="s">
        <v>1320</v>
      </c>
      <c r="B946" s="3">
        <v>45984</v>
      </c>
      <c r="C946" s="1" t="s">
        <v>56</v>
      </c>
      <c r="D946" s="1">
        <v>11</v>
      </c>
      <c r="E946" s="1" t="s">
        <v>169</v>
      </c>
      <c r="F946" s="1" t="s">
        <v>30</v>
      </c>
      <c r="G946" s="1" t="s">
        <v>64</v>
      </c>
      <c r="H946" s="1" t="s">
        <v>77</v>
      </c>
      <c r="I946" s="1" t="s">
        <v>148</v>
      </c>
      <c r="J946" s="1">
        <v>5</v>
      </c>
      <c r="K946" s="1">
        <v>437.37</v>
      </c>
      <c r="L946" s="1">
        <v>0.15</v>
      </c>
      <c r="M946" s="1">
        <v>2186.85</v>
      </c>
      <c r="N946" s="1">
        <v>328.02749999999997</v>
      </c>
      <c r="O946" s="1">
        <v>1858.8225</v>
      </c>
      <c r="P946" s="1">
        <v>1338.3522</v>
      </c>
      <c r="Q946" s="1">
        <v>520.47029999999995</v>
      </c>
      <c r="R946" s="1">
        <v>28</v>
      </c>
      <c r="S946" s="1" t="s">
        <v>93</v>
      </c>
    </row>
    <row r="947" spans="1:19" x14ac:dyDescent="0.35">
      <c r="A947" s="1" t="s">
        <v>1321</v>
      </c>
      <c r="B947" s="3">
        <v>45770</v>
      </c>
      <c r="C947" s="1" t="s">
        <v>20</v>
      </c>
      <c r="D947" s="1">
        <v>4</v>
      </c>
      <c r="E947" s="1" t="s">
        <v>439</v>
      </c>
      <c r="F947" s="1" t="s">
        <v>111</v>
      </c>
      <c r="G947" s="1" t="s">
        <v>23</v>
      </c>
      <c r="H947" s="1" t="s">
        <v>24</v>
      </c>
      <c r="I947" s="1" t="s">
        <v>44</v>
      </c>
      <c r="J947" s="1">
        <v>5</v>
      </c>
      <c r="K947" s="1">
        <v>4178.1400000000003</v>
      </c>
      <c r="L947" s="1">
        <v>0.1</v>
      </c>
      <c r="M947" s="1">
        <v>20890.7</v>
      </c>
      <c r="N947" s="1">
        <v>2089.0700000000002</v>
      </c>
      <c r="O947" s="1">
        <v>18801.63</v>
      </c>
      <c r="P947" s="1">
        <v>10340.896500000001</v>
      </c>
      <c r="Q947" s="1">
        <v>8460.7335000000003</v>
      </c>
      <c r="R947" s="1">
        <v>45</v>
      </c>
      <c r="S947" s="1" t="s">
        <v>73</v>
      </c>
    </row>
    <row r="948" spans="1:19" x14ac:dyDescent="0.35">
      <c r="A948" s="1" t="s">
        <v>1322</v>
      </c>
      <c r="B948" s="3">
        <v>45939</v>
      </c>
      <c r="C948" s="1" t="s">
        <v>35</v>
      </c>
      <c r="D948" s="1">
        <v>10</v>
      </c>
      <c r="E948" s="1" t="s">
        <v>119</v>
      </c>
      <c r="F948" s="1" t="s">
        <v>76</v>
      </c>
      <c r="G948" s="1" t="s">
        <v>64</v>
      </c>
      <c r="H948" s="1" t="s">
        <v>39</v>
      </c>
      <c r="I948" s="1" t="s">
        <v>155</v>
      </c>
      <c r="J948" s="1">
        <v>4</v>
      </c>
      <c r="K948" s="1">
        <v>22456.09</v>
      </c>
      <c r="L948" s="1">
        <v>0.25</v>
      </c>
      <c r="M948" s="1">
        <v>89824.36</v>
      </c>
      <c r="N948" s="1">
        <v>22456.09</v>
      </c>
      <c r="O948" s="1">
        <v>67368.27</v>
      </c>
      <c r="P948" s="1">
        <v>52547.250600000007</v>
      </c>
      <c r="Q948" s="1">
        <v>14821.019399999999</v>
      </c>
      <c r="R948" s="1">
        <v>21.999999999999989</v>
      </c>
      <c r="S948" s="1" t="s">
        <v>73</v>
      </c>
    </row>
    <row r="949" spans="1:19" x14ac:dyDescent="0.35">
      <c r="A949" s="1" t="s">
        <v>1323</v>
      </c>
      <c r="B949" s="3">
        <v>45744</v>
      </c>
      <c r="C949" s="1" t="s">
        <v>28</v>
      </c>
      <c r="D949" s="1">
        <v>3</v>
      </c>
      <c r="E949" s="1" t="s">
        <v>89</v>
      </c>
      <c r="F949" s="1" t="s">
        <v>43</v>
      </c>
      <c r="G949" s="1" t="s">
        <v>38</v>
      </c>
      <c r="H949" s="1" t="s">
        <v>99</v>
      </c>
      <c r="I949" s="1" t="s">
        <v>108</v>
      </c>
      <c r="J949" s="1">
        <v>6</v>
      </c>
      <c r="K949" s="1">
        <v>10098.68</v>
      </c>
      <c r="L949" s="1">
        <v>0.1</v>
      </c>
      <c r="M949" s="1">
        <v>60592.08</v>
      </c>
      <c r="N949" s="1">
        <v>6059.2080000000014</v>
      </c>
      <c r="O949" s="1">
        <v>54532.872000000003</v>
      </c>
      <c r="P949" s="1">
        <v>37082.352959999997</v>
      </c>
      <c r="Q949" s="1">
        <v>17450.519039999999</v>
      </c>
      <c r="R949" s="1">
        <v>32</v>
      </c>
      <c r="S949" s="1" t="s">
        <v>26</v>
      </c>
    </row>
    <row r="950" spans="1:19" x14ac:dyDescent="0.35">
      <c r="A950" s="1" t="s">
        <v>1324</v>
      </c>
      <c r="B950" s="3">
        <v>45875</v>
      </c>
      <c r="C950" s="1" t="s">
        <v>113</v>
      </c>
      <c r="D950" s="1">
        <v>8</v>
      </c>
      <c r="E950" s="1" t="s">
        <v>236</v>
      </c>
      <c r="F950" s="1" t="s">
        <v>76</v>
      </c>
      <c r="G950" s="1" t="s">
        <v>23</v>
      </c>
      <c r="H950" s="1" t="s">
        <v>39</v>
      </c>
      <c r="I950" s="1" t="s">
        <v>87</v>
      </c>
      <c r="J950" s="1">
        <v>2</v>
      </c>
      <c r="K950" s="1">
        <v>39939.870000000003</v>
      </c>
      <c r="L950" s="1">
        <v>0.15</v>
      </c>
      <c r="M950" s="1">
        <v>79879.740000000005</v>
      </c>
      <c r="N950" s="1">
        <v>11981.960999999999</v>
      </c>
      <c r="O950" s="1">
        <v>67897.77900000001</v>
      </c>
      <c r="P950" s="1">
        <v>52960.267620000013</v>
      </c>
      <c r="Q950" s="1">
        <v>14937.51138</v>
      </c>
      <c r="R950" s="1">
        <v>22</v>
      </c>
      <c r="S950" s="1" t="s">
        <v>93</v>
      </c>
    </row>
    <row r="951" spans="1:19" x14ac:dyDescent="0.35">
      <c r="A951" s="1" t="s">
        <v>1325</v>
      </c>
      <c r="B951" s="3">
        <v>45856</v>
      </c>
      <c r="C951" s="1" t="s">
        <v>62</v>
      </c>
      <c r="D951" s="1">
        <v>7</v>
      </c>
      <c r="E951" s="1" t="s">
        <v>521</v>
      </c>
      <c r="F951" s="1" t="s">
        <v>22</v>
      </c>
      <c r="G951" s="1" t="s">
        <v>23</v>
      </c>
      <c r="H951" s="1" t="s">
        <v>31</v>
      </c>
      <c r="I951" s="1" t="s">
        <v>65</v>
      </c>
      <c r="J951" s="1">
        <v>3</v>
      </c>
      <c r="K951" s="1">
        <v>2958.59</v>
      </c>
      <c r="L951" s="1">
        <v>0.05</v>
      </c>
      <c r="M951" s="1">
        <v>8875.77</v>
      </c>
      <c r="N951" s="1">
        <v>443.78850000000011</v>
      </c>
      <c r="O951" s="1">
        <v>8431.9814999999999</v>
      </c>
      <c r="P951" s="1">
        <v>4384.6303800000014</v>
      </c>
      <c r="Q951" s="1">
        <v>4047.3511199999989</v>
      </c>
      <c r="R951" s="1">
        <v>47.999999999999993</v>
      </c>
      <c r="S951" s="1" t="s">
        <v>60</v>
      </c>
    </row>
    <row r="952" spans="1:19" x14ac:dyDescent="0.35">
      <c r="A952" s="1" t="s">
        <v>1326</v>
      </c>
      <c r="B952" s="3">
        <v>45938</v>
      </c>
      <c r="C952" s="1" t="s">
        <v>35</v>
      </c>
      <c r="D952" s="1">
        <v>10</v>
      </c>
      <c r="E952" s="1" t="s">
        <v>173</v>
      </c>
      <c r="F952" s="1" t="s">
        <v>37</v>
      </c>
      <c r="G952" s="1" t="s">
        <v>64</v>
      </c>
      <c r="H952" s="1" t="s">
        <v>39</v>
      </c>
      <c r="I952" s="1" t="s">
        <v>87</v>
      </c>
      <c r="J952" s="1">
        <v>1</v>
      </c>
      <c r="K952" s="1">
        <v>11489.35</v>
      </c>
      <c r="L952" s="1">
        <v>0.15</v>
      </c>
      <c r="M952" s="1">
        <v>11489.35</v>
      </c>
      <c r="N952" s="1">
        <v>1723.4024999999999</v>
      </c>
      <c r="O952" s="1">
        <v>9765.9475000000002</v>
      </c>
      <c r="P952" s="1">
        <v>7617.4390500000009</v>
      </c>
      <c r="Q952" s="1">
        <v>2148.5084499999989</v>
      </c>
      <c r="R952" s="1">
        <v>21.999999999999989</v>
      </c>
      <c r="S952" s="1" t="s">
        <v>33</v>
      </c>
    </row>
    <row r="953" spans="1:19" x14ac:dyDescent="0.35">
      <c r="A953" s="1" t="s">
        <v>1327</v>
      </c>
      <c r="B953" s="3">
        <v>45746</v>
      </c>
      <c r="C953" s="1" t="s">
        <v>28</v>
      </c>
      <c r="D953" s="1">
        <v>3</v>
      </c>
      <c r="E953" s="1" t="s">
        <v>274</v>
      </c>
      <c r="F953" s="1" t="s">
        <v>30</v>
      </c>
      <c r="G953" s="1" t="s">
        <v>64</v>
      </c>
      <c r="H953" s="1" t="s">
        <v>77</v>
      </c>
      <c r="I953" s="1" t="s">
        <v>78</v>
      </c>
      <c r="J953" s="1">
        <v>4</v>
      </c>
      <c r="K953" s="1">
        <v>1004.09</v>
      </c>
      <c r="L953" s="1">
        <v>0.15</v>
      </c>
      <c r="M953" s="1">
        <v>4016.36</v>
      </c>
      <c r="N953" s="1">
        <v>602.45399999999995</v>
      </c>
      <c r="O953" s="1">
        <v>3413.9059999999999</v>
      </c>
      <c r="P953" s="1">
        <v>2458.0123199999998</v>
      </c>
      <c r="Q953" s="1">
        <v>955.89368000000013</v>
      </c>
      <c r="R953" s="1">
        <v>28</v>
      </c>
      <c r="S953" s="1" t="s">
        <v>93</v>
      </c>
    </row>
    <row r="954" spans="1:19" x14ac:dyDescent="0.35">
      <c r="A954" s="1" t="s">
        <v>1328</v>
      </c>
      <c r="B954" s="3">
        <v>45778</v>
      </c>
      <c r="C954" s="1" t="s">
        <v>97</v>
      </c>
      <c r="D954" s="1">
        <v>5</v>
      </c>
      <c r="E954" s="1" t="s">
        <v>450</v>
      </c>
      <c r="F954" s="1" t="s">
        <v>69</v>
      </c>
      <c r="G954" s="1" t="s">
        <v>64</v>
      </c>
      <c r="H954" s="1" t="s">
        <v>39</v>
      </c>
      <c r="I954" s="1" t="s">
        <v>87</v>
      </c>
      <c r="J954" s="1">
        <v>3</v>
      </c>
      <c r="K954" s="1">
        <v>36950.15</v>
      </c>
      <c r="L954" s="1">
        <v>0.1</v>
      </c>
      <c r="M954" s="1">
        <v>110850.45</v>
      </c>
      <c r="N954" s="1">
        <v>11085.045</v>
      </c>
      <c r="O954" s="1">
        <v>99765.405000000013</v>
      </c>
      <c r="P954" s="1">
        <v>77817.015900000013</v>
      </c>
      <c r="Q954" s="1">
        <v>21948.3891</v>
      </c>
      <c r="R954" s="1">
        <v>22</v>
      </c>
      <c r="S954" s="1" t="s">
        <v>93</v>
      </c>
    </row>
    <row r="955" spans="1:19" x14ac:dyDescent="0.35">
      <c r="A955" s="1" t="s">
        <v>1329</v>
      </c>
      <c r="B955" s="3">
        <v>45925</v>
      </c>
      <c r="C955" s="1" t="s">
        <v>50</v>
      </c>
      <c r="D955" s="1">
        <v>9</v>
      </c>
      <c r="E955" s="1" t="s">
        <v>409</v>
      </c>
      <c r="F955" s="1" t="s">
        <v>58</v>
      </c>
      <c r="G955" s="1" t="s">
        <v>23</v>
      </c>
      <c r="H955" s="1" t="s">
        <v>53</v>
      </c>
      <c r="I955" s="1" t="s">
        <v>185</v>
      </c>
      <c r="J955" s="1">
        <v>1</v>
      </c>
      <c r="K955" s="1">
        <v>2069.54</v>
      </c>
      <c r="L955" s="1">
        <v>0</v>
      </c>
      <c r="M955" s="1">
        <v>2069.54</v>
      </c>
      <c r="N955" s="1">
        <v>0</v>
      </c>
      <c r="O955" s="1">
        <v>2069.54</v>
      </c>
      <c r="P955" s="1">
        <v>1200.3332</v>
      </c>
      <c r="Q955" s="1">
        <v>869.20680000000016</v>
      </c>
      <c r="R955" s="1">
        <v>42.000000000000007</v>
      </c>
      <c r="S955" s="1" t="s">
        <v>73</v>
      </c>
    </row>
    <row r="956" spans="1:19" x14ac:dyDescent="0.35">
      <c r="A956" s="1" t="s">
        <v>1330</v>
      </c>
      <c r="B956" s="3">
        <v>45737</v>
      </c>
      <c r="C956" s="1" t="s">
        <v>28</v>
      </c>
      <c r="D956" s="1">
        <v>3</v>
      </c>
      <c r="E956" s="1" t="s">
        <v>559</v>
      </c>
      <c r="F956" s="1" t="s">
        <v>58</v>
      </c>
      <c r="G956" s="1" t="s">
        <v>64</v>
      </c>
      <c r="H956" s="1" t="s">
        <v>77</v>
      </c>
      <c r="I956" s="1" t="s">
        <v>90</v>
      </c>
      <c r="J956" s="1">
        <v>4</v>
      </c>
      <c r="K956" s="1">
        <v>717.92</v>
      </c>
      <c r="L956" s="1">
        <v>0.15</v>
      </c>
      <c r="M956" s="1">
        <v>2871.68</v>
      </c>
      <c r="N956" s="1">
        <v>430.75200000000001</v>
      </c>
      <c r="O956" s="1">
        <v>2440.9279999999999</v>
      </c>
      <c r="P956" s="1">
        <v>1757.4681599999999</v>
      </c>
      <c r="Q956" s="1">
        <v>683.45983999999999</v>
      </c>
      <c r="R956" s="1">
        <v>28</v>
      </c>
      <c r="S956" s="1" t="s">
        <v>93</v>
      </c>
    </row>
    <row r="957" spans="1:19" x14ac:dyDescent="0.35">
      <c r="A957" s="1" t="s">
        <v>1331</v>
      </c>
      <c r="B957" s="3">
        <v>45935</v>
      </c>
      <c r="C957" s="1" t="s">
        <v>35</v>
      </c>
      <c r="D957" s="1">
        <v>10</v>
      </c>
      <c r="E957" s="1" t="s">
        <v>194</v>
      </c>
      <c r="F957" s="1" t="s">
        <v>47</v>
      </c>
      <c r="G957" s="1" t="s">
        <v>64</v>
      </c>
      <c r="H957" s="1" t="s">
        <v>39</v>
      </c>
      <c r="I957" s="1" t="s">
        <v>40</v>
      </c>
      <c r="J957" s="1">
        <v>1</v>
      </c>
      <c r="K957" s="1">
        <v>14849.08</v>
      </c>
      <c r="L957" s="1">
        <v>0.1</v>
      </c>
      <c r="M957" s="1">
        <v>14849.08</v>
      </c>
      <c r="N957" s="1">
        <v>1484.9079999999999</v>
      </c>
      <c r="O957" s="1">
        <v>13364.172</v>
      </c>
      <c r="P957" s="1">
        <v>10424.05416</v>
      </c>
      <c r="Q957" s="1">
        <v>2940.117839999999</v>
      </c>
      <c r="R957" s="1">
        <v>21.999999999999989</v>
      </c>
      <c r="S957" s="1" t="s">
        <v>60</v>
      </c>
    </row>
    <row r="958" spans="1:19" x14ac:dyDescent="0.35">
      <c r="A958" s="1" t="s">
        <v>1332</v>
      </c>
      <c r="B958" s="3">
        <v>45658</v>
      </c>
      <c r="C958" s="1" t="s">
        <v>193</v>
      </c>
      <c r="D958" s="1">
        <v>1</v>
      </c>
      <c r="E958" s="1" t="s">
        <v>1013</v>
      </c>
      <c r="F958" s="1" t="s">
        <v>47</v>
      </c>
      <c r="G958" s="1" t="s">
        <v>64</v>
      </c>
      <c r="H958" s="1" t="s">
        <v>24</v>
      </c>
      <c r="I958" s="1" t="s">
        <v>44</v>
      </c>
      <c r="J958" s="1">
        <v>6</v>
      </c>
      <c r="K958" s="1">
        <v>5691.98</v>
      </c>
      <c r="L958" s="1">
        <v>0</v>
      </c>
      <c r="M958" s="1">
        <v>34151.879999999997</v>
      </c>
      <c r="N958" s="1">
        <v>0</v>
      </c>
      <c r="O958" s="1">
        <v>34151.879999999997</v>
      </c>
      <c r="P958" s="1">
        <v>18783.534</v>
      </c>
      <c r="Q958" s="1">
        <v>15368.346</v>
      </c>
      <c r="R958" s="1">
        <v>44.999999999999993</v>
      </c>
      <c r="S958" s="1" t="s">
        <v>60</v>
      </c>
    </row>
    <row r="959" spans="1:19" x14ac:dyDescent="0.35">
      <c r="A959" s="1" t="s">
        <v>1333</v>
      </c>
      <c r="B959" s="3">
        <v>45996</v>
      </c>
      <c r="C959" s="1" t="s">
        <v>67</v>
      </c>
      <c r="D959" s="1">
        <v>12</v>
      </c>
      <c r="E959" s="1" t="s">
        <v>316</v>
      </c>
      <c r="F959" s="1" t="s">
        <v>30</v>
      </c>
      <c r="G959" s="1" t="s">
        <v>38</v>
      </c>
      <c r="H959" s="1" t="s">
        <v>77</v>
      </c>
      <c r="I959" s="1" t="s">
        <v>201</v>
      </c>
      <c r="J959" s="1">
        <v>5</v>
      </c>
      <c r="K959" s="1">
        <v>480.45</v>
      </c>
      <c r="L959" s="1">
        <v>0.05</v>
      </c>
      <c r="M959" s="1">
        <v>2402.25</v>
      </c>
      <c r="N959" s="1">
        <v>120.1125</v>
      </c>
      <c r="O959" s="1">
        <v>2282.1374999999998</v>
      </c>
      <c r="P959" s="1">
        <v>1643.1389999999999</v>
      </c>
      <c r="Q959" s="1">
        <v>638.99849999999992</v>
      </c>
      <c r="R959" s="1">
        <v>28</v>
      </c>
      <c r="S959" s="1" t="s">
        <v>73</v>
      </c>
    </row>
    <row r="960" spans="1:19" x14ac:dyDescent="0.35">
      <c r="A960" s="1" t="s">
        <v>1334</v>
      </c>
      <c r="B960" s="3">
        <v>45752</v>
      </c>
      <c r="C960" s="1" t="s">
        <v>20</v>
      </c>
      <c r="D960" s="1">
        <v>4</v>
      </c>
      <c r="E960" s="1" t="s">
        <v>150</v>
      </c>
      <c r="F960" s="1" t="s">
        <v>52</v>
      </c>
      <c r="G960" s="1" t="s">
        <v>64</v>
      </c>
      <c r="H960" s="1" t="s">
        <v>39</v>
      </c>
      <c r="I960" s="1" t="s">
        <v>40</v>
      </c>
      <c r="J960" s="1">
        <v>7</v>
      </c>
      <c r="K960" s="1">
        <v>26250.33</v>
      </c>
      <c r="L960" s="1">
        <v>0.15</v>
      </c>
      <c r="M960" s="1">
        <v>183752.31</v>
      </c>
      <c r="N960" s="1">
        <v>27562.8465</v>
      </c>
      <c r="O960" s="1">
        <v>156189.46350000001</v>
      </c>
      <c r="P960" s="1">
        <v>121827.78152999999</v>
      </c>
      <c r="Q960" s="1">
        <v>34361.681970000012</v>
      </c>
      <c r="R960" s="1">
        <v>22</v>
      </c>
      <c r="S960" s="1" t="s">
        <v>93</v>
      </c>
    </row>
    <row r="961" spans="1:19" x14ac:dyDescent="0.35">
      <c r="A961" s="1" t="s">
        <v>1335</v>
      </c>
      <c r="B961" s="3">
        <v>45976</v>
      </c>
      <c r="C961" s="1" t="s">
        <v>56</v>
      </c>
      <c r="D961" s="1">
        <v>11</v>
      </c>
      <c r="E961" s="1" t="s">
        <v>1336</v>
      </c>
      <c r="F961" s="1" t="s">
        <v>76</v>
      </c>
      <c r="G961" s="1" t="s">
        <v>64</v>
      </c>
      <c r="H961" s="1" t="s">
        <v>39</v>
      </c>
      <c r="I961" s="1" t="s">
        <v>40</v>
      </c>
      <c r="J961" s="1">
        <v>6</v>
      </c>
      <c r="K961" s="1">
        <v>34954.120000000003</v>
      </c>
      <c r="L961" s="1">
        <v>0</v>
      </c>
      <c r="M961" s="1">
        <v>209724.72</v>
      </c>
      <c r="N961" s="1">
        <v>0</v>
      </c>
      <c r="O961" s="1">
        <v>209724.72</v>
      </c>
      <c r="P961" s="1">
        <v>163585.28159999999</v>
      </c>
      <c r="Q961" s="1">
        <v>46139.438400000006</v>
      </c>
      <c r="R961" s="1">
        <v>22</v>
      </c>
      <c r="S961" s="1" t="s">
        <v>60</v>
      </c>
    </row>
    <row r="962" spans="1:19" x14ac:dyDescent="0.35">
      <c r="A962" s="1" t="s">
        <v>1337</v>
      </c>
      <c r="B962" s="3">
        <v>45926</v>
      </c>
      <c r="C962" s="1" t="s">
        <v>50</v>
      </c>
      <c r="D962" s="1">
        <v>9</v>
      </c>
      <c r="E962" s="1" t="s">
        <v>363</v>
      </c>
      <c r="F962" s="1" t="s">
        <v>47</v>
      </c>
      <c r="G962" s="1" t="s">
        <v>64</v>
      </c>
      <c r="H962" s="1" t="s">
        <v>31</v>
      </c>
      <c r="I962" s="1" t="s">
        <v>167</v>
      </c>
      <c r="J962" s="1">
        <v>4</v>
      </c>
      <c r="K962" s="1">
        <v>718.88</v>
      </c>
      <c r="L962" s="1">
        <v>0.15</v>
      </c>
      <c r="M962" s="1">
        <v>2875.52</v>
      </c>
      <c r="N962" s="1">
        <v>431.32799999999997</v>
      </c>
      <c r="O962" s="1">
        <v>2444.192</v>
      </c>
      <c r="P962" s="1">
        <v>1270.97984</v>
      </c>
      <c r="Q962" s="1">
        <v>1173.21216</v>
      </c>
      <c r="R962" s="1">
        <v>48.000000000000007</v>
      </c>
      <c r="S962" s="1" t="s">
        <v>73</v>
      </c>
    </row>
    <row r="963" spans="1:19" x14ac:dyDescent="0.35">
      <c r="A963" s="1" t="s">
        <v>1338</v>
      </c>
      <c r="B963" s="3">
        <v>45686</v>
      </c>
      <c r="C963" s="1" t="s">
        <v>193</v>
      </c>
      <c r="D963" s="1">
        <v>1</v>
      </c>
      <c r="E963" s="1" t="s">
        <v>561</v>
      </c>
      <c r="F963" s="1" t="s">
        <v>69</v>
      </c>
      <c r="G963" s="1" t="s">
        <v>64</v>
      </c>
      <c r="H963" s="1" t="s">
        <v>53</v>
      </c>
      <c r="I963" s="1" t="s">
        <v>128</v>
      </c>
      <c r="J963" s="1">
        <v>4</v>
      </c>
      <c r="K963" s="1">
        <v>198.28</v>
      </c>
      <c r="L963" s="1">
        <v>0.1</v>
      </c>
      <c r="M963" s="1">
        <v>793.12</v>
      </c>
      <c r="N963" s="1">
        <v>79.312000000000012</v>
      </c>
      <c r="O963" s="1">
        <v>713.80799999999999</v>
      </c>
      <c r="P963" s="1">
        <v>414.00864000000001</v>
      </c>
      <c r="Q963" s="1">
        <v>299.79935999999998</v>
      </c>
      <c r="R963" s="1">
        <v>42.000000000000007</v>
      </c>
      <c r="S963" s="1" t="s">
        <v>73</v>
      </c>
    </row>
    <row r="964" spans="1:19" x14ac:dyDescent="0.35">
      <c r="A964" s="1" t="s">
        <v>1339</v>
      </c>
      <c r="B964" s="3">
        <v>45894</v>
      </c>
      <c r="C964" s="1" t="s">
        <v>113</v>
      </c>
      <c r="D964" s="1">
        <v>8</v>
      </c>
      <c r="E964" s="1" t="s">
        <v>150</v>
      </c>
      <c r="F964" s="1" t="s">
        <v>43</v>
      </c>
      <c r="G964" s="1" t="s">
        <v>23</v>
      </c>
      <c r="H964" s="1" t="s">
        <v>31</v>
      </c>
      <c r="I964" s="1" t="s">
        <v>65</v>
      </c>
      <c r="J964" s="1">
        <v>7</v>
      </c>
      <c r="K964" s="1">
        <v>2038.12</v>
      </c>
      <c r="L964" s="1">
        <v>0.25</v>
      </c>
      <c r="M964" s="1">
        <v>14266.84</v>
      </c>
      <c r="N964" s="1">
        <v>3566.71</v>
      </c>
      <c r="O964" s="1">
        <v>10700.13</v>
      </c>
      <c r="P964" s="1">
        <v>5564.0676000000003</v>
      </c>
      <c r="Q964" s="1">
        <v>5136.0624000000007</v>
      </c>
      <c r="R964" s="1">
        <v>48.000000000000007</v>
      </c>
      <c r="S964" s="1" t="s">
        <v>93</v>
      </c>
    </row>
    <row r="965" spans="1:19" x14ac:dyDescent="0.35">
      <c r="A965" s="1" t="s">
        <v>1340</v>
      </c>
      <c r="B965" s="3">
        <v>45743</v>
      </c>
      <c r="C965" s="1" t="s">
        <v>28</v>
      </c>
      <c r="D965" s="1">
        <v>3</v>
      </c>
      <c r="E965" s="1" t="s">
        <v>29</v>
      </c>
      <c r="F965" s="1" t="s">
        <v>30</v>
      </c>
      <c r="G965" s="1" t="s">
        <v>23</v>
      </c>
      <c r="H965" s="1" t="s">
        <v>39</v>
      </c>
      <c r="I965" s="1" t="s">
        <v>155</v>
      </c>
      <c r="J965" s="1">
        <v>7</v>
      </c>
      <c r="K965" s="1">
        <v>14833.62</v>
      </c>
      <c r="L965" s="1">
        <v>0.1</v>
      </c>
      <c r="M965" s="1">
        <v>103835.34</v>
      </c>
      <c r="N965" s="1">
        <v>10383.534</v>
      </c>
      <c r="O965" s="1">
        <v>93451.806000000011</v>
      </c>
      <c r="P965" s="1">
        <v>72892.408680000008</v>
      </c>
      <c r="Q965" s="1">
        <v>20559.39732</v>
      </c>
      <c r="R965" s="1">
        <v>22</v>
      </c>
      <c r="S965" s="1" t="s">
        <v>26</v>
      </c>
    </row>
    <row r="966" spans="1:19" x14ac:dyDescent="0.35">
      <c r="A966" s="1" t="s">
        <v>1341</v>
      </c>
      <c r="B966" s="3">
        <v>45999</v>
      </c>
      <c r="C966" s="1" t="s">
        <v>67</v>
      </c>
      <c r="D966" s="1">
        <v>12</v>
      </c>
      <c r="E966" s="1" t="s">
        <v>299</v>
      </c>
      <c r="F966" s="1" t="s">
        <v>58</v>
      </c>
      <c r="G966" s="1" t="s">
        <v>64</v>
      </c>
      <c r="H966" s="1" t="s">
        <v>53</v>
      </c>
      <c r="I966" s="1" t="s">
        <v>123</v>
      </c>
      <c r="J966" s="1">
        <v>5</v>
      </c>
      <c r="K966" s="1">
        <v>2048.58</v>
      </c>
      <c r="L966" s="1">
        <v>0.2</v>
      </c>
      <c r="M966" s="1">
        <v>10242.9</v>
      </c>
      <c r="N966" s="1">
        <v>2048.58</v>
      </c>
      <c r="O966" s="1">
        <v>8194.32</v>
      </c>
      <c r="P966" s="1">
        <v>4752.7055999999993</v>
      </c>
      <c r="Q966" s="1">
        <v>3441.6143999999999</v>
      </c>
      <c r="R966" s="1">
        <v>42.000000000000007</v>
      </c>
      <c r="S966" s="1" t="s">
        <v>93</v>
      </c>
    </row>
    <row r="967" spans="1:19" x14ac:dyDescent="0.35">
      <c r="A967" s="1" t="s">
        <v>1342</v>
      </c>
      <c r="B967" s="3">
        <v>45698</v>
      </c>
      <c r="C967" s="1" t="s">
        <v>42</v>
      </c>
      <c r="D967" s="1">
        <v>2</v>
      </c>
      <c r="E967" s="1" t="s">
        <v>405</v>
      </c>
      <c r="F967" s="1" t="s">
        <v>111</v>
      </c>
      <c r="G967" s="1" t="s">
        <v>64</v>
      </c>
      <c r="H967" s="1" t="s">
        <v>53</v>
      </c>
      <c r="I967" s="1" t="s">
        <v>185</v>
      </c>
      <c r="J967" s="1">
        <v>6</v>
      </c>
      <c r="K967" s="1">
        <v>192.07</v>
      </c>
      <c r="L967" s="1">
        <v>0.15</v>
      </c>
      <c r="M967" s="1">
        <v>1152.42</v>
      </c>
      <c r="N967" s="1">
        <v>172.863</v>
      </c>
      <c r="O967" s="1">
        <v>979.55700000000002</v>
      </c>
      <c r="P967" s="1">
        <v>568.14305999999999</v>
      </c>
      <c r="Q967" s="1">
        <v>411.41394000000003</v>
      </c>
      <c r="R967" s="1">
        <v>42.000000000000007</v>
      </c>
      <c r="S967" s="1" t="s">
        <v>60</v>
      </c>
    </row>
    <row r="968" spans="1:19" x14ac:dyDescent="0.35">
      <c r="A968" s="1" t="s">
        <v>1343</v>
      </c>
      <c r="B968" s="3">
        <v>45865</v>
      </c>
      <c r="C968" s="1" t="s">
        <v>62</v>
      </c>
      <c r="D968" s="1">
        <v>7</v>
      </c>
      <c r="E968" s="1" t="s">
        <v>764</v>
      </c>
      <c r="F968" s="1" t="s">
        <v>30</v>
      </c>
      <c r="G968" s="1" t="s">
        <v>38</v>
      </c>
      <c r="H968" s="1" t="s">
        <v>31</v>
      </c>
      <c r="I968" s="1" t="s">
        <v>32</v>
      </c>
      <c r="J968" s="1">
        <v>2</v>
      </c>
      <c r="K968" s="1">
        <v>2958.08</v>
      </c>
      <c r="L968" s="1">
        <v>0.1</v>
      </c>
      <c r="M968" s="1">
        <v>5916.16</v>
      </c>
      <c r="N968" s="1">
        <v>591.61599999999999</v>
      </c>
      <c r="O968" s="1">
        <v>5324.5439999999999</v>
      </c>
      <c r="P968" s="1">
        <v>2768.7628800000002</v>
      </c>
      <c r="Q968" s="1">
        <v>2555.7811200000001</v>
      </c>
      <c r="R968" s="1">
        <v>47.999999999999993</v>
      </c>
      <c r="S968" s="1" t="s">
        <v>33</v>
      </c>
    </row>
    <row r="969" spans="1:19" x14ac:dyDescent="0.35">
      <c r="A969" s="1" t="s">
        <v>1344</v>
      </c>
      <c r="B969" s="3">
        <v>45811</v>
      </c>
      <c r="C969" s="1" t="s">
        <v>82</v>
      </c>
      <c r="D969" s="1">
        <v>6</v>
      </c>
      <c r="E969" s="1" t="s">
        <v>267</v>
      </c>
      <c r="F969" s="1" t="s">
        <v>22</v>
      </c>
      <c r="G969" s="1" t="s">
        <v>38</v>
      </c>
      <c r="H969" s="1" t="s">
        <v>99</v>
      </c>
      <c r="I969" s="1" t="s">
        <v>100</v>
      </c>
      <c r="J969" s="1">
        <v>7</v>
      </c>
      <c r="K969" s="1">
        <v>14261.44</v>
      </c>
      <c r="L969" s="1">
        <v>0.05</v>
      </c>
      <c r="M969" s="1">
        <v>99830.080000000002</v>
      </c>
      <c r="N969" s="1">
        <v>4991.5040000000008</v>
      </c>
      <c r="O969" s="1">
        <v>94838.576000000001</v>
      </c>
      <c r="P969" s="1">
        <v>64490.231679999997</v>
      </c>
      <c r="Q969" s="1">
        <v>30348.34432</v>
      </c>
      <c r="R969" s="1">
        <v>32</v>
      </c>
      <c r="S969" s="1" t="s">
        <v>33</v>
      </c>
    </row>
    <row r="970" spans="1:19" x14ac:dyDescent="0.35">
      <c r="A970" s="1" t="s">
        <v>1345</v>
      </c>
      <c r="B970" s="3">
        <v>45820</v>
      </c>
      <c r="C970" s="1" t="s">
        <v>82</v>
      </c>
      <c r="D970" s="1">
        <v>6</v>
      </c>
      <c r="E970" s="1" t="s">
        <v>914</v>
      </c>
      <c r="F970" s="1" t="s">
        <v>76</v>
      </c>
      <c r="G970" s="1" t="s">
        <v>64</v>
      </c>
      <c r="H970" s="1" t="s">
        <v>53</v>
      </c>
      <c r="I970" s="1" t="s">
        <v>54</v>
      </c>
      <c r="J970" s="1">
        <v>5</v>
      </c>
      <c r="K970" s="1">
        <v>1298.18</v>
      </c>
      <c r="L970" s="1">
        <v>0.05</v>
      </c>
      <c r="M970" s="1">
        <v>6490.9000000000005</v>
      </c>
      <c r="N970" s="1">
        <v>324.54500000000007</v>
      </c>
      <c r="O970" s="1">
        <v>6166.3549999999996</v>
      </c>
      <c r="P970" s="1">
        <v>3576.4859000000001</v>
      </c>
      <c r="Q970" s="1">
        <v>2589.8690999999999</v>
      </c>
      <c r="R970" s="1">
        <v>42.000000000000007</v>
      </c>
      <c r="S970" s="1" t="s">
        <v>33</v>
      </c>
    </row>
    <row r="971" spans="1:19" x14ac:dyDescent="0.35">
      <c r="A971" s="1" t="s">
        <v>1346</v>
      </c>
      <c r="B971" s="3">
        <v>45804</v>
      </c>
      <c r="C971" s="1" t="s">
        <v>97</v>
      </c>
      <c r="D971" s="1">
        <v>5</v>
      </c>
      <c r="E971" s="1" t="s">
        <v>723</v>
      </c>
      <c r="F971" s="1" t="s">
        <v>69</v>
      </c>
      <c r="G971" s="1" t="s">
        <v>64</v>
      </c>
      <c r="H971" s="1" t="s">
        <v>53</v>
      </c>
      <c r="I971" s="1" t="s">
        <v>54</v>
      </c>
      <c r="J971" s="1">
        <v>4</v>
      </c>
      <c r="K971" s="1">
        <v>1497.75</v>
      </c>
      <c r="L971" s="1">
        <v>0.05</v>
      </c>
      <c r="M971" s="1">
        <v>5991</v>
      </c>
      <c r="N971" s="1">
        <v>299.55</v>
      </c>
      <c r="O971" s="1">
        <v>5691.45</v>
      </c>
      <c r="P971" s="1">
        <v>3301.0410000000002</v>
      </c>
      <c r="Q971" s="1">
        <v>2390.4090000000001</v>
      </c>
      <c r="R971" s="1">
        <v>42.000000000000007</v>
      </c>
      <c r="S971" s="1" t="s">
        <v>33</v>
      </c>
    </row>
    <row r="972" spans="1:19" x14ac:dyDescent="0.35">
      <c r="A972" s="1" t="s">
        <v>1347</v>
      </c>
      <c r="B972" s="3">
        <v>45741</v>
      </c>
      <c r="C972" s="1" t="s">
        <v>28</v>
      </c>
      <c r="D972" s="1">
        <v>3</v>
      </c>
      <c r="E972" s="1" t="s">
        <v>468</v>
      </c>
      <c r="F972" s="1" t="s">
        <v>30</v>
      </c>
      <c r="G972" s="1" t="s">
        <v>38</v>
      </c>
      <c r="H972" s="1" t="s">
        <v>31</v>
      </c>
      <c r="I972" s="1" t="s">
        <v>59</v>
      </c>
      <c r="J972" s="1">
        <v>1</v>
      </c>
      <c r="K972" s="1">
        <v>529.95000000000005</v>
      </c>
      <c r="L972" s="1">
        <v>0</v>
      </c>
      <c r="M972" s="1">
        <v>529.95000000000005</v>
      </c>
      <c r="N972" s="1">
        <v>0</v>
      </c>
      <c r="O972" s="1">
        <v>529.95000000000005</v>
      </c>
      <c r="P972" s="1">
        <v>275.57400000000001</v>
      </c>
      <c r="Q972" s="1">
        <v>254.376</v>
      </c>
      <c r="R972" s="1">
        <v>48.000000000000007</v>
      </c>
      <c r="S972" s="1" t="s">
        <v>26</v>
      </c>
    </row>
    <row r="973" spans="1:19" x14ac:dyDescent="0.35">
      <c r="A973" s="1" t="s">
        <v>1348</v>
      </c>
      <c r="B973" s="3">
        <v>45832</v>
      </c>
      <c r="C973" s="1" t="s">
        <v>82</v>
      </c>
      <c r="D973" s="1">
        <v>6</v>
      </c>
      <c r="E973" s="1" t="s">
        <v>1142</v>
      </c>
      <c r="F973" s="1" t="s">
        <v>111</v>
      </c>
      <c r="G973" s="1" t="s">
        <v>64</v>
      </c>
      <c r="H973" s="1" t="s">
        <v>77</v>
      </c>
      <c r="I973" s="1" t="s">
        <v>103</v>
      </c>
      <c r="J973" s="1">
        <v>4</v>
      </c>
      <c r="K973" s="1">
        <v>601.45000000000005</v>
      </c>
      <c r="L973" s="1">
        <v>0</v>
      </c>
      <c r="M973" s="1">
        <v>2405.8000000000002</v>
      </c>
      <c r="N973" s="1">
        <v>0</v>
      </c>
      <c r="O973" s="1">
        <v>2405.8000000000002</v>
      </c>
      <c r="P973" s="1">
        <v>1732.1759999999999</v>
      </c>
      <c r="Q973" s="1">
        <v>673.62400000000002</v>
      </c>
      <c r="R973" s="1">
        <v>28</v>
      </c>
      <c r="S973" s="1" t="s">
        <v>73</v>
      </c>
    </row>
    <row r="974" spans="1:19" x14ac:dyDescent="0.35">
      <c r="A974" s="1" t="s">
        <v>1349</v>
      </c>
      <c r="B974" s="3">
        <v>45769</v>
      </c>
      <c r="C974" s="1" t="s">
        <v>20</v>
      </c>
      <c r="D974" s="1">
        <v>4</v>
      </c>
      <c r="E974" s="1" t="s">
        <v>867</v>
      </c>
      <c r="F974" s="1" t="s">
        <v>69</v>
      </c>
      <c r="G974" s="1" t="s">
        <v>23</v>
      </c>
      <c r="H974" s="1" t="s">
        <v>31</v>
      </c>
      <c r="I974" s="1" t="s">
        <v>59</v>
      </c>
      <c r="J974" s="1">
        <v>7</v>
      </c>
      <c r="K974" s="1">
        <v>936.74</v>
      </c>
      <c r="L974" s="1">
        <v>0.25</v>
      </c>
      <c r="M974" s="1">
        <v>6557.18</v>
      </c>
      <c r="N974" s="1">
        <v>1639.2950000000001</v>
      </c>
      <c r="O974" s="1">
        <v>4917.8850000000002</v>
      </c>
      <c r="P974" s="1">
        <v>2557.3002000000001</v>
      </c>
      <c r="Q974" s="1">
        <v>2360.5848000000001</v>
      </c>
      <c r="R974" s="1">
        <v>48</v>
      </c>
      <c r="S974" s="1" t="s">
        <v>26</v>
      </c>
    </row>
    <row r="975" spans="1:19" x14ac:dyDescent="0.35">
      <c r="A975" s="1" t="s">
        <v>1350</v>
      </c>
      <c r="B975" s="3">
        <v>45914</v>
      </c>
      <c r="C975" s="1" t="s">
        <v>50</v>
      </c>
      <c r="D975" s="1">
        <v>9</v>
      </c>
      <c r="E975" s="1" t="s">
        <v>316</v>
      </c>
      <c r="F975" s="1" t="s">
        <v>76</v>
      </c>
      <c r="G975" s="1" t="s">
        <v>38</v>
      </c>
      <c r="H975" s="1" t="s">
        <v>77</v>
      </c>
      <c r="I975" s="1" t="s">
        <v>90</v>
      </c>
      <c r="J975" s="1">
        <v>5</v>
      </c>
      <c r="K975" s="1">
        <v>1117.5899999999999</v>
      </c>
      <c r="L975" s="1">
        <v>0</v>
      </c>
      <c r="M975" s="1">
        <v>5587.95</v>
      </c>
      <c r="N975" s="1">
        <v>0</v>
      </c>
      <c r="O975" s="1">
        <v>5587.95</v>
      </c>
      <c r="P975" s="1">
        <v>4023.3240000000001</v>
      </c>
      <c r="Q975" s="1">
        <v>1564.626</v>
      </c>
      <c r="R975" s="1">
        <v>28</v>
      </c>
      <c r="S975" s="1" t="s">
        <v>26</v>
      </c>
    </row>
    <row r="976" spans="1:19" x14ac:dyDescent="0.35">
      <c r="A976" s="1" t="s">
        <v>1351</v>
      </c>
      <c r="B976" s="3">
        <v>45845</v>
      </c>
      <c r="C976" s="1" t="s">
        <v>62</v>
      </c>
      <c r="D976" s="1">
        <v>7</v>
      </c>
      <c r="E976" s="1" t="s">
        <v>365</v>
      </c>
      <c r="F976" s="1" t="s">
        <v>52</v>
      </c>
      <c r="G976" s="1" t="s">
        <v>64</v>
      </c>
      <c r="H976" s="1" t="s">
        <v>77</v>
      </c>
      <c r="I976" s="1" t="s">
        <v>78</v>
      </c>
      <c r="J976" s="1">
        <v>4</v>
      </c>
      <c r="K976" s="1">
        <v>1153.53</v>
      </c>
      <c r="L976" s="1">
        <v>0.1</v>
      </c>
      <c r="M976" s="1">
        <v>4614.12</v>
      </c>
      <c r="N976" s="1">
        <v>461.41199999999998</v>
      </c>
      <c r="O976" s="1">
        <v>4152.7079999999996</v>
      </c>
      <c r="P976" s="1">
        <v>2989.94976</v>
      </c>
      <c r="Q976" s="1">
        <v>1162.7582399999999</v>
      </c>
      <c r="R976" s="1">
        <v>28</v>
      </c>
      <c r="S976" s="1" t="s">
        <v>73</v>
      </c>
    </row>
    <row r="977" spans="1:19" x14ac:dyDescent="0.35">
      <c r="A977" s="1" t="s">
        <v>1352</v>
      </c>
      <c r="B977" s="3">
        <v>45716</v>
      </c>
      <c r="C977" s="1" t="s">
        <v>42</v>
      </c>
      <c r="D977" s="1">
        <v>2</v>
      </c>
      <c r="E977" s="1" t="s">
        <v>830</v>
      </c>
      <c r="F977" s="1" t="s">
        <v>111</v>
      </c>
      <c r="G977" s="1" t="s">
        <v>23</v>
      </c>
      <c r="H977" s="1" t="s">
        <v>53</v>
      </c>
      <c r="I977" s="1" t="s">
        <v>128</v>
      </c>
      <c r="J977" s="1">
        <v>4</v>
      </c>
      <c r="K977" s="1">
        <v>1491.6</v>
      </c>
      <c r="L977" s="1">
        <v>0.05</v>
      </c>
      <c r="M977" s="1">
        <v>5966.4</v>
      </c>
      <c r="N977" s="1">
        <v>298.32</v>
      </c>
      <c r="O977" s="1">
        <v>5668.08</v>
      </c>
      <c r="P977" s="1">
        <v>3287.4863999999998</v>
      </c>
      <c r="Q977" s="1">
        <v>2380.5936000000002</v>
      </c>
      <c r="R977" s="1">
        <v>42.000000000000007</v>
      </c>
      <c r="S977" s="1" t="s">
        <v>73</v>
      </c>
    </row>
    <row r="978" spans="1:19" x14ac:dyDescent="0.35">
      <c r="A978" s="1" t="s">
        <v>1353</v>
      </c>
      <c r="B978" s="3">
        <v>45938</v>
      </c>
      <c r="C978" s="1" t="s">
        <v>35</v>
      </c>
      <c r="D978" s="1">
        <v>10</v>
      </c>
      <c r="E978" s="1" t="s">
        <v>212</v>
      </c>
      <c r="F978" s="1" t="s">
        <v>43</v>
      </c>
      <c r="G978" s="1" t="s">
        <v>64</v>
      </c>
      <c r="H978" s="1" t="s">
        <v>24</v>
      </c>
      <c r="I978" s="1" t="s">
        <v>48</v>
      </c>
      <c r="J978" s="1">
        <v>4</v>
      </c>
      <c r="K978" s="1">
        <v>575.53</v>
      </c>
      <c r="L978" s="1">
        <v>0.25</v>
      </c>
      <c r="M978" s="1">
        <v>2302.12</v>
      </c>
      <c r="N978" s="1">
        <v>575.53</v>
      </c>
      <c r="O978" s="1">
        <v>1726.59</v>
      </c>
      <c r="P978" s="1">
        <v>949.62450000000001</v>
      </c>
      <c r="Q978" s="1">
        <v>776.96549999999991</v>
      </c>
      <c r="R978" s="1">
        <v>44.999999999999993</v>
      </c>
      <c r="S978" s="1" t="s">
        <v>60</v>
      </c>
    </row>
    <row r="979" spans="1:19" x14ac:dyDescent="0.35">
      <c r="A979" s="1" t="s">
        <v>1354</v>
      </c>
      <c r="B979" s="3">
        <v>45827</v>
      </c>
      <c r="C979" s="1" t="s">
        <v>82</v>
      </c>
      <c r="D979" s="1">
        <v>6</v>
      </c>
      <c r="E979" s="1" t="s">
        <v>431</v>
      </c>
      <c r="F979" s="1" t="s">
        <v>47</v>
      </c>
      <c r="G979" s="1" t="s">
        <v>38</v>
      </c>
      <c r="H979" s="1" t="s">
        <v>31</v>
      </c>
      <c r="I979" s="1" t="s">
        <v>65</v>
      </c>
      <c r="J979" s="1">
        <v>6</v>
      </c>
      <c r="K979" s="1">
        <v>1064.72</v>
      </c>
      <c r="L979" s="1">
        <v>0.25</v>
      </c>
      <c r="M979" s="1">
        <v>6388.32</v>
      </c>
      <c r="N979" s="1">
        <v>1597.08</v>
      </c>
      <c r="O979" s="1">
        <v>4791.24</v>
      </c>
      <c r="P979" s="1">
        <v>2491.4448000000002</v>
      </c>
      <c r="Q979" s="1">
        <v>2299.7952</v>
      </c>
      <c r="R979" s="1">
        <v>48.000000000000007</v>
      </c>
      <c r="S979" s="1" t="s">
        <v>26</v>
      </c>
    </row>
    <row r="980" spans="1:19" x14ac:dyDescent="0.35">
      <c r="A980" s="1" t="s">
        <v>1355</v>
      </c>
      <c r="B980" s="3">
        <v>45845</v>
      </c>
      <c r="C980" s="1" t="s">
        <v>62</v>
      </c>
      <c r="D980" s="1">
        <v>7</v>
      </c>
      <c r="E980" s="1" t="s">
        <v>1316</v>
      </c>
      <c r="F980" s="1" t="s">
        <v>69</v>
      </c>
      <c r="G980" s="1" t="s">
        <v>64</v>
      </c>
      <c r="H980" s="1" t="s">
        <v>31</v>
      </c>
      <c r="I980" s="1" t="s">
        <v>65</v>
      </c>
      <c r="J980" s="1">
        <v>1</v>
      </c>
      <c r="K980" s="1">
        <v>3442.51</v>
      </c>
      <c r="L980" s="1">
        <v>0.1</v>
      </c>
      <c r="M980" s="1">
        <v>3442.51</v>
      </c>
      <c r="N980" s="1">
        <v>344.25099999999998</v>
      </c>
      <c r="O980" s="1">
        <v>3098.259</v>
      </c>
      <c r="P980" s="1">
        <v>1611.0946799999999</v>
      </c>
      <c r="Q980" s="1">
        <v>1487.1643200000001</v>
      </c>
      <c r="R980" s="1">
        <v>47.999999999999993</v>
      </c>
      <c r="S980" s="1" t="s">
        <v>93</v>
      </c>
    </row>
    <row r="981" spans="1:19" x14ac:dyDescent="0.35">
      <c r="A981" s="1" t="s">
        <v>1356</v>
      </c>
      <c r="B981" s="3">
        <v>45679</v>
      </c>
      <c r="C981" s="1" t="s">
        <v>193</v>
      </c>
      <c r="D981" s="1">
        <v>1</v>
      </c>
      <c r="E981" s="1" t="s">
        <v>57</v>
      </c>
      <c r="F981" s="1" t="s">
        <v>69</v>
      </c>
      <c r="G981" s="1" t="s">
        <v>64</v>
      </c>
      <c r="H981" s="1" t="s">
        <v>39</v>
      </c>
      <c r="I981" s="1" t="s">
        <v>40</v>
      </c>
      <c r="J981" s="1">
        <v>5</v>
      </c>
      <c r="K981" s="1">
        <v>26492.98</v>
      </c>
      <c r="L981" s="1">
        <v>0.1</v>
      </c>
      <c r="M981" s="1">
        <v>132464.9</v>
      </c>
      <c r="N981" s="1">
        <v>13246.49</v>
      </c>
      <c r="O981" s="1">
        <v>119218.41</v>
      </c>
      <c r="P981" s="1">
        <v>92990.359799999991</v>
      </c>
      <c r="Q981" s="1">
        <v>26228.050200000001</v>
      </c>
      <c r="R981" s="1">
        <v>22</v>
      </c>
      <c r="S981" s="1" t="s">
        <v>93</v>
      </c>
    </row>
    <row r="982" spans="1:19" x14ac:dyDescent="0.35">
      <c r="A982" s="1" t="s">
        <v>1357</v>
      </c>
      <c r="B982" s="3">
        <v>45798</v>
      </c>
      <c r="C982" s="1" t="s">
        <v>97</v>
      </c>
      <c r="D982" s="1">
        <v>5</v>
      </c>
      <c r="E982" s="1" t="s">
        <v>422</v>
      </c>
      <c r="F982" s="1" t="s">
        <v>30</v>
      </c>
      <c r="G982" s="1" t="s">
        <v>38</v>
      </c>
      <c r="H982" s="1" t="s">
        <v>99</v>
      </c>
      <c r="I982" s="1" t="s">
        <v>100</v>
      </c>
      <c r="J982" s="1">
        <v>2</v>
      </c>
      <c r="K982" s="1">
        <v>16730.62</v>
      </c>
      <c r="L982" s="1">
        <v>0.05</v>
      </c>
      <c r="M982" s="1">
        <v>33461.24</v>
      </c>
      <c r="N982" s="1">
        <v>1673.0619999999999</v>
      </c>
      <c r="O982" s="1">
        <v>31788.178</v>
      </c>
      <c r="P982" s="1">
        <v>21615.961039999998</v>
      </c>
      <c r="Q982" s="1">
        <v>10172.21696</v>
      </c>
      <c r="R982" s="1">
        <v>32</v>
      </c>
      <c r="S982" s="1" t="s">
        <v>93</v>
      </c>
    </row>
    <row r="983" spans="1:19" x14ac:dyDescent="0.35">
      <c r="A983" s="1" t="s">
        <v>1358</v>
      </c>
      <c r="B983" s="3">
        <v>45910</v>
      </c>
      <c r="C983" s="1" t="s">
        <v>50</v>
      </c>
      <c r="D983" s="1">
        <v>9</v>
      </c>
      <c r="E983" s="1" t="s">
        <v>161</v>
      </c>
      <c r="F983" s="1" t="s">
        <v>58</v>
      </c>
      <c r="G983" s="1" t="s">
        <v>23</v>
      </c>
      <c r="H983" s="1" t="s">
        <v>31</v>
      </c>
      <c r="I983" s="1" t="s">
        <v>190</v>
      </c>
      <c r="J983" s="1">
        <v>1</v>
      </c>
      <c r="K983" s="1">
        <v>1493.49</v>
      </c>
      <c r="L983" s="1">
        <v>0.05</v>
      </c>
      <c r="M983" s="1">
        <v>1493.49</v>
      </c>
      <c r="N983" s="1">
        <v>74.674500000000009</v>
      </c>
      <c r="O983" s="1">
        <v>1418.8154999999999</v>
      </c>
      <c r="P983" s="1">
        <v>737.78405999999995</v>
      </c>
      <c r="Q983" s="1">
        <v>681.03143999999998</v>
      </c>
      <c r="R983" s="1">
        <v>48</v>
      </c>
      <c r="S983" s="1" t="s">
        <v>26</v>
      </c>
    </row>
    <row r="984" spans="1:19" x14ac:dyDescent="0.35">
      <c r="A984" s="1" t="s">
        <v>1359</v>
      </c>
      <c r="B984" s="3">
        <v>45965</v>
      </c>
      <c r="C984" s="1" t="s">
        <v>56</v>
      </c>
      <c r="D984" s="1">
        <v>11</v>
      </c>
      <c r="E984" s="1" t="s">
        <v>110</v>
      </c>
      <c r="F984" s="1" t="s">
        <v>76</v>
      </c>
      <c r="G984" s="1" t="s">
        <v>38</v>
      </c>
      <c r="H984" s="1" t="s">
        <v>39</v>
      </c>
      <c r="I984" s="1" t="s">
        <v>155</v>
      </c>
      <c r="J984" s="1">
        <v>3</v>
      </c>
      <c r="K984" s="1">
        <v>16372.97</v>
      </c>
      <c r="L984" s="1">
        <v>0.2</v>
      </c>
      <c r="M984" s="1">
        <v>49118.91</v>
      </c>
      <c r="N984" s="1">
        <v>9823.7819999999992</v>
      </c>
      <c r="O984" s="1">
        <v>39295.127999999997</v>
      </c>
      <c r="P984" s="1">
        <v>30650.199840000001</v>
      </c>
      <c r="Q984" s="1">
        <v>8644.9281599999995</v>
      </c>
      <c r="R984" s="1">
        <v>22</v>
      </c>
      <c r="S984" s="1" t="s">
        <v>60</v>
      </c>
    </row>
    <row r="985" spans="1:19" x14ac:dyDescent="0.35">
      <c r="A985" s="1" t="s">
        <v>1360</v>
      </c>
      <c r="B985" s="3">
        <v>45891</v>
      </c>
      <c r="C985" s="1" t="s">
        <v>113</v>
      </c>
      <c r="D985" s="1">
        <v>8</v>
      </c>
      <c r="E985" s="1" t="s">
        <v>543</v>
      </c>
      <c r="F985" s="1" t="s">
        <v>47</v>
      </c>
      <c r="G985" s="1" t="s">
        <v>38</v>
      </c>
      <c r="H985" s="1" t="s">
        <v>31</v>
      </c>
      <c r="I985" s="1" t="s">
        <v>190</v>
      </c>
      <c r="J985" s="1">
        <v>7</v>
      </c>
      <c r="K985" s="1">
        <v>580.49</v>
      </c>
      <c r="L985" s="1">
        <v>0</v>
      </c>
      <c r="M985" s="1">
        <v>4063.43</v>
      </c>
      <c r="N985" s="1">
        <v>0</v>
      </c>
      <c r="O985" s="1">
        <v>4063.43</v>
      </c>
      <c r="P985" s="1">
        <v>2112.9836</v>
      </c>
      <c r="Q985" s="1">
        <v>1950.4464</v>
      </c>
      <c r="R985" s="1">
        <v>48.000000000000007</v>
      </c>
      <c r="S985" s="1" t="s">
        <v>73</v>
      </c>
    </row>
    <row r="986" spans="1:19" x14ac:dyDescent="0.35">
      <c r="A986" s="1" t="s">
        <v>1361</v>
      </c>
      <c r="B986" s="3">
        <v>45888</v>
      </c>
      <c r="C986" s="1" t="s">
        <v>113</v>
      </c>
      <c r="D986" s="1">
        <v>8</v>
      </c>
      <c r="E986" s="1" t="s">
        <v>756</v>
      </c>
      <c r="F986" s="1" t="s">
        <v>111</v>
      </c>
      <c r="G986" s="1" t="s">
        <v>38</v>
      </c>
      <c r="H986" s="1" t="s">
        <v>39</v>
      </c>
      <c r="I986" s="1" t="s">
        <v>234</v>
      </c>
      <c r="J986" s="1">
        <v>3</v>
      </c>
      <c r="K986" s="1">
        <v>13893.51</v>
      </c>
      <c r="L986" s="1">
        <v>0.1</v>
      </c>
      <c r="M986" s="1">
        <v>41680.53</v>
      </c>
      <c r="N986" s="1">
        <v>4168.0529999999999</v>
      </c>
      <c r="O986" s="1">
        <v>37512.476999999999</v>
      </c>
      <c r="P986" s="1">
        <v>29259.732059999998</v>
      </c>
      <c r="Q986" s="1">
        <v>8252.7449400000005</v>
      </c>
      <c r="R986" s="1">
        <v>22</v>
      </c>
      <c r="S986" s="1" t="s">
        <v>73</v>
      </c>
    </row>
    <row r="987" spans="1:19" x14ac:dyDescent="0.35">
      <c r="A987" s="1" t="s">
        <v>1362</v>
      </c>
      <c r="B987" s="3">
        <v>46010</v>
      </c>
      <c r="C987" s="1" t="s">
        <v>67</v>
      </c>
      <c r="D987" s="1">
        <v>12</v>
      </c>
      <c r="E987" s="1" t="s">
        <v>236</v>
      </c>
      <c r="F987" s="1" t="s">
        <v>22</v>
      </c>
      <c r="G987" s="1" t="s">
        <v>38</v>
      </c>
      <c r="H987" s="1" t="s">
        <v>31</v>
      </c>
      <c r="I987" s="1" t="s">
        <v>32</v>
      </c>
      <c r="J987" s="1">
        <v>3</v>
      </c>
      <c r="K987" s="1">
        <v>2070.46</v>
      </c>
      <c r="L987" s="1">
        <v>0.1</v>
      </c>
      <c r="M987" s="1">
        <v>6211.38</v>
      </c>
      <c r="N987" s="1">
        <v>621.13800000000003</v>
      </c>
      <c r="O987" s="1">
        <v>5590.2420000000002</v>
      </c>
      <c r="P987" s="1">
        <v>2906.9258399999999</v>
      </c>
      <c r="Q987" s="1">
        <v>2683.3161599999999</v>
      </c>
      <c r="R987" s="1">
        <v>48</v>
      </c>
      <c r="S987" s="1" t="s">
        <v>93</v>
      </c>
    </row>
    <row r="988" spans="1:19" x14ac:dyDescent="0.35">
      <c r="A988" s="1" t="s">
        <v>1363</v>
      </c>
      <c r="B988" s="3">
        <v>46007</v>
      </c>
      <c r="C988" s="1" t="s">
        <v>67</v>
      </c>
      <c r="D988" s="1">
        <v>12</v>
      </c>
      <c r="E988" s="1" t="s">
        <v>175</v>
      </c>
      <c r="F988" s="1" t="s">
        <v>58</v>
      </c>
      <c r="G988" s="1" t="s">
        <v>23</v>
      </c>
      <c r="H988" s="1" t="s">
        <v>24</v>
      </c>
      <c r="I988" s="1" t="s">
        <v>48</v>
      </c>
      <c r="J988" s="1">
        <v>3</v>
      </c>
      <c r="K988" s="1">
        <v>1513.21</v>
      </c>
      <c r="L988" s="1">
        <v>0.1</v>
      </c>
      <c r="M988" s="1">
        <v>4539.63</v>
      </c>
      <c r="N988" s="1">
        <v>453.96300000000002</v>
      </c>
      <c r="O988" s="1">
        <v>4085.6669999999999</v>
      </c>
      <c r="P988" s="1">
        <v>2247.1168499999999</v>
      </c>
      <c r="Q988" s="1">
        <v>1838.55015</v>
      </c>
      <c r="R988" s="1">
        <v>44.999999999999993</v>
      </c>
      <c r="S988" s="1" t="s">
        <v>93</v>
      </c>
    </row>
    <row r="989" spans="1:19" x14ac:dyDescent="0.35">
      <c r="A989" s="1" t="s">
        <v>1364</v>
      </c>
      <c r="B989" s="3">
        <v>45848</v>
      </c>
      <c r="C989" s="1" t="s">
        <v>62</v>
      </c>
      <c r="D989" s="1">
        <v>7</v>
      </c>
      <c r="E989" s="1" t="s">
        <v>710</v>
      </c>
      <c r="F989" s="1" t="s">
        <v>43</v>
      </c>
      <c r="G989" s="1" t="s">
        <v>23</v>
      </c>
      <c r="H989" s="1" t="s">
        <v>39</v>
      </c>
      <c r="I989" s="1" t="s">
        <v>40</v>
      </c>
      <c r="J989" s="1">
        <v>3</v>
      </c>
      <c r="K989" s="1">
        <v>42524.86</v>
      </c>
      <c r="L989" s="1">
        <v>0.15</v>
      </c>
      <c r="M989" s="1">
        <v>127574.58</v>
      </c>
      <c r="N989" s="1">
        <v>19136.187000000002</v>
      </c>
      <c r="O989" s="1">
        <v>108438.393</v>
      </c>
      <c r="P989" s="1">
        <v>84581.946540000004</v>
      </c>
      <c r="Q989" s="1">
        <v>23856.44646000001</v>
      </c>
      <c r="R989" s="1">
        <v>22</v>
      </c>
      <c r="S989" s="1" t="s">
        <v>73</v>
      </c>
    </row>
    <row r="990" spans="1:19" x14ac:dyDescent="0.35">
      <c r="A990" s="1" t="s">
        <v>1365</v>
      </c>
      <c r="B990" s="3">
        <v>45670</v>
      </c>
      <c r="C990" s="1" t="s">
        <v>193</v>
      </c>
      <c r="D990" s="1">
        <v>1</v>
      </c>
      <c r="E990" s="1" t="s">
        <v>1366</v>
      </c>
      <c r="F990" s="1" t="s">
        <v>69</v>
      </c>
      <c r="G990" s="1" t="s">
        <v>23</v>
      </c>
      <c r="H990" s="1" t="s">
        <v>53</v>
      </c>
      <c r="I990" s="1" t="s">
        <v>54</v>
      </c>
      <c r="J990" s="1">
        <v>3</v>
      </c>
      <c r="K990" s="1">
        <v>1215.25</v>
      </c>
      <c r="L990" s="1">
        <v>0.2</v>
      </c>
      <c r="M990" s="1">
        <v>3645.75</v>
      </c>
      <c r="N990" s="1">
        <v>729.15000000000009</v>
      </c>
      <c r="O990" s="1">
        <v>2916.6</v>
      </c>
      <c r="P990" s="1">
        <v>1691.6279999999999</v>
      </c>
      <c r="Q990" s="1">
        <v>1224.972</v>
      </c>
      <c r="R990" s="1">
        <v>42</v>
      </c>
      <c r="S990" s="1" t="s">
        <v>93</v>
      </c>
    </row>
    <row r="991" spans="1:19" x14ac:dyDescent="0.35">
      <c r="A991" s="1" t="s">
        <v>1367</v>
      </c>
      <c r="B991" s="3">
        <v>45821</v>
      </c>
      <c r="C991" s="1" t="s">
        <v>82</v>
      </c>
      <c r="D991" s="1">
        <v>6</v>
      </c>
      <c r="E991" s="1" t="s">
        <v>841</v>
      </c>
      <c r="F991" s="1" t="s">
        <v>30</v>
      </c>
      <c r="G991" s="1" t="s">
        <v>38</v>
      </c>
      <c r="H991" s="1" t="s">
        <v>39</v>
      </c>
      <c r="I991" s="1" t="s">
        <v>40</v>
      </c>
      <c r="J991" s="1">
        <v>6</v>
      </c>
      <c r="K991" s="1">
        <v>44808.27</v>
      </c>
      <c r="L991" s="1">
        <v>0.05</v>
      </c>
      <c r="M991" s="1">
        <v>268849.62</v>
      </c>
      <c r="N991" s="1">
        <v>13442.481</v>
      </c>
      <c r="O991" s="1">
        <v>255407.139</v>
      </c>
      <c r="P991" s="1">
        <v>199217.56842</v>
      </c>
      <c r="Q991" s="1">
        <v>56189.57058</v>
      </c>
      <c r="R991" s="1">
        <v>22</v>
      </c>
      <c r="S991" s="1" t="s">
        <v>93</v>
      </c>
    </row>
    <row r="992" spans="1:19" x14ac:dyDescent="0.35">
      <c r="A992" s="1" t="s">
        <v>1368</v>
      </c>
      <c r="B992" s="3">
        <v>45851</v>
      </c>
      <c r="C992" s="1" t="s">
        <v>62</v>
      </c>
      <c r="D992" s="1">
        <v>7</v>
      </c>
      <c r="E992" s="1" t="s">
        <v>328</v>
      </c>
      <c r="F992" s="1" t="s">
        <v>22</v>
      </c>
      <c r="G992" s="1" t="s">
        <v>23</v>
      </c>
      <c r="H992" s="1" t="s">
        <v>99</v>
      </c>
      <c r="I992" s="1" t="s">
        <v>145</v>
      </c>
      <c r="J992" s="1">
        <v>7</v>
      </c>
      <c r="K992" s="1">
        <v>7705.35</v>
      </c>
      <c r="L992" s="1">
        <v>0.05</v>
      </c>
      <c r="M992" s="1">
        <v>53937.45</v>
      </c>
      <c r="N992" s="1">
        <v>2696.8724999999999</v>
      </c>
      <c r="O992" s="1">
        <v>51240.577500000007</v>
      </c>
      <c r="P992" s="1">
        <v>34843.592700000008</v>
      </c>
      <c r="Q992" s="1">
        <v>16396.984799999998</v>
      </c>
      <c r="R992" s="1">
        <v>32</v>
      </c>
      <c r="S992" s="1" t="s">
        <v>93</v>
      </c>
    </row>
    <row r="993" spans="1:19" x14ac:dyDescent="0.35">
      <c r="A993" s="1" t="s">
        <v>1369</v>
      </c>
      <c r="B993" s="3">
        <v>45841</v>
      </c>
      <c r="C993" s="1" t="s">
        <v>62</v>
      </c>
      <c r="D993" s="1">
        <v>7</v>
      </c>
      <c r="E993" s="1" t="s">
        <v>57</v>
      </c>
      <c r="F993" s="1" t="s">
        <v>47</v>
      </c>
      <c r="G993" s="1" t="s">
        <v>23</v>
      </c>
      <c r="H993" s="1" t="s">
        <v>24</v>
      </c>
      <c r="I993" s="1" t="s">
        <v>48</v>
      </c>
      <c r="J993" s="1">
        <v>1</v>
      </c>
      <c r="K993" s="1">
        <v>2240.06</v>
      </c>
      <c r="L993" s="1">
        <v>0.3</v>
      </c>
      <c r="M993" s="1">
        <v>2240.06</v>
      </c>
      <c r="N993" s="1">
        <v>672.01799999999992</v>
      </c>
      <c r="O993" s="1">
        <v>1568.0419999999999</v>
      </c>
      <c r="P993" s="1">
        <v>862.42309999999998</v>
      </c>
      <c r="Q993" s="1">
        <v>705.61889999999994</v>
      </c>
      <c r="R993" s="1">
        <v>45</v>
      </c>
      <c r="S993" s="1" t="s">
        <v>60</v>
      </c>
    </row>
    <row r="994" spans="1:19" x14ac:dyDescent="0.35">
      <c r="A994" s="1" t="s">
        <v>1370</v>
      </c>
      <c r="B994" s="3">
        <v>45792</v>
      </c>
      <c r="C994" s="1" t="s">
        <v>97</v>
      </c>
      <c r="D994" s="1">
        <v>5</v>
      </c>
      <c r="E994" s="1" t="s">
        <v>833</v>
      </c>
      <c r="F994" s="1" t="s">
        <v>47</v>
      </c>
      <c r="G994" s="1" t="s">
        <v>23</v>
      </c>
      <c r="H994" s="1" t="s">
        <v>99</v>
      </c>
      <c r="I994" s="1" t="s">
        <v>108</v>
      </c>
      <c r="J994" s="1">
        <v>3</v>
      </c>
      <c r="K994" s="1">
        <v>19356.05</v>
      </c>
      <c r="L994" s="1">
        <v>0.1</v>
      </c>
      <c r="M994" s="1">
        <v>58068.149999999987</v>
      </c>
      <c r="N994" s="1">
        <v>5806.8149999999996</v>
      </c>
      <c r="O994" s="1">
        <v>52261.334999999992</v>
      </c>
      <c r="P994" s="1">
        <v>35537.707799999996</v>
      </c>
      <c r="Q994" s="1">
        <v>16723.627199999999</v>
      </c>
      <c r="R994" s="1">
        <v>32</v>
      </c>
      <c r="S994" s="1" t="s">
        <v>60</v>
      </c>
    </row>
    <row r="995" spans="1:19" x14ac:dyDescent="0.35">
      <c r="A995" s="1" t="s">
        <v>1371</v>
      </c>
      <c r="B995" s="3">
        <v>45901</v>
      </c>
      <c r="C995" s="1" t="s">
        <v>50</v>
      </c>
      <c r="D995" s="1">
        <v>9</v>
      </c>
      <c r="E995" s="1" t="s">
        <v>549</v>
      </c>
      <c r="F995" s="1" t="s">
        <v>69</v>
      </c>
      <c r="G995" s="1" t="s">
        <v>38</v>
      </c>
      <c r="H995" s="1" t="s">
        <v>77</v>
      </c>
      <c r="I995" s="1" t="s">
        <v>78</v>
      </c>
      <c r="J995" s="1">
        <v>6</v>
      </c>
      <c r="K995" s="1">
        <v>908.67</v>
      </c>
      <c r="L995" s="1">
        <v>0</v>
      </c>
      <c r="M995" s="1">
        <v>5452.02</v>
      </c>
      <c r="N995" s="1">
        <v>0</v>
      </c>
      <c r="O995" s="1">
        <v>5452.02</v>
      </c>
      <c r="P995" s="1">
        <v>3925.4544000000001</v>
      </c>
      <c r="Q995" s="1">
        <v>1526.5655999999999</v>
      </c>
      <c r="R995" s="1">
        <v>28</v>
      </c>
      <c r="S995" s="1" t="s">
        <v>26</v>
      </c>
    </row>
    <row r="996" spans="1:19" x14ac:dyDescent="0.35">
      <c r="A996" s="1" t="s">
        <v>1372</v>
      </c>
      <c r="B996" s="3">
        <v>45864</v>
      </c>
      <c r="C996" s="1" t="s">
        <v>62</v>
      </c>
      <c r="D996" s="1">
        <v>7</v>
      </c>
      <c r="E996" s="1" t="s">
        <v>932</v>
      </c>
      <c r="F996" s="1" t="s">
        <v>43</v>
      </c>
      <c r="G996" s="1" t="s">
        <v>38</v>
      </c>
      <c r="H996" s="1" t="s">
        <v>53</v>
      </c>
      <c r="I996" s="1" t="s">
        <v>128</v>
      </c>
      <c r="J996" s="1">
        <v>2</v>
      </c>
      <c r="K996" s="1">
        <v>859.85</v>
      </c>
      <c r="L996" s="1">
        <v>0.1</v>
      </c>
      <c r="M996" s="1">
        <v>1719.7</v>
      </c>
      <c r="N996" s="1">
        <v>171.97</v>
      </c>
      <c r="O996" s="1">
        <v>1547.73</v>
      </c>
      <c r="P996" s="1">
        <v>897.68339999999989</v>
      </c>
      <c r="Q996" s="1">
        <v>650.04660000000013</v>
      </c>
      <c r="R996" s="1">
        <v>42.000000000000007</v>
      </c>
      <c r="S996" s="1" t="s">
        <v>33</v>
      </c>
    </row>
    <row r="997" spans="1:19" x14ac:dyDescent="0.35">
      <c r="A997" s="1" t="s">
        <v>1373</v>
      </c>
      <c r="B997" s="3">
        <v>45830</v>
      </c>
      <c r="C997" s="1" t="s">
        <v>82</v>
      </c>
      <c r="D997" s="1">
        <v>6</v>
      </c>
      <c r="E997" s="1" t="s">
        <v>21</v>
      </c>
      <c r="F997" s="1" t="s">
        <v>58</v>
      </c>
      <c r="G997" s="1" t="s">
        <v>38</v>
      </c>
      <c r="H997" s="1" t="s">
        <v>77</v>
      </c>
      <c r="I997" s="1" t="s">
        <v>201</v>
      </c>
      <c r="J997" s="1">
        <v>3</v>
      </c>
      <c r="K997" s="1">
        <v>1026.08</v>
      </c>
      <c r="L997" s="1">
        <v>0.15</v>
      </c>
      <c r="M997" s="1">
        <v>3078.24</v>
      </c>
      <c r="N997" s="1">
        <v>461.73599999999988</v>
      </c>
      <c r="O997" s="1">
        <v>2616.5039999999999</v>
      </c>
      <c r="P997" s="1">
        <v>1883.8828799999999</v>
      </c>
      <c r="Q997" s="1">
        <v>732.62112000000002</v>
      </c>
      <c r="R997" s="1">
        <v>28</v>
      </c>
      <c r="S997" s="1" t="s">
        <v>60</v>
      </c>
    </row>
    <row r="998" spans="1:19" x14ac:dyDescent="0.35">
      <c r="A998" s="1" t="s">
        <v>1374</v>
      </c>
      <c r="B998" s="3">
        <v>45964</v>
      </c>
      <c r="C998" s="1" t="s">
        <v>56</v>
      </c>
      <c r="D998" s="1">
        <v>11</v>
      </c>
      <c r="E998" s="1" t="s">
        <v>301</v>
      </c>
      <c r="F998" s="1" t="s">
        <v>69</v>
      </c>
      <c r="G998" s="1" t="s">
        <v>64</v>
      </c>
      <c r="H998" s="1" t="s">
        <v>53</v>
      </c>
      <c r="I998" s="1" t="s">
        <v>185</v>
      </c>
      <c r="J998" s="1">
        <v>7</v>
      </c>
      <c r="K998" s="1">
        <v>1921.59</v>
      </c>
      <c r="L998" s="1">
        <v>0.1</v>
      </c>
      <c r="M998" s="1">
        <v>13451.13</v>
      </c>
      <c r="N998" s="1">
        <v>1345.1130000000001</v>
      </c>
      <c r="O998" s="1">
        <v>12106.017</v>
      </c>
      <c r="P998" s="1">
        <v>7021.4898599999997</v>
      </c>
      <c r="Q998" s="1">
        <v>5084.5271400000001</v>
      </c>
      <c r="R998" s="1">
        <v>42.000000000000007</v>
      </c>
      <c r="S998" s="1" t="s">
        <v>33</v>
      </c>
    </row>
    <row r="999" spans="1:19" x14ac:dyDescent="0.35">
      <c r="A999" s="1" t="s">
        <v>1375</v>
      </c>
      <c r="B999" s="3">
        <v>45960</v>
      </c>
      <c r="C999" s="1" t="s">
        <v>35</v>
      </c>
      <c r="D999" s="1">
        <v>10</v>
      </c>
      <c r="E999" s="1" t="s">
        <v>977</v>
      </c>
      <c r="F999" s="1" t="s">
        <v>76</v>
      </c>
      <c r="G999" s="1" t="s">
        <v>64</v>
      </c>
      <c r="H999" s="1" t="s">
        <v>53</v>
      </c>
      <c r="I999" s="1" t="s">
        <v>185</v>
      </c>
      <c r="J999" s="1">
        <v>6</v>
      </c>
      <c r="K999" s="1">
        <v>1857.86</v>
      </c>
      <c r="L999" s="1">
        <v>0.1</v>
      </c>
      <c r="M999" s="1">
        <v>11147.16</v>
      </c>
      <c r="N999" s="1">
        <v>1114.7159999999999</v>
      </c>
      <c r="O999" s="1">
        <v>10032.444</v>
      </c>
      <c r="P999" s="1">
        <v>5818.8175199999996</v>
      </c>
      <c r="Q999" s="1">
        <v>4213.6264799999999</v>
      </c>
      <c r="R999" s="1">
        <v>42</v>
      </c>
      <c r="S999" s="1" t="s">
        <v>93</v>
      </c>
    </row>
    <row r="1000" spans="1:19" x14ac:dyDescent="0.35">
      <c r="A1000" s="1" t="s">
        <v>1376</v>
      </c>
      <c r="B1000" s="3">
        <v>45683</v>
      </c>
      <c r="C1000" s="1" t="s">
        <v>193</v>
      </c>
      <c r="D1000" s="1">
        <v>1</v>
      </c>
      <c r="E1000" s="1" t="s">
        <v>138</v>
      </c>
      <c r="F1000" s="1" t="s">
        <v>76</v>
      </c>
      <c r="G1000" s="1" t="s">
        <v>38</v>
      </c>
      <c r="H1000" s="1" t="s">
        <v>31</v>
      </c>
      <c r="I1000" s="1" t="s">
        <v>167</v>
      </c>
      <c r="J1000" s="1">
        <v>3</v>
      </c>
      <c r="K1000" s="1">
        <v>2323.8000000000002</v>
      </c>
      <c r="L1000" s="1">
        <v>0</v>
      </c>
      <c r="M1000" s="1">
        <v>6971.4000000000005</v>
      </c>
      <c r="N1000" s="1">
        <v>0</v>
      </c>
      <c r="O1000" s="1">
        <v>6971.4000000000005</v>
      </c>
      <c r="P1000" s="1">
        <v>3625.1280000000011</v>
      </c>
      <c r="Q1000" s="1">
        <v>3346.2719999999999</v>
      </c>
      <c r="R1000" s="1">
        <v>47.999999999999993</v>
      </c>
      <c r="S1000" s="1" t="s">
        <v>73</v>
      </c>
    </row>
    <row r="1001" spans="1:19" x14ac:dyDescent="0.35">
      <c r="A1001" s="1" t="s">
        <v>1377</v>
      </c>
      <c r="B1001" s="3">
        <v>45812</v>
      </c>
      <c r="C1001" s="1" t="s">
        <v>82</v>
      </c>
      <c r="D1001" s="1">
        <v>6</v>
      </c>
      <c r="E1001" s="1" t="s">
        <v>675</v>
      </c>
      <c r="F1001" s="1" t="s">
        <v>22</v>
      </c>
      <c r="G1001" s="1" t="s">
        <v>64</v>
      </c>
      <c r="H1001" s="1" t="s">
        <v>31</v>
      </c>
      <c r="I1001" s="1" t="s">
        <v>59</v>
      </c>
      <c r="J1001" s="1">
        <v>7</v>
      </c>
      <c r="K1001" s="1">
        <v>513.63</v>
      </c>
      <c r="L1001" s="1">
        <v>0</v>
      </c>
      <c r="M1001" s="1">
        <v>3595.41</v>
      </c>
      <c r="N1001" s="1">
        <v>0</v>
      </c>
      <c r="O1001" s="1">
        <v>3595.41</v>
      </c>
      <c r="P1001" s="1">
        <v>1869.6132</v>
      </c>
      <c r="Q1001" s="1">
        <v>1725.7968000000001</v>
      </c>
      <c r="R1001" s="1">
        <v>48</v>
      </c>
      <c r="S1001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5A4B-9F8B-4BC5-BF5E-DF6A02DB9288}">
  <dimension ref="A3:B10"/>
  <sheetViews>
    <sheetView workbookViewId="0">
      <selection activeCell="M2" sqref="M2"/>
    </sheetView>
  </sheetViews>
  <sheetFormatPr defaultRowHeight="14.5" x14ac:dyDescent="0.35"/>
  <cols>
    <col min="1" max="1" width="14.1796875" bestFit="1" customWidth="1"/>
    <col min="2" max="2" width="17.453125" bestFit="1" customWidth="1"/>
  </cols>
  <sheetData>
    <row r="3" spans="1:2" x14ac:dyDescent="0.35">
      <c r="A3" s="5" t="s">
        <v>7</v>
      </c>
      <c r="B3" t="s">
        <v>1378</v>
      </c>
    </row>
    <row r="4" spans="1:2" x14ac:dyDescent="0.35">
      <c r="A4" t="s">
        <v>39</v>
      </c>
      <c r="B4" s="6">
        <v>4252050.5239300001</v>
      </c>
    </row>
    <row r="5" spans="1:2" x14ac:dyDescent="0.35">
      <c r="A5" t="s">
        <v>99</v>
      </c>
      <c r="B5" s="6">
        <v>2512136.6590400003</v>
      </c>
    </row>
    <row r="6" spans="1:2" x14ac:dyDescent="0.35">
      <c r="A6" t="s">
        <v>24</v>
      </c>
      <c r="B6" s="6">
        <v>717538.18297500012</v>
      </c>
    </row>
    <row r="7" spans="1:2" x14ac:dyDescent="0.35">
      <c r="A7" t="s">
        <v>31</v>
      </c>
      <c r="B7" s="6">
        <v>614399.82240000018</v>
      </c>
    </row>
    <row r="8" spans="1:2" x14ac:dyDescent="0.35">
      <c r="A8" t="s">
        <v>53</v>
      </c>
      <c r="B8" s="6">
        <v>373797.40629000007</v>
      </c>
    </row>
    <row r="9" spans="1:2" x14ac:dyDescent="0.35">
      <c r="A9" t="s">
        <v>77</v>
      </c>
      <c r="B9" s="6">
        <v>108560.88992000002</v>
      </c>
    </row>
    <row r="10" spans="1:2" x14ac:dyDescent="0.35">
      <c r="A10" t="s">
        <v>1379</v>
      </c>
      <c r="B10" s="6">
        <v>8578483.4845550004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B10B-3E24-4B90-81B5-F0F35E6976EA}">
  <dimension ref="A3:B34"/>
  <sheetViews>
    <sheetView workbookViewId="0">
      <selection activeCell="M11" sqref="M11"/>
    </sheetView>
  </sheetViews>
  <sheetFormatPr defaultRowHeight="14.5" x14ac:dyDescent="0.35"/>
  <cols>
    <col min="1" max="1" width="12.7265625" bestFit="1" customWidth="1"/>
    <col min="2" max="2" width="17.453125" bestFit="1" customWidth="1"/>
  </cols>
  <sheetData>
    <row r="3" spans="1:2" x14ac:dyDescent="0.35">
      <c r="A3" s="5" t="s">
        <v>8</v>
      </c>
      <c r="B3" t="s">
        <v>1378</v>
      </c>
    </row>
    <row r="4" spans="1:2" x14ac:dyDescent="0.35">
      <c r="A4" t="s">
        <v>40</v>
      </c>
      <c r="B4" s="6">
        <v>1046865.4797700001</v>
      </c>
    </row>
    <row r="5" spans="1:2" x14ac:dyDescent="0.35">
      <c r="A5" t="s">
        <v>155</v>
      </c>
      <c r="B5" s="6">
        <v>903959.32044000039</v>
      </c>
    </row>
    <row r="6" spans="1:2" x14ac:dyDescent="0.35">
      <c r="A6" t="s">
        <v>87</v>
      </c>
      <c r="B6" s="6">
        <v>877098.82062000001</v>
      </c>
    </row>
    <row r="7" spans="1:2" x14ac:dyDescent="0.35">
      <c r="A7" t="s">
        <v>234</v>
      </c>
      <c r="B7" s="6">
        <v>719601.58270000003</v>
      </c>
    </row>
    <row r="8" spans="1:2" x14ac:dyDescent="0.35">
      <c r="A8" t="s">
        <v>214</v>
      </c>
      <c r="B8" s="6">
        <v>704525.32039999997</v>
      </c>
    </row>
    <row r="9" spans="1:2" x14ac:dyDescent="0.35">
      <c r="A9" t="s">
        <v>108</v>
      </c>
      <c r="B9" s="6">
        <v>581308.11503999995</v>
      </c>
    </row>
    <row r="10" spans="1:2" x14ac:dyDescent="0.35">
      <c r="A10" t="s">
        <v>145</v>
      </c>
      <c r="B10" s="6">
        <v>536929.79231999989</v>
      </c>
    </row>
    <row r="11" spans="1:2" x14ac:dyDescent="0.35">
      <c r="A11" t="s">
        <v>120</v>
      </c>
      <c r="B11" s="6">
        <v>520334.17680000002</v>
      </c>
    </row>
    <row r="12" spans="1:2" x14ac:dyDescent="0.35">
      <c r="A12" t="s">
        <v>223</v>
      </c>
      <c r="B12" s="6">
        <v>454588.82831999986</v>
      </c>
    </row>
    <row r="13" spans="1:2" x14ac:dyDescent="0.35">
      <c r="A13" t="s">
        <v>100</v>
      </c>
      <c r="B13" s="6">
        <v>418975.74655999988</v>
      </c>
    </row>
    <row r="14" spans="1:2" x14ac:dyDescent="0.35">
      <c r="A14" t="s">
        <v>139</v>
      </c>
      <c r="B14" s="6">
        <v>167703.17040000003</v>
      </c>
    </row>
    <row r="15" spans="1:2" x14ac:dyDescent="0.35">
      <c r="A15" t="s">
        <v>59</v>
      </c>
      <c r="B15" s="6">
        <v>154268.46648000003</v>
      </c>
    </row>
    <row r="16" spans="1:2" x14ac:dyDescent="0.35">
      <c r="A16" t="s">
        <v>117</v>
      </c>
      <c r="B16" s="6">
        <v>150825.74040000001</v>
      </c>
    </row>
    <row r="17" spans="1:2" x14ac:dyDescent="0.35">
      <c r="A17" t="s">
        <v>44</v>
      </c>
      <c r="B17" s="6">
        <v>139934.63070000001</v>
      </c>
    </row>
    <row r="18" spans="1:2" x14ac:dyDescent="0.35">
      <c r="A18" t="s">
        <v>48</v>
      </c>
      <c r="B18" s="6">
        <v>130608.29182500001</v>
      </c>
    </row>
    <row r="19" spans="1:2" x14ac:dyDescent="0.35">
      <c r="A19" t="s">
        <v>25</v>
      </c>
      <c r="B19" s="6">
        <v>128466.34964999999</v>
      </c>
    </row>
    <row r="20" spans="1:2" x14ac:dyDescent="0.35">
      <c r="A20" t="s">
        <v>190</v>
      </c>
      <c r="B20" s="6">
        <v>125602.73280000003</v>
      </c>
    </row>
    <row r="21" spans="1:2" x14ac:dyDescent="0.35">
      <c r="A21" t="s">
        <v>32</v>
      </c>
      <c r="B21" s="6">
        <v>120138.68928000001</v>
      </c>
    </row>
    <row r="22" spans="1:2" x14ac:dyDescent="0.35">
      <c r="A22" t="s">
        <v>167</v>
      </c>
      <c r="B22" s="6">
        <v>119276.43023999999</v>
      </c>
    </row>
    <row r="23" spans="1:2" x14ac:dyDescent="0.35">
      <c r="A23" t="s">
        <v>72</v>
      </c>
      <c r="B23" s="6">
        <v>100874.93136</v>
      </c>
    </row>
    <row r="24" spans="1:2" x14ac:dyDescent="0.35">
      <c r="A24" t="s">
        <v>65</v>
      </c>
      <c r="B24" s="6">
        <v>95113.503599999996</v>
      </c>
    </row>
    <row r="25" spans="1:2" x14ac:dyDescent="0.35">
      <c r="A25" t="s">
        <v>54</v>
      </c>
      <c r="B25" s="6">
        <v>81391.187639999975</v>
      </c>
    </row>
    <row r="26" spans="1:2" x14ac:dyDescent="0.35">
      <c r="A26" t="s">
        <v>123</v>
      </c>
      <c r="B26" s="6">
        <v>71410.614870000019</v>
      </c>
    </row>
    <row r="27" spans="1:2" x14ac:dyDescent="0.35">
      <c r="A27" t="s">
        <v>185</v>
      </c>
      <c r="B27" s="6">
        <v>69910.048740000013</v>
      </c>
    </row>
    <row r="28" spans="1:2" x14ac:dyDescent="0.35">
      <c r="A28" t="s">
        <v>128</v>
      </c>
      <c r="B28" s="6">
        <v>50210.623679999997</v>
      </c>
    </row>
    <row r="29" spans="1:2" x14ac:dyDescent="0.35">
      <c r="A29" t="s">
        <v>78</v>
      </c>
      <c r="B29" s="6">
        <v>28366.630319999997</v>
      </c>
    </row>
    <row r="30" spans="1:2" x14ac:dyDescent="0.35">
      <c r="A30" t="s">
        <v>103</v>
      </c>
      <c r="B30" s="6">
        <v>25842.976320000002</v>
      </c>
    </row>
    <row r="31" spans="1:2" x14ac:dyDescent="0.35">
      <c r="A31" t="s">
        <v>201</v>
      </c>
      <c r="B31" s="6">
        <v>19066.682180000003</v>
      </c>
    </row>
    <row r="32" spans="1:2" x14ac:dyDescent="0.35">
      <c r="A32" t="s">
        <v>148</v>
      </c>
      <c r="B32" s="6">
        <v>17806.402880000001</v>
      </c>
    </row>
    <row r="33" spans="1:2" x14ac:dyDescent="0.35">
      <c r="A33" t="s">
        <v>90</v>
      </c>
      <c r="B33" s="6">
        <v>17478.198220000002</v>
      </c>
    </row>
    <row r="34" spans="1:2" x14ac:dyDescent="0.35">
      <c r="A34" t="s">
        <v>1379</v>
      </c>
      <c r="B34" s="6">
        <v>8578483.4845549986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40CA-F876-4D83-9A53-B91D7233A129}">
  <dimension ref="A3:B12"/>
  <sheetViews>
    <sheetView workbookViewId="0">
      <selection activeCell="A4" sqref="A4"/>
    </sheetView>
  </sheetViews>
  <sheetFormatPr defaultRowHeight="14.5" x14ac:dyDescent="0.35"/>
  <cols>
    <col min="1" max="1" width="16" bestFit="1" customWidth="1"/>
    <col min="2" max="3" width="20.81640625" bestFit="1" customWidth="1"/>
  </cols>
  <sheetData>
    <row r="3" spans="1:2" x14ac:dyDescent="0.35">
      <c r="A3" s="5" t="s">
        <v>11</v>
      </c>
      <c r="B3" t="s">
        <v>1380</v>
      </c>
    </row>
    <row r="4" spans="1:2" x14ac:dyDescent="0.35">
      <c r="A4" s="7">
        <v>0</v>
      </c>
      <c r="B4" s="6">
        <v>9990.4210991525451</v>
      </c>
    </row>
    <row r="5" spans="1:2" x14ac:dyDescent="0.35">
      <c r="A5" s="7">
        <v>0.05</v>
      </c>
      <c r="B5" s="6">
        <v>8764.5689770270274</v>
      </c>
    </row>
    <row r="6" spans="1:2" x14ac:dyDescent="0.35">
      <c r="A6" s="7">
        <v>0.1</v>
      </c>
      <c r="B6" s="6">
        <v>8862.58463142857</v>
      </c>
    </row>
    <row r="7" spans="1:2" x14ac:dyDescent="0.35">
      <c r="A7" s="7">
        <v>0.15</v>
      </c>
      <c r="B7" s="6">
        <v>8495.7901982673284</v>
      </c>
    </row>
    <row r="8" spans="1:2" x14ac:dyDescent="0.35">
      <c r="A8" s="7">
        <v>0.2</v>
      </c>
      <c r="B8" s="6">
        <v>6982.7519347368407</v>
      </c>
    </row>
    <row r="9" spans="1:2" x14ac:dyDescent="0.35">
      <c r="A9" s="7">
        <v>0.25</v>
      </c>
      <c r="B9" s="6">
        <v>7804.9137028846162</v>
      </c>
    </row>
    <row r="10" spans="1:2" x14ac:dyDescent="0.35">
      <c r="A10" s="7">
        <v>0.3</v>
      </c>
      <c r="B10" s="6">
        <v>8222.5569347727269</v>
      </c>
    </row>
    <row r="11" spans="1:2" x14ac:dyDescent="0.35">
      <c r="A11" s="7" t="s">
        <v>1379</v>
      </c>
      <c r="B11" s="6">
        <v>8578.4834845549849</v>
      </c>
    </row>
    <row r="12" spans="1:2" x14ac:dyDescent="0.35">
      <c r="B1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2F46-7DD0-43ED-BA6D-B9C48A031344}">
  <dimension ref="A3:B14"/>
  <sheetViews>
    <sheetView workbookViewId="0">
      <selection activeCell="E6" sqref="E6:G8"/>
    </sheetView>
  </sheetViews>
  <sheetFormatPr defaultRowHeight="14.5" x14ac:dyDescent="0.35"/>
  <cols>
    <col min="1" max="1" width="15.81640625" bestFit="1" customWidth="1"/>
    <col min="2" max="2" width="17.453125" bestFit="1" customWidth="1"/>
  </cols>
  <sheetData>
    <row r="3" spans="1:2" x14ac:dyDescent="0.35">
      <c r="A3" s="5" t="s">
        <v>5</v>
      </c>
      <c r="B3" t="s">
        <v>1378</v>
      </c>
    </row>
    <row r="4" spans="1:2" x14ac:dyDescent="0.35">
      <c r="A4" t="s">
        <v>43</v>
      </c>
      <c r="B4" s="6">
        <v>1190219.3455299998</v>
      </c>
    </row>
    <row r="5" spans="1:2" x14ac:dyDescent="0.35">
      <c r="A5" t="s">
        <v>22</v>
      </c>
      <c r="B5" s="6">
        <v>933984.35707500065</v>
      </c>
    </row>
    <row r="6" spans="1:2" x14ac:dyDescent="0.35">
      <c r="A6" t="s">
        <v>37</v>
      </c>
      <c r="B6" s="6">
        <v>887585.11581499991</v>
      </c>
    </row>
    <row r="7" spans="1:2" x14ac:dyDescent="0.35">
      <c r="A7" t="s">
        <v>76</v>
      </c>
      <c r="B7" s="6">
        <v>881010.57452500018</v>
      </c>
    </row>
    <row r="8" spans="1:2" x14ac:dyDescent="0.35">
      <c r="A8" t="s">
        <v>47</v>
      </c>
      <c r="B8" s="6">
        <v>874496.01130500028</v>
      </c>
    </row>
    <row r="9" spans="1:2" x14ac:dyDescent="0.35">
      <c r="A9" t="s">
        <v>30</v>
      </c>
      <c r="B9" s="6">
        <v>846416.53794500022</v>
      </c>
    </row>
    <row r="10" spans="1:2" x14ac:dyDescent="0.35">
      <c r="A10" t="s">
        <v>52</v>
      </c>
      <c r="B10" s="6">
        <v>807903.18303999957</v>
      </c>
    </row>
    <row r="11" spans="1:2" x14ac:dyDescent="0.35">
      <c r="A11" t="s">
        <v>111</v>
      </c>
      <c r="B11" s="6">
        <v>780876.18096500041</v>
      </c>
    </row>
    <row r="12" spans="1:2" x14ac:dyDescent="0.35">
      <c r="A12" t="s">
        <v>58</v>
      </c>
      <c r="B12" s="6">
        <v>760906.84799000015</v>
      </c>
    </row>
    <row r="13" spans="1:2" x14ac:dyDescent="0.35">
      <c r="A13" t="s">
        <v>69</v>
      </c>
      <c r="B13" s="6">
        <v>615085.33036499971</v>
      </c>
    </row>
    <row r="14" spans="1:2" x14ac:dyDescent="0.35">
      <c r="A14" t="s">
        <v>1379</v>
      </c>
      <c r="B14" s="6">
        <v>8578483.4845550004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2CE6-E095-4449-858D-DFB3CA2361D4}">
  <dimension ref="A3:B7"/>
  <sheetViews>
    <sheetView workbookViewId="0">
      <selection activeCell="C5" sqref="C5"/>
    </sheetView>
  </sheetViews>
  <sheetFormatPr defaultRowHeight="14.5" x14ac:dyDescent="0.35"/>
  <cols>
    <col min="1" max="1" width="17.26953125" bestFit="1" customWidth="1"/>
    <col min="2" max="2" width="18.453125" bestFit="1" customWidth="1"/>
  </cols>
  <sheetData>
    <row r="3" spans="1:2" x14ac:dyDescent="0.35">
      <c r="A3" s="5" t="s">
        <v>6</v>
      </c>
      <c r="B3" s="6" t="s">
        <v>1378</v>
      </c>
    </row>
    <row r="4" spans="1:2" x14ac:dyDescent="0.35">
      <c r="A4" t="s">
        <v>38</v>
      </c>
      <c r="B4" s="6">
        <v>2957432.520229998</v>
      </c>
    </row>
    <row r="5" spans="1:2" x14ac:dyDescent="0.35">
      <c r="A5" t="s">
        <v>23</v>
      </c>
      <c r="B5" s="6">
        <v>2891928.8454450001</v>
      </c>
    </row>
    <row r="6" spans="1:2" x14ac:dyDescent="0.35">
      <c r="A6" t="s">
        <v>64</v>
      </c>
      <c r="B6" s="6">
        <v>2729122.11888</v>
      </c>
    </row>
    <row r="7" spans="1:2" x14ac:dyDescent="0.35">
      <c r="A7" t="s">
        <v>1379</v>
      </c>
      <c r="B7" s="6">
        <v>8578483.4845549986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3DBB-8C7A-4C68-AC43-3F5A8B3E19C9}">
  <dimension ref="A3:C10"/>
  <sheetViews>
    <sheetView workbookViewId="0">
      <selection activeCell="E6" sqref="E6:G8"/>
    </sheetView>
  </sheetViews>
  <sheetFormatPr defaultRowHeight="14.5" x14ac:dyDescent="0.35"/>
  <cols>
    <col min="1" max="1" width="14.1796875" bestFit="1" customWidth="1"/>
    <col min="2" max="2" width="22.26953125" bestFit="1" customWidth="1"/>
    <col min="3" max="3" width="18.453125" bestFit="1" customWidth="1"/>
  </cols>
  <sheetData>
    <row r="3" spans="1:3" x14ac:dyDescent="0.35">
      <c r="A3" s="5" t="s">
        <v>7</v>
      </c>
      <c r="B3" s="6" t="s">
        <v>1381</v>
      </c>
      <c r="C3" s="6" t="s">
        <v>1378</v>
      </c>
    </row>
    <row r="4" spans="1:3" x14ac:dyDescent="0.35">
      <c r="A4" t="s">
        <v>39</v>
      </c>
      <c r="B4" s="6">
        <v>19327502.381500002</v>
      </c>
      <c r="C4" s="6">
        <v>4252050.5239300001</v>
      </c>
    </row>
    <row r="5" spans="1:3" x14ac:dyDescent="0.35">
      <c r="A5" t="s">
        <v>99</v>
      </c>
      <c r="B5" s="6">
        <v>7850427.0594999958</v>
      </c>
      <c r="C5" s="6">
        <v>2512136.6590400003</v>
      </c>
    </row>
    <row r="6" spans="1:3" x14ac:dyDescent="0.35">
      <c r="A6" t="s">
        <v>24</v>
      </c>
      <c r="B6" s="6">
        <v>1594529.2954999991</v>
      </c>
      <c r="C6" s="6">
        <v>717538.18297500012</v>
      </c>
    </row>
    <row r="7" spans="1:3" x14ac:dyDescent="0.35">
      <c r="A7" t="s">
        <v>31</v>
      </c>
      <c r="B7" s="6">
        <v>1279999.6300000004</v>
      </c>
      <c r="C7" s="6">
        <v>614399.82240000018</v>
      </c>
    </row>
    <row r="8" spans="1:3" x14ac:dyDescent="0.35">
      <c r="A8" t="s">
        <v>53</v>
      </c>
      <c r="B8" s="6">
        <v>889993.82450000022</v>
      </c>
      <c r="C8" s="6">
        <v>373797.40629000007</v>
      </c>
    </row>
    <row r="9" spans="1:3" x14ac:dyDescent="0.35">
      <c r="A9" t="s">
        <v>77</v>
      </c>
      <c r="B9" s="6">
        <v>387717.46400000015</v>
      </c>
      <c r="C9" s="6">
        <v>108560.88992000002</v>
      </c>
    </row>
    <row r="10" spans="1:3" x14ac:dyDescent="0.35">
      <c r="A10" t="s">
        <v>1379</v>
      </c>
      <c r="B10" s="6">
        <v>31330169.655000001</v>
      </c>
      <c r="C10" s="6">
        <v>8578483.4845550004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7527-5448-4778-BA04-42EA39F204E3}">
  <dimension ref="A3:B10"/>
  <sheetViews>
    <sheetView workbookViewId="0">
      <selection activeCell="O19" sqref="O19"/>
    </sheetView>
  </sheetViews>
  <sheetFormatPr defaultRowHeight="14.5" x14ac:dyDescent="0.35"/>
  <cols>
    <col min="1" max="1" width="14.1796875" bestFit="1" customWidth="1"/>
    <col min="2" max="2" width="28.1796875" bestFit="1" customWidth="1"/>
  </cols>
  <sheetData>
    <row r="3" spans="1:2" x14ac:dyDescent="0.35">
      <c r="A3" s="5" t="s">
        <v>7</v>
      </c>
      <c r="B3" t="s">
        <v>1382</v>
      </c>
    </row>
    <row r="4" spans="1:2" x14ac:dyDescent="0.35">
      <c r="A4" t="s">
        <v>31</v>
      </c>
      <c r="B4">
        <v>48</v>
      </c>
    </row>
    <row r="5" spans="1:2" x14ac:dyDescent="0.35">
      <c r="A5" t="s">
        <v>24</v>
      </c>
      <c r="B5">
        <v>45</v>
      </c>
    </row>
    <row r="6" spans="1:2" x14ac:dyDescent="0.35">
      <c r="A6" t="s">
        <v>39</v>
      </c>
      <c r="B6">
        <v>22</v>
      </c>
    </row>
    <row r="7" spans="1:2" x14ac:dyDescent="0.35">
      <c r="A7" t="s">
        <v>99</v>
      </c>
      <c r="B7">
        <v>32</v>
      </c>
    </row>
    <row r="8" spans="1:2" x14ac:dyDescent="0.35">
      <c r="A8" t="s">
        <v>77</v>
      </c>
      <c r="B8">
        <v>28</v>
      </c>
    </row>
    <row r="9" spans="1:2" x14ac:dyDescent="0.35">
      <c r="A9" t="s">
        <v>53</v>
      </c>
      <c r="B9">
        <v>42</v>
      </c>
    </row>
    <row r="10" spans="1:2" x14ac:dyDescent="0.35">
      <c r="A10" t="s">
        <v>1379</v>
      </c>
      <c r="B10">
        <v>36.344999999999999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944C-F051-4CD2-B838-B8E208A0854F}">
  <dimension ref="A3:C16"/>
  <sheetViews>
    <sheetView topLeftCell="A2" workbookViewId="0">
      <selection activeCell="M8" sqref="M8"/>
    </sheetView>
  </sheetViews>
  <sheetFormatPr defaultRowHeight="14.5" x14ac:dyDescent="0.35"/>
  <cols>
    <col min="1" max="1" width="11.7265625" bestFit="1" customWidth="1"/>
    <col min="2" max="2" width="21.26953125" bestFit="1" customWidth="1"/>
    <col min="3" max="3" width="17.453125" bestFit="1" customWidth="1"/>
  </cols>
  <sheetData>
    <row r="3" spans="1:3" x14ac:dyDescent="0.35">
      <c r="A3" s="5" t="s">
        <v>2</v>
      </c>
      <c r="B3" t="s">
        <v>1381</v>
      </c>
      <c r="C3" t="s">
        <v>1378</v>
      </c>
    </row>
    <row r="4" spans="1:3" x14ac:dyDescent="0.35">
      <c r="A4" t="s">
        <v>193</v>
      </c>
      <c r="B4" s="6">
        <v>2817014.0855000005</v>
      </c>
      <c r="C4" s="6">
        <v>737601.65944500011</v>
      </c>
    </row>
    <row r="5" spans="1:3" x14ac:dyDescent="0.35">
      <c r="A5" t="s">
        <v>42</v>
      </c>
      <c r="B5" s="6">
        <v>2881857.0065000011</v>
      </c>
      <c r="C5" s="6">
        <v>770824.14930000005</v>
      </c>
    </row>
    <row r="6" spans="1:3" x14ac:dyDescent="0.35">
      <c r="A6" t="s">
        <v>28</v>
      </c>
      <c r="B6" s="6">
        <v>2854900.5294999997</v>
      </c>
      <c r="C6" s="6">
        <v>750420.53313999984</v>
      </c>
    </row>
    <row r="7" spans="1:3" x14ac:dyDescent="0.35">
      <c r="A7" t="s">
        <v>20</v>
      </c>
      <c r="B7" s="6">
        <v>2763409.7479999987</v>
      </c>
      <c r="C7" s="6">
        <v>782862.43199999968</v>
      </c>
    </row>
    <row r="8" spans="1:3" x14ac:dyDescent="0.35">
      <c r="A8" t="s">
        <v>97</v>
      </c>
      <c r="B8" s="6">
        <v>2223538.193</v>
      </c>
      <c r="C8" s="6">
        <v>608936.40209499991</v>
      </c>
    </row>
    <row r="9" spans="1:3" x14ac:dyDescent="0.35">
      <c r="A9" t="s">
        <v>82</v>
      </c>
      <c r="B9" s="6">
        <v>2471384.0664999997</v>
      </c>
      <c r="C9" s="6">
        <v>704319.77663000009</v>
      </c>
    </row>
    <row r="10" spans="1:3" x14ac:dyDescent="0.35">
      <c r="A10" t="s">
        <v>62</v>
      </c>
      <c r="B10" s="6">
        <v>3593567.3205000013</v>
      </c>
      <c r="C10" s="6">
        <v>923183.026235</v>
      </c>
    </row>
    <row r="11" spans="1:3" x14ac:dyDescent="0.35">
      <c r="A11" t="s">
        <v>113</v>
      </c>
      <c r="B11" s="6">
        <v>2249882.3775000004</v>
      </c>
      <c r="C11" s="6">
        <v>642022.95866500004</v>
      </c>
    </row>
    <row r="12" spans="1:3" x14ac:dyDescent="0.35">
      <c r="A12" t="s">
        <v>50</v>
      </c>
      <c r="B12" s="6">
        <v>1415102.5415000001</v>
      </c>
      <c r="C12" s="6">
        <v>435549.0559449998</v>
      </c>
    </row>
    <row r="13" spans="1:3" x14ac:dyDescent="0.35">
      <c r="A13" t="s">
        <v>35</v>
      </c>
      <c r="B13" s="6">
        <v>2883355.5605000006</v>
      </c>
      <c r="C13" s="6">
        <v>807774.70534999971</v>
      </c>
    </row>
    <row r="14" spans="1:3" x14ac:dyDescent="0.35">
      <c r="A14" t="s">
        <v>56</v>
      </c>
      <c r="B14" s="6">
        <v>2431361.0274999999</v>
      </c>
      <c r="C14" s="6">
        <v>649628.97640000004</v>
      </c>
    </row>
    <row r="15" spans="1:3" x14ac:dyDescent="0.35">
      <c r="A15" t="s">
        <v>67</v>
      </c>
      <c r="B15" s="6">
        <v>2744797.1984999985</v>
      </c>
      <c r="C15" s="6">
        <v>765359.80935000035</v>
      </c>
    </row>
    <row r="16" spans="1:3" x14ac:dyDescent="0.35">
      <c r="A16" t="s">
        <v>1379</v>
      </c>
      <c r="B16" s="6">
        <v>31330169.655000001</v>
      </c>
      <c r="C16" s="6">
        <v>8578483.4845549986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BD38-E91E-45C0-A151-7C9009043369}">
  <dimension ref="A1:S1001"/>
  <sheetViews>
    <sheetView topLeftCell="E3" workbookViewId="0">
      <selection activeCell="A2" sqref="A2:S1001"/>
    </sheetView>
  </sheetViews>
  <sheetFormatPr defaultRowHeight="14.5" x14ac:dyDescent="0.35"/>
  <cols>
    <col min="1" max="1" width="15.453125" style="2" customWidth="1"/>
    <col min="2" max="2" width="22" style="2" customWidth="1"/>
    <col min="3" max="3" width="13.54296875" style="2" customWidth="1"/>
    <col min="4" max="4" width="16.54296875" style="2" customWidth="1"/>
    <col min="5" max="5" width="17.7265625" style="2" customWidth="1"/>
    <col min="6" max="6" width="17.1796875" style="2" customWidth="1"/>
    <col min="7" max="7" width="21" style="2" customWidth="1"/>
    <col min="8" max="8" width="15.54296875" style="2" customWidth="1"/>
    <col min="9" max="9" width="14.1796875" style="2" customWidth="1"/>
    <col min="10" max="10" width="15.1796875" style="2" customWidth="1"/>
    <col min="11" max="11" width="22.7265625" style="2" customWidth="1"/>
    <col min="12" max="12" width="19" style="2" customWidth="1"/>
    <col min="13" max="13" width="21.7265625" style="2" customWidth="1"/>
    <col min="14" max="14" width="28.54296875" style="2" customWidth="1"/>
    <col min="15" max="15" width="19.54296875" style="2" customWidth="1"/>
    <col min="16" max="16" width="17" style="2" customWidth="1"/>
    <col min="17" max="17" width="19.1796875" style="2" customWidth="1"/>
    <col min="18" max="18" width="23.26953125" style="2" customWidth="1"/>
    <col min="19" max="19" width="25.26953125" style="2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1" t="s">
        <v>19</v>
      </c>
      <c r="B2" s="3">
        <v>45760</v>
      </c>
      <c r="C2" s="1" t="s">
        <v>20</v>
      </c>
      <c r="D2" s="1">
        <v>4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>
        <v>5</v>
      </c>
      <c r="K2" s="1">
        <v>1508.89</v>
      </c>
      <c r="L2" s="1">
        <v>0.2</v>
      </c>
      <c r="M2" s="1">
        <v>7544.4500000000007</v>
      </c>
      <c r="N2" s="1">
        <v>1508.89</v>
      </c>
      <c r="O2" s="1">
        <v>6035.56</v>
      </c>
      <c r="P2" s="1">
        <v>3319.558</v>
      </c>
      <c r="Q2" s="1">
        <v>2716.002</v>
      </c>
      <c r="R2" s="1">
        <v>44.999999999999993</v>
      </c>
      <c r="S2" s="1" t="s">
        <v>26</v>
      </c>
    </row>
    <row r="3" spans="1:19" x14ac:dyDescent="0.35">
      <c r="A3" s="1" t="s">
        <v>27</v>
      </c>
      <c r="B3" s="3">
        <v>45745</v>
      </c>
      <c r="C3" s="1" t="s">
        <v>28</v>
      </c>
      <c r="D3" s="1">
        <v>3</v>
      </c>
      <c r="E3" s="1" t="s">
        <v>29</v>
      </c>
      <c r="F3" s="1" t="s">
        <v>30</v>
      </c>
      <c r="G3" s="1" t="s">
        <v>23</v>
      </c>
      <c r="H3" s="1" t="s">
        <v>31</v>
      </c>
      <c r="I3" s="1" t="s">
        <v>32</v>
      </c>
      <c r="J3" s="1">
        <v>4</v>
      </c>
      <c r="K3" s="1">
        <v>671.46</v>
      </c>
      <c r="L3" s="1">
        <v>0.15</v>
      </c>
      <c r="M3" s="1">
        <v>2685.84</v>
      </c>
      <c r="N3" s="1">
        <v>402.87599999999998</v>
      </c>
      <c r="O3" s="1">
        <v>2282.9639999999999</v>
      </c>
      <c r="P3" s="1">
        <v>1187.1412800000001</v>
      </c>
      <c r="Q3" s="1">
        <v>1095.8227199999999</v>
      </c>
      <c r="R3" s="1">
        <v>48</v>
      </c>
      <c r="S3" s="1" t="s">
        <v>33</v>
      </c>
    </row>
    <row r="4" spans="1:19" x14ac:dyDescent="0.35">
      <c r="A4" s="1" t="s">
        <v>34</v>
      </c>
      <c r="B4" s="3">
        <v>45934</v>
      </c>
      <c r="C4" s="1" t="s">
        <v>35</v>
      </c>
      <c r="D4" s="1">
        <v>10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>
        <v>4</v>
      </c>
      <c r="K4" s="1">
        <v>42864.23</v>
      </c>
      <c r="L4" s="1">
        <v>0</v>
      </c>
      <c r="M4" s="1">
        <v>171456.92</v>
      </c>
      <c r="N4" s="1">
        <v>0</v>
      </c>
      <c r="O4" s="1">
        <v>171456.92</v>
      </c>
      <c r="P4" s="1">
        <v>133736.3976</v>
      </c>
      <c r="Q4" s="1">
        <v>37720.522399999987</v>
      </c>
      <c r="R4" s="1">
        <v>21.999999999999989</v>
      </c>
      <c r="S4" s="1" t="s">
        <v>33</v>
      </c>
    </row>
    <row r="5" spans="1:19" x14ac:dyDescent="0.35">
      <c r="A5" s="1" t="s">
        <v>41</v>
      </c>
      <c r="B5" s="3">
        <v>45712</v>
      </c>
      <c r="C5" s="1" t="s">
        <v>42</v>
      </c>
      <c r="D5" s="1">
        <v>2</v>
      </c>
      <c r="E5" s="1" t="s">
        <v>21</v>
      </c>
      <c r="F5" s="1" t="s">
        <v>43</v>
      </c>
      <c r="G5" s="1" t="s">
        <v>38</v>
      </c>
      <c r="H5" s="1" t="s">
        <v>24</v>
      </c>
      <c r="I5" s="1" t="s">
        <v>44</v>
      </c>
      <c r="J5" s="1">
        <v>1</v>
      </c>
      <c r="K5" s="1">
        <v>755.48</v>
      </c>
      <c r="L5" s="1">
        <v>0.15</v>
      </c>
      <c r="M5" s="1">
        <v>755.48</v>
      </c>
      <c r="N5" s="1">
        <v>113.322</v>
      </c>
      <c r="O5" s="1">
        <v>642.15800000000002</v>
      </c>
      <c r="P5" s="1">
        <v>353.18689999999998</v>
      </c>
      <c r="Q5" s="1">
        <v>288.97109999999998</v>
      </c>
      <c r="R5" s="1">
        <v>44.999999999999993</v>
      </c>
      <c r="S5" s="1" t="s">
        <v>33</v>
      </c>
    </row>
    <row r="6" spans="1:19" x14ac:dyDescent="0.35">
      <c r="A6" s="1" t="s">
        <v>45</v>
      </c>
      <c r="B6" s="3">
        <v>45746</v>
      </c>
      <c r="C6" s="1" t="s">
        <v>28</v>
      </c>
      <c r="D6" s="1">
        <v>3</v>
      </c>
      <c r="E6" s="1" t="s">
        <v>46</v>
      </c>
      <c r="F6" s="1" t="s">
        <v>47</v>
      </c>
      <c r="G6" s="1" t="s">
        <v>38</v>
      </c>
      <c r="H6" s="1" t="s">
        <v>24</v>
      </c>
      <c r="I6" s="1" t="s">
        <v>48</v>
      </c>
      <c r="J6" s="1">
        <v>6</v>
      </c>
      <c r="K6" s="1">
        <v>4946.1899999999996</v>
      </c>
      <c r="L6" s="1">
        <v>0.1</v>
      </c>
      <c r="M6" s="1">
        <v>29677.14</v>
      </c>
      <c r="N6" s="1">
        <v>2967.7139999999999</v>
      </c>
      <c r="O6" s="1">
        <v>26709.425999999999</v>
      </c>
      <c r="P6" s="1">
        <v>14690.184300000001</v>
      </c>
      <c r="Q6" s="1">
        <v>12019.2417</v>
      </c>
      <c r="R6" s="1">
        <v>44.999999999999993</v>
      </c>
      <c r="S6" s="1" t="s">
        <v>33</v>
      </c>
    </row>
    <row r="7" spans="1:19" x14ac:dyDescent="0.35">
      <c r="A7" s="1" t="s">
        <v>49</v>
      </c>
      <c r="B7" s="3">
        <v>45921</v>
      </c>
      <c r="C7" s="1" t="s">
        <v>50</v>
      </c>
      <c r="D7" s="1">
        <v>9</v>
      </c>
      <c r="E7" s="1" t="s">
        <v>51</v>
      </c>
      <c r="F7" s="1" t="s">
        <v>52</v>
      </c>
      <c r="G7" s="1" t="s">
        <v>23</v>
      </c>
      <c r="H7" s="1" t="s">
        <v>53</v>
      </c>
      <c r="I7" s="1" t="s">
        <v>54</v>
      </c>
      <c r="J7" s="1">
        <v>6</v>
      </c>
      <c r="K7" s="1">
        <v>1038.55</v>
      </c>
      <c r="L7" s="1">
        <v>0.05</v>
      </c>
      <c r="M7" s="1">
        <v>6231.2999999999993</v>
      </c>
      <c r="N7" s="1">
        <v>311.565</v>
      </c>
      <c r="O7" s="1">
        <v>5919.7349999999997</v>
      </c>
      <c r="P7" s="1">
        <v>3433.4463000000001</v>
      </c>
      <c r="Q7" s="1">
        <v>2486.2887000000001</v>
      </c>
      <c r="R7" s="1">
        <v>42.000000000000007</v>
      </c>
      <c r="S7" s="1" t="s">
        <v>33</v>
      </c>
    </row>
    <row r="8" spans="1:19" x14ac:dyDescent="0.35">
      <c r="A8" s="1" t="s">
        <v>55</v>
      </c>
      <c r="B8" s="3">
        <v>45967</v>
      </c>
      <c r="C8" s="1" t="s">
        <v>56</v>
      </c>
      <c r="D8" s="1">
        <v>11</v>
      </c>
      <c r="E8" s="1" t="s">
        <v>57</v>
      </c>
      <c r="F8" s="1" t="s">
        <v>58</v>
      </c>
      <c r="G8" s="1" t="s">
        <v>23</v>
      </c>
      <c r="H8" s="1" t="s">
        <v>31</v>
      </c>
      <c r="I8" s="1" t="s">
        <v>59</v>
      </c>
      <c r="J8" s="1">
        <v>7</v>
      </c>
      <c r="K8" s="1">
        <v>2979.54</v>
      </c>
      <c r="L8" s="1">
        <v>0.1</v>
      </c>
      <c r="M8" s="1">
        <v>20856.78</v>
      </c>
      <c r="N8" s="1">
        <v>2085.6779999999999</v>
      </c>
      <c r="O8" s="1">
        <v>18771.101999999999</v>
      </c>
      <c r="P8" s="1">
        <v>9760.9730399999989</v>
      </c>
      <c r="Q8" s="1">
        <v>9010.12896</v>
      </c>
      <c r="R8" s="1">
        <v>48.000000000000007</v>
      </c>
      <c r="S8" s="1" t="s">
        <v>60</v>
      </c>
    </row>
    <row r="9" spans="1:19" x14ac:dyDescent="0.35">
      <c r="A9" s="1" t="s">
        <v>61</v>
      </c>
      <c r="B9" s="3">
        <v>45847</v>
      </c>
      <c r="C9" s="1" t="s">
        <v>62</v>
      </c>
      <c r="D9" s="1">
        <v>7</v>
      </c>
      <c r="E9" s="1" t="s">
        <v>63</v>
      </c>
      <c r="F9" s="1" t="s">
        <v>43</v>
      </c>
      <c r="G9" s="1" t="s">
        <v>64</v>
      </c>
      <c r="H9" s="1" t="s">
        <v>31</v>
      </c>
      <c r="I9" s="1" t="s">
        <v>65</v>
      </c>
      <c r="J9" s="1">
        <v>5</v>
      </c>
      <c r="K9" s="1">
        <v>1095.45</v>
      </c>
      <c r="L9" s="1">
        <v>0.2</v>
      </c>
      <c r="M9" s="1">
        <v>5477.25</v>
      </c>
      <c r="N9" s="1">
        <v>1095.45</v>
      </c>
      <c r="O9" s="1">
        <v>4381.8</v>
      </c>
      <c r="P9" s="1">
        <v>2278.5360000000001</v>
      </c>
      <c r="Q9" s="1">
        <v>2103.2640000000001</v>
      </c>
      <c r="R9" s="1">
        <v>48</v>
      </c>
      <c r="S9" s="1" t="s">
        <v>60</v>
      </c>
    </row>
    <row r="10" spans="1:19" x14ac:dyDescent="0.35">
      <c r="A10" s="1" t="s">
        <v>66</v>
      </c>
      <c r="B10" s="3">
        <v>46002</v>
      </c>
      <c r="C10" s="1" t="s">
        <v>67</v>
      </c>
      <c r="D10" s="1">
        <v>12</v>
      </c>
      <c r="E10" s="1" t="s">
        <v>68</v>
      </c>
      <c r="F10" s="1" t="s">
        <v>69</v>
      </c>
      <c r="G10" s="1" t="s">
        <v>64</v>
      </c>
      <c r="H10" s="1" t="s">
        <v>39</v>
      </c>
      <c r="I10" s="1" t="s">
        <v>40</v>
      </c>
      <c r="J10" s="1">
        <v>1</v>
      </c>
      <c r="K10" s="1">
        <v>19326.79</v>
      </c>
      <c r="L10" s="1">
        <v>0</v>
      </c>
      <c r="M10" s="1">
        <v>19326.79</v>
      </c>
      <c r="N10" s="1">
        <v>0</v>
      </c>
      <c r="O10" s="1">
        <v>19326.79</v>
      </c>
      <c r="P10" s="1">
        <v>15074.896199999999</v>
      </c>
      <c r="Q10" s="1">
        <v>4251.8937999999998</v>
      </c>
      <c r="R10" s="1">
        <v>22</v>
      </c>
      <c r="S10" s="1" t="s">
        <v>26</v>
      </c>
    </row>
    <row r="11" spans="1:19" x14ac:dyDescent="0.35">
      <c r="A11" s="1" t="s">
        <v>70</v>
      </c>
      <c r="B11" s="3">
        <v>45946</v>
      </c>
      <c r="C11" s="1" t="s">
        <v>35</v>
      </c>
      <c r="D11" s="1">
        <v>10</v>
      </c>
      <c r="E11" s="1" t="s">
        <v>71</v>
      </c>
      <c r="F11" s="1" t="s">
        <v>22</v>
      </c>
      <c r="G11" s="1" t="s">
        <v>64</v>
      </c>
      <c r="H11" s="1" t="s">
        <v>53</v>
      </c>
      <c r="I11" s="1" t="s">
        <v>72</v>
      </c>
      <c r="J11" s="1">
        <v>5</v>
      </c>
      <c r="K11" s="1">
        <v>2323.12</v>
      </c>
      <c r="L11" s="1">
        <v>0.15</v>
      </c>
      <c r="M11" s="1">
        <v>11615.6</v>
      </c>
      <c r="N11" s="1">
        <v>1742.34</v>
      </c>
      <c r="O11" s="1">
        <v>9873.2599999999984</v>
      </c>
      <c r="P11" s="1">
        <v>5726.4907999999987</v>
      </c>
      <c r="Q11" s="1">
        <v>4146.7691999999997</v>
      </c>
      <c r="R11" s="1">
        <v>42.000000000000007</v>
      </c>
      <c r="S11" s="1" t="s">
        <v>73</v>
      </c>
    </row>
    <row r="12" spans="1:19" x14ac:dyDescent="0.35">
      <c r="A12" s="1" t="s">
        <v>74</v>
      </c>
      <c r="B12" s="3">
        <v>45690</v>
      </c>
      <c r="C12" s="1" t="s">
        <v>42</v>
      </c>
      <c r="D12" s="1">
        <v>2</v>
      </c>
      <c r="E12" s="1" t="s">
        <v>75</v>
      </c>
      <c r="F12" s="1" t="s">
        <v>76</v>
      </c>
      <c r="G12" s="1" t="s">
        <v>38</v>
      </c>
      <c r="H12" s="1" t="s">
        <v>77</v>
      </c>
      <c r="I12" s="1" t="s">
        <v>78</v>
      </c>
      <c r="J12" s="1">
        <v>5</v>
      </c>
      <c r="K12" s="1">
        <v>889.05</v>
      </c>
      <c r="L12" s="1">
        <v>0.15</v>
      </c>
      <c r="M12" s="1">
        <v>4445.25</v>
      </c>
      <c r="N12" s="1">
        <v>666.78750000000002</v>
      </c>
      <c r="O12" s="1">
        <v>3778.4625000000001</v>
      </c>
      <c r="P12" s="1">
        <v>2720.4929999999999</v>
      </c>
      <c r="Q12" s="1">
        <v>1057.9694999999999</v>
      </c>
      <c r="R12" s="1">
        <v>28</v>
      </c>
      <c r="S12" s="1" t="s">
        <v>26</v>
      </c>
    </row>
    <row r="13" spans="1:19" x14ac:dyDescent="0.35">
      <c r="A13" s="1" t="s">
        <v>79</v>
      </c>
      <c r="B13" s="3">
        <v>45914</v>
      </c>
      <c r="C13" s="1" t="s">
        <v>50</v>
      </c>
      <c r="D13" s="1">
        <v>9</v>
      </c>
      <c r="E13" s="1" t="s">
        <v>80</v>
      </c>
      <c r="F13" s="1" t="s">
        <v>43</v>
      </c>
      <c r="G13" s="1" t="s">
        <v>38</v>
      </c>
      <c r="H13" s="1" t="s">
        <v>31</v>
      </c>
      <c r="I13" s="1" t="s">
        <v>32</v>
      </c>
      <c r="J13" s="1">
        <v>2</v>
      </c>
      <c r="K13" s="1">
        <v>978.75</v>
      </c>
      <c r="L13" s="1">
        <v>0.05</v>
      </c>
      <c r="M13" s="1">
        <v>1957.5</v>
      </c>
      <c r="N13" s="1">
        <v>97.875</v>
      </c>
      <c r="O13" s="1">
        <v>1859.625</v>
      </c>
      <c r="P13" s="1">
        <v>967.005</v>
      </c>
      <c r="Q13" s="1">
        <v>892.62</v>
      </c>
      <c r="R13" s="1">
        <v>48</v>
      </c>
      <c r="S13" s="1" t="s">
        <v>73</v>
      </c>
    </row>
    <row r="14" spans="1:19" x14ac:dyDescent="0.35">
      <c r="A14" s="1" t="s">
        <v>81</v>
      </c>
      <c r="B14" s="3">
        <v>45836</v>
      </c>
      <c r="C14" s="1" t="s">
        <v>82</v>
      </c>
      <c r="D14" s="1">
        <v>6</v>
      </c>
      <c r="E14" s="1" t="s">
        <v>83</v>
      </c>
      <c r="F14" s="1" t="s">
        <v>58</v>
      </c>
      <c r="G14" s="1" t="s">
        <v>64</v>
      </c>
      <c r="H14" s="1" t="s">
        <v>39</v>
      </c>
      <c r="I14" s="1" t="s">
        <v>40</v>
      </c>
      <c r="J14" s="1">
        <v>4</v>
      </c>
      <c r="K14" s="1">
        <v>40106.71</v>
      </c>
      <c r="L14" s="1">
        <v>0.15</v>
      </c>
      <c r="M14" s="1">
        <v>160426.84</v>
      </c>
      <c r="N14" s="1">
        <v>24064.026000000002</v>
      </c>
      <c r="O14" s="1">
        <v>136362.81400000001</v>
      </c>
      <c r="P14" s="1">
        <v>106362.99492</v>
      </c>
      <c r="Q14" s="1">
        <v>29999.819080000001</v>
      </c>
      <c r="R14" s="1">
        <v>22</v>
      </c>
      <c r="S14" s="1" t="s">
        <v>26</v>
      </c>
    </row>
    <row r="15" spans="1:19" x14ac:dyDescent="0.35">
      <c r="A15" s="1" t="s">
        <v>84</v>
      </c>
      <c r="B15" s="3">
        <v>45743</v>
      </c>
      <c r="C15" s="1" t="s">
        <v>28</v>
      </c>
      <c r="D15" s="1">
        <v>3</v>
      </c>
      <c r="E15" s="1" t="s">
        <v>85</v>
      </c>
      <c r="F15" s="1" t="s">
        <v>58</v>
      </c>
      <c r="G15" s="1" t="s">
        <v>23</v>
      </c>
      <c r="H15" s="1" t="s">
        <v>24</v>
      </c>
      <c r="I15" s="1" t="s">
        <v>25</v>
      </c>
      <c r="J15" s="1">
        <v>2</v>
      </c>
      <c r="K15" s="1">
        <v>3933.95</v>
      </c>
      <c r="L15" s="1">
        <v>0.05</v>
      </c>
      <c r="M15" s="1">
        <v>7867.9</v>
      </c>
      <c r="N15" s="1">
        <v>393.39499999999998</v>
      </c>
      <c r="O15" s="1">
        <v>7474.5049999999992</v>
      </c>
      <c r="P15" s="1">
        <v>4110.97775</v>
      </c>
      <c r="Q15" s="1">
        <v>3363.5272499999992</v>
      </c>
      <c r="R15" s="1">
        <v>44.999999999999993</v>
      </c>
      <c r="S15" s="1" t="s">
        <v>73</v>
      </c>
    </row>
    <row r="16" spans="1:19" x14ac:dyDescent="0.35">
      <c r="A16" s="1" t="s">
        <v>86</v>
      </c>
      <c r="B16" s="3">
        <v>46005</v>
      </c>
      <c r="C16" s="1" t="s">
        <v>67</v>
      </c>
      <c r="D16" s="1">
        <v>12</v>
      </c>
      <c r="E16" s="1" t="s">
        <v>80</v>
      </c>
      <c r="F16" s="1" t="s">
        <v>43</v>
      </c>
      <c r="G16" s="1" t="s">
        <v>64</v>
      </c>
      <c r="H16" s="1" t="s">
        <v>39</v>
      </c>
      <c r="I16" s="1" t="s">
        <v>87</v>
      </c>
      <c r="J16" s="1">
        <v>7</v>
      </c>
      <c r="K16" s="1">
        <v>59689.22</v>
      </c>
      <c r="L16" s="1">
        <v>0.05</v>
      </c>
      <c r="M16" s="1">
        <v>417824.54</v>
      </c>
      <c r="N16" s="1">
        <v>20891.226999999999</v>
      </c>
      <c r="O16" s="1">
        <v>396933.31300000002</v>
      </c>
      <c r="P16" s="1">
        <v>309607.98414000002</v>
      </c>
      <c r="Q16" s="1">
        <v>87325.328860000009</v>
      </c>
      <c r="R16" s="1">
        <v>22</v>
      </c>
      <c r="S16" s="1" t="s">
        <v>26</v>
      </c>
    </row>
    <row r="17" spans="1:19" x14ac:dyDescent="0.35">
      <c r="A17" s="1" t="s">
        <v>88</v>
      </c>
      <c r="B17" s="3">
        <v>46016</v>
      </c>
      <c r="C17" s="1" t="s">
        <v>67</v>
      </c>
      <c r="D17" s="1">
        <v>12</v>
      </c>
      <c r="E17" s="1" t="s">
        <v>89</v>
      </c>
      <c r="F17" s="1" t="s">
        <v>30</v>
      </c>
      <c r="G17" s="1" t="s">
        <v>38</v>
      </c>
      <c r="H17" s="1" t="s">
        <v>77</v>
      </c>
      <c r="I17" s="1" t="s">
        <v>90</v>
      </c>
      <c r="J17" s="1">
        <v>3</v>
      </c>
      <c r="K17" s="1">
        <v>530.02</v>
      </c>
      <c r="L17" s="1">
        <v>0.05</v>
      </c>
      <c r="M17" s="1">
        <v>1590.06</v>
      </c>
      <c r="N17" s="1">
        <v>79.503</v>
      </c>
      <c r="O17" s="1">
        <v>1510.557</v>
      </c>
      <c r="P17" s="1">
        <v>1087.60104</v>
      </c>
      <c r="Q17" s="1">
        <v>422.95596</v>
      </c>
      <c r="R17" s="1">
        <v>28</v>
      </c>
      <c r="S17" s="1" t="s">
        <v>60</v>
      </c>
    </row>
    <row r="18" spans="1:19" x14ac:dyDescent="0.35">
      <c r="A18" s="1" t="s">
        <v>91</v>
      </c>
      <c r="B18" s="3">
        <v>45837</v>
      </c>
      <c r="C18" s="1" t="s">
        <v>82</v>
      </c>
      <c r="D18" s="1">
        <v>6</v>
      </c>
      <c r="E18" s="1" t="s">
        <v>92</v>
      </c>
      <c r="F18" s="1" t="s">
        <v>47</v>
      </c>
      <c r="G18" s="1" t="s">
        <v>38</v>
      </c>
      <c r="H18" s="1" t="s">
        <v>39</v>
      </c>
      <c r="I18" s="1" t="s">
        <v>87</v>
      </c>
      <c r="J18" s="1">
        <v>6</v>
      </c>
      <c r="K18" s="1">
        <v>63391.58</v>
      </c>
      <c r="L18" s="1">
        <v>0.3</v>
      </c>
      <c r="M18" s="1">
        <v>380349.48</v>
      </c>
      <c r="N18" s="1">
        <v>114104.844</v>
      </c>
      <c r="O18" s="1">
        <v>266244.636</v>
      </c>
      <c r="P18" s="1">
        <v>207670.81607999999</v>
      </c>
      <c r="Q18" s="1">
        <v>58573.81991999998</v>
      </c>
      <c r="R18" s="1">
        <v>21.999999999999989</v>
      </c>
      <c r="S18" s="1" t="s">
        <v>93</v>
      </c>
    </row>
    <row r="19" spans="1:19" x14ac:dyDescent="0.35">
      <c r="A19" s="1" t="s">
        <v>94</v>
      </c>
      <c r="B19" s="3">
        <v>45770</v>
      </c>
      <c r="C19" s="1" t="s">
        <v>20</v>
      </c>
      <c r="D19" s="1">
        <v>4</v>
      </c>
      <c r="E19" s="1" t="s">
        <v>95</v>
      </c>
      <c r="F19" s="1" t="s">
        <v>22</v>
      </c>
      <c r="G19" s="1" t="s">
        <v>64</v>
      </c>
      <c r="H19" s="1" t="s">
        <v>39</v>
      </c>
      <c r="I19" s="1" t="s">
        <v>87</v>
      </c>
      <c r="J19" s="1">
        <v>3</v>
      </c>
      <c r="K19" s="1">
        <v>42745.17</v>
      </c>
      <c r="L19" s="1">
        <v>0.1</v>
      </c>
      <c r="M19" s="1">
        <v>128235.51</v>
      </c>
      <c r="N19" s="1">
        <v>12823.550999999999</v>
      </c>
      <c r="O19" s="1">
        <v>115411.959</v>
      </c>
      <c r="P19" s="1">
        <v>90021.328020000001</v>
      </c>
      <c r="Q19" s="1">
        <v>25390.630980000002</v>
      </c>
      <c r="R19" s="1">
        <v>22</v>
      </c>
      <c r="S19" s="1" t="s">
        <v>60</v>
      </c>
    </row>
    <row r="20" spans="1:19" x14ac:dyDescent="0.35">
      <c r="A20" s="1" t="s">
        <v>96</v>
      </c>
      <c r="B20" s="3">
        <v>45783</v>
      </c>
      <c r="C20" s="1" t="s">
        <v>97</v>
      </c>
      <c r="D20" s="1">
        <v>5</v>
      </c>
      <c r="E20" s="1" t="s">
        <v>98</v>
      </c>
      <c r="F20" s="1" t="s">
        <v>58</v>
      </c>
      <c r="G20" s="1" t="s">
        <v>38</v>
      </c>
      <c r="H20" s="1" t="s">
        <v>99</v>
      </c>
      <c r="I20" s="1" t="s">
        <v>100</v>
      </c>
      <c r="J20" s="1">
        <v>5</v>
      </c>
      <c r="K20" s="1">
        <v>13512.69</v>
      </c>
      <c r="L20" s="1">
        <v>0.3</v>
      </c>
      <c r="M20" s="1">
        <v>67563.45</v>
      </c>
      <c r="N20" s="1">
        <v>20269.035</v>
      </c>
      <c r="O20" s="1">
        <v>47294.414999999994</v>
      </c>
      <c r="P20" s="1">
        <v>32160.2022</v>
      </c>
      <c r="Q20" s="1">
        <v>15134.21279999999</v>
      </c>
      <c r="R20" s="1">
        <v>31.999999999999989</v>
      </c>
      <c r="S20" s="1" t="s">
        <v>26</v>
      </c>
    </row>
    <row r="21" spans="1:19" x14ac:dyDescent="0.35">
      <c r="A21" s="1" t="s">
        <v>101</v>
      </c>
      <c r="B21" s="3">
        <v>45912</v>
      </c>
      <c r="C21" s="1" t="s">
        <v>50</v>
      </c>
      <c r="D21" s="1">
        <v>9</v>
      </c>
      <c r="E21" s="1" t="s">
        <v>102</v>
      </c>
      <c r="F21" s="1" t="s">
        <v>76</v>
      </c>
      <c r="G21" s="1" t="s">
        <v>64</v>
      </c>
      <c r="H21" s="1" t="s">
        <v>77</v>
      </c>
      <c r="I21" s="1" t="s">
        <v>103</v>
      </c>
      <c r="J21" s="1">
        <v>5</v>
      </c>
      <c r="K21" s="1">
        <v>777.15</v>
      </c>
      <c r="L21" s="1">
        <v>0.15</v>
      </c>
      <c r="M21" s="1">
        <v>3885.75</v>
      </c>
      <c r="N21" s="1">
        <v>582.86249999999995</v>
      </c>
      <c r="O21" s="1">
        <v>3302.8874999999998</v>
      </c>
      <c r="P21" s="1">
        <v>2378.0790000000002</v>
      </c>
      <c r="Q21" s="1">
        <v>924.80850000000009</v>
      </c>
      <c r="R21" s="1">
        <v>28</v>
      </c>
      <c r="S21" s="1" t="s">
        <v>26</v>
      </c>
    </row>
    <row r="22" spans="1:19" x14ac:dyDescent="0.35">
      <c r="A22" s="1" t="s">
        <v>104</v>
      </c>
      <c r="B22" s="3">
        <v>45983</v>
      </c>
      <c r="C22" s="1" t="s">
        <v>56</v>
      </c>
      <c r="D22" s="1">
        <v>11</v>
      </c>
      <c r="E22" s="1" t="s">
        <v>105</v>
      </c>
      <c r="F22" s="1" t="s">
        <v>58</v>
      </c>
      <c r="G22" s="1" t="s">
        <v>38</v>
      </c>
      <c r="H22" s="1" t="s">
        <v>31</v>
      </c>
      <c r="I22" s="1" t="s">
        <v>59</v>
      </c>
      <c r="J22" s="1">
        <v>3</v>
      </c>
      <c r="K22" s="1">
        <v>2149.9499999999998</v>
      </c>
      <c r="L22" s="1">
        <v>0.15</v>
      </c>
      <c r="M22" s="1">
        <v>6449.8499999999995</v>
      </c>
      <c r="N22" s="1">
        <v>967.47749999999985</v>
      </c>
      <c r="O22" s="1">
        <v>5482.3724999999986</v>
      </c>
      <c r="P22" s="1">
        <v>2850.8337000000001</v>
      </c>
      <c r="Q22" s="1">
        <v>2631.5387999999998</v>
      </c>
      <c r="R22" s="1">
        <v>48</v>
      </c>
      <c r="S22" s="1" t="s">
        <v>60</v>
      </c>
    </row>
    <row r="23" spans="1:19" x14ac:dyDescent="0.35">
      <c r="A23" s="1" t="s">
        <v>106</v>
      </c>
      <c r="B23" s="3">
        <v>45785</v>
      </c>
      <c r="C23" s="1" t="s">
        <v>97</v>
      </c>
      <c r="D23" s="1">
        <v>5</v>
      </c>
      <c r="E23" s="1" t="s">
        <v>107</v>
      </c>
      <c r="F23" s="1" t="s">
        <v>37</v>
      </c>
      <c r="G23" s="1" t="s">
        <v>38</v>
      </c>
      <c r="H23" s="1" t="s">
        <v>99</v>
      </c>
      <c r="I23" s="1" t="s">
        <v>108</v>
      </c>
      <c r="J23" s="1">
        <v>1</v>
      </c>
      <c r="K23" s="1">
        <v>17703.03</v>
      </c>
      <c r="L23" s="1">
        <v>0.15</v>
      </c>
      <c r="M23" s="1">
        <v>17703.03</v>
      </c>
      <c r="N23" s="1">
        <v>2655.4544999999998</v>
      </c>
      <c r="O23" s="1">
        <v>15047.575500000001</v>
      </c>
      <c r="P23" s="1">
        <v>10232.351339999999</v>
      </c>
      <c r="Q23" s="1">
        <v>4815.2241599999998</v>
      </c>
      <c r="R23" s="1">
        <v>32</v>
      </c>
      <c r="S23" s="1" t="s">
        <v>73</v>
      </c>
    </row>
    <row r="24" spans="1:19" x14ac:dyDescent="0.35">
      <c r="A24" s="1" t="s">
        <v>109</v>
      </c>
      <c r="B24" s="3">
        <v>45769</v>
      </c>
      <c r="C24" s="1" t="s">
        <v>20</v>
      </c>
      <c r="D24" s="1">
        <v>4</v>
      </c>
      <c r="E24" s="1" t="s">
        <v>110</v>
      </c>
      <c r="F24" s="1" t="s">
        <v>111</v>
      </c>
      <c r="G24" s="1" t="s">
        <v>64</v>
      </c>
      <c r="H24" s="1" t="s">
        <v>39</v>
      </c>
      <c r="I24" s="1" t="s">
        <v>40</v>
      </c>
      <c r="J24" s="1">
        <v>4</v>
      </c>
      <c r="K24" s="1">
        <v>38190.080000000002</v>
      </c>
      <c r="L24" s="1">
        <v>0.05</v>
      </c>
      <c r="M24" s="1">
        <v>152760.32000000001</v>
      </c>
      <c r="N24" s="1">
        <v>7638.0160000000014</v>
      </c>
      <c r="O24" s="1">
        <v>145122.304</v>
      </c>
      <c r="P24" s="1">
        <v>113195.39711999999</v>
      </c>
      <c r="Q24" s="1">
        <v>31926.906879999991</v>
      </c>
      <c r="R24" s="1">
        <v>22</v>
      </c>
      <c r="S24" s="1" t="s">
        <v>60</v>
      </c>
    </row>
    <row r="25" spans="1:19" x14ac:dyDescent="0.35">
      <c r="A25" s="1" t="s">
        <v>112</v>
      </c>
      <c r="B25" s="3">
        <v>45890</v>
      </c>
      <c r="C25" s="1" t="s">
        <v>113</v>
      </c>
      <c r="D25" s="1">
        <v>8</v>
      </c>
      <c r="E25" s="1" t="s">
        <v>114</v>
      </c>
      <c r="F25" s="1" t="s">
        <v>52</v>
      </c>
      <c r="G25" s="1" t="s">
        <v>64</v>
      </c>
      <c r="H25" s="1" t="s">
        <v>53</v>
      </c>
      <c r="I25" s="1" t="s">
        <v>72</v>
      </c>
      <c r="J25" s="1">
        <v>3</v>
      </c>
      <c r="K25" s="1">
        <v>1842.29</v>
      </c>
      <c r="L25" s="1">
        <v>0.25</v>
      </c>
      <c r="M25" s="1">
        <v>5526.87</v>
      </c>
      <c r="N25" s="1">
        <v>1381.7175</v>
      </c>
      <c r="O25" s="1">
        <v>4145.1525000000001</v>
      </c>
      <c r="P25" s="1">
        <v>2404.1884500000001</v>
      </c>
      <c r="Q25" s="1">
        <v>1740.96405</v>
      </c>
      <c r="R25" s="1">
        <v>42</v>
      </c>
      <c r="S25" s="1" t="s">
        <v>26</v>
      </c>
    </row>
    <row r="26" spans="1:19" x14ac:dyDescent="0.35">
      <c r="A26" s="1" t="s">
        <v>115</v>
      </c>
      <c r="B26" s="3">
        <v>45770</v>
      </c>
      <c r="C26" s="1" t="s">
        <v>20</v>
      </c>
      <c r="D26" s="1">
        <v>4</v>
      </c>
      <c r="E26" s="1" t="s">
        <v>116</v>
      </c>
      <c r="F26" s="1" t="s">
        <v>43</v>
      </c>
      <c r="G26" s="1" t="s">
        <v>38</v>
      </c>
      <c r="H26" s="1" t="s">
        <v>24</v>
      </c>
      <c r="I26" s="1" t="s">
        <v>117</v>
      </c>
      <c r="J26" s="1">
        <v>6</v>
      </c>
      <c r="K26" s="1">
        <v>4179.4399999999996</v>
      </c>
      <c r="L26" s="1">
        <v>0.15</v>
      </c>
      <c r="M26" s="1">
        <v>25076.639999999999</v>
      </c>
      <c r="N26" s="1">
        <v>3761.4960000000001</v>
      </c>
      <c r="O26" s="1">
        <v>21315.144</v>
      </c>
      <c r="P26" s="1">
        <v>11723.3292</v>
      </c>
      <c r="Q26" s="1">
        <v>9591.8147999999983</v>
      </c>
      <c r="R26" s="1">
        <v>44.999999999999993</v>
      </c>
      <c r="S26" s="1" t="s">
        <v>93</v>
      </c>
    </row>
    <row r="27" spans="1:19" x14ac:dyDescent="0.35">
      <c r="A27" s="1" t="s">
        <v>118</v>
      </c>
      <c r="B27" s="3">
        <v>45995</v>
      </c>
      <c r="C27" s="1" t="s">
        <v>67</v>
      </c>
      <c r="D27" s="1">
        <v>12</v>
      </c>
      <c r="E27" s="1" t="s">
        <v>119</v>
      </c>
      <c r="F27" s="1" t="s">
        <v>58</v>
      </c>
      <c r="G27" s="1" t="s">
        <v>64</v>
      </c>
      <c r="H27" s="1" t="s">
        <v>99</v>
      </c>
      <c r="I27" s="1" t="s">
        <v>120</v>
      </c>
      <c r="J27" s="1">
        <v>6</v>
      </c>
      <c r="K27" s="1">
        <v>12589.54</v>
      </c>
      <c r="L27" s="1">
        <v>0.3</v>
      </c>
      <c r="M27" s="1">
        <v>75537.240000000005</v>
      </c>
      <c r="N27" s="1">
        <v>22661.171999999999</v>
      </c>
      <c r="O27" s="1">
        <v>52876.067999999999</v>
      </c>
      <c r="P27" s="1">
        <v>35955.726240000004</v>
      </c>
      <c r="Q27" s="1">
        <v>16920.341759999999</v>
      </c>
      <c r="R27" s="1">
        <v>31.999999999999989</v>
      </c>
      <c r="S27" s="1" t="s">
        <v>33</v>
      </c>
    </row>
    <row r="28" spans="1:19" x14ac:dyDescent="0.35">
      <c r="A28" s="1" t="s">
        <v>121</v>
      </c>
      <c r="B28" s="3">
        <v>45792</v>
      </c>
      <c r="C28" s="1" t="s">
        <v>97</v>
      </c>
      <c r="D28" s="1">
        <v>5</v>
      </c>
      <c r="E28" s="1" t="s">
        <v>122</v>
      </c>
      <c r="F28" s="1" t="s">
        <v>52</v>
      </c>
      <c r="G28" s="1" t="s">
        <v>23</v>
      </c>
      <c r="H28" s="1" t="s">
        <v>53</v>
      </c>
      <c r="I28" s="1" t="s">
        <v>123</v>
      </c>
      <c r="J28" s="1">
        <v>1</v>
      </c>
      <c r="K28" s="1">
        <v>839.35</v>
      </c>
      <c r="L28" s="1">
        <v>0.1</v>
      </c>
      <c r="M28" s="1">
        <v>839.35</v>
      </c>
      <c r="N28" s="1">
        <v>83.935000000000002</v>
      </c>
      <c r="O28" s="1">
        <v>755.41499999999996</v>
      </c>
      <c r="P28" s="1">
        <v>438.14069999999992</v>
      </c>
      <c r="Q28" s="1">
        <v>317.27429999999998</v>
      </c>
      <c r="R28" s="1">
        <v>42.000000000000007</v>
      </c>
      <c r="S28" s="1" t="s">
        <v>26</v>
      </c>
    </row>
    <row r="29" spans="1:19" x14ac:dyDescent="0.35">
      <c r="A29" s="1" t="s">
        <v>124</v>
      </c>
      <c r="B29" s="3">
        <v>45921</v>
      </c>
      <c r="C29" s="1" t="s">
        <v>50</v>
      </c>
      <c r="D29" s="1">
        <v>9</v>
      </c>
      <c r="E29" s="1" t="s">
        <v>125</v>
      </c>
      <c r="F29" s="1" t="s">
        <v>76</v>
      </c>
      <c r="G29" s="1" t="s">
        <v>64</v>
      </c>
      <c r="H29" s="1" t="s">
        <v>53</v>
      </c>
      <c r="I29" s="1" t="s">
        <v>72</v>
      </c>
      <c r="J29" s="1">
        <v>3</v>
      </c>
      <c r="K29" s="1">
        <v>2007.55</v>
      </c>
      <c r="L29" s="1">
        <v>0.1</v>
      </c>
      <c r="M29" s="1">
        <v>6022.65</v>
      </c>
      <c r="N29" s="1">
        <v>602.26499999999999</v>
      </c>
      <c r="O29" s="1">
        <v>5420.3849999999993</v>
      </c>
      <c r="P29" s="1">
        <v>3143.8233</v>
      </c>
      <c r="Q29" s="1">
        <v>2276.5617000000002</v>
      </c>
      <c r="R29" s="1">
        <v>42</v>
      </c>
      <c r="S29" s="1" t="s">
        <v>93</v>
      </c>
    </row>
    <row r="30" spans="1:19" x14ac:dyDescent="0.35">
      <c r="A30" s="1" t="s">
        <v>126</v>
      </c>
      <c r="B30" s="3">
        <v>45961</v>
      </c>
      <c r="C30" s="1" t="s">
        <v>35</v>
      </c>
      <c r="D30" s="1">
        <v>10</v>
      </c>
      <c r="E30" s="1" t="s">
        <v>127</v>
      </c>
      <c r="F30" s="1" t="s">
        <v>111</v>
      </c>
      <c r="G30" s="1" t="s">
        <v>23</v>
      </c>
      <c r="H30" s="1" t="s">
        <v>53</v>
      </c>
      <c r="I30" s="1" t="s">
        <v>128</v>
      </c>
      <c r="J30" s="1">
        <v>4</v>
      </c>
      <c r="K30" s="1">
        <v>158.36000000000001</v>
      </c>
      <c r="L30" s="1">
        <v>0.15</v>
      </c>
      <c r="M30" s="1">
        <v>633.44000000000005</v>
      </c>
      <c r="N30" s="1">
        <v>95.016000000000005</v>
      </c>
      <c r="O30" s="1">
        <v>538.42400000000009</v>
      </c>
      <c r="P30" s="1">
        <v>312.28591999999998</v>
      </c>
      <c r="Q30" s="1">
        <v>226.13808000000009</v>
      </c>
      <c r="R30" s="1">
        <v>42.000000000000007</v>
      </c>
      <c r="S30" s="1" t="s">
        <v>33</v>
      </c>
    </row>
    <row r="31" spans="1:19" x14ac:dyDescent="0.35">
      <c r="A31" s="1" t="s">
        <v>129</v>
      </c>
      <c r="B31" s="3">
        <v>45890</v>
      </c>
      <c r="C31" s="1" t="s">
        <v>113</v>
      </c>
      <c r="D31" s="1">
        <v>8</v>
      </c>
      <c r="E31" s="1" t="s">
        <v>130</v>
      </c>
      <c r="F31" s="1" t="s">
        <v>76</v>
      </c>
      <c r="G31" s="1" t="s">
        <v>38</v>
      </c>
      <c r="H31" s="1" t="s">
        <v>31</v>
      </c>
      <c r="I31" s="1" t="s">
        <v>65</v>
      </c>
      <c r="J31" s="1">
        <v>5</v>
      </c>
      <c r="K31" s="1">
        <v>1613.01</v>
      </c>
      <c r="L31" s="1">
        <v>0.3</v>
      </c>
      <c r="M31" s="1">
        <v>8065.05</v>
      </c>
      <c r="N31" s="1">
        <v>2419.5149999999999</v>
      </c>
      <c r="O31" s="1">
        <v>5645.5349999999999</v>
      </c>
      <c r="P31" s="1">
        <v>2935.6781999999998</v>
      </c>
      <c r="Q31" s="1">
        <v>2709.8568</v>
      </c>
      <c r="R31" s="1">
        <v>48.000000000000007</v>
      </c>
      <c r="S31" s="1" t="s">
        <v>93</v>
      </c>
    </row>
    <row r="32" spans="1:19" x14ac:dyDescent="0.35">
      <c r="A32" s="1" t="s">
        <v>131</v>
      </c>
      <c r="B32" s="3">
        <v>45818</v>
      </c>
      <c r="C32" s="1" t="s">
        <v>82</v>
      </c>
      <c r="D32" s="1">
        <v>6</v>
      </c>
      <c r="E32" s="1" t="s">
        <v>132</v>
      </c>
      <c r="F32" s="1" t="s">
        <v>69</v>
      </c>
      <c r="G32" s="1" t="s">
        <v>23</v>
      </c>
      <c r="H32" s="1" t="s">
        <v>53</v>
      </c>
      <c r="I32" s="1" t="s">
        <v>54</v>
      </c>
      <c r="J32" s="1">
        <v>2</v>
      </c>
      <c r="K32" s="1">
        <v>1436.32</v>
      </c>
      <c r="L32" s="1">
        <v>0.25</v>
      </c>
      <c r="M32" s="1">
        <v>2872.64</v>
      </c>
      <c r="N32" s="1">
        <v>718.16</v>
      </c>
      <c r="O32" s="1">
        <v>2154.48</v>
      </c>
      <c r="P32" s="1">
        <v>1249.5984000000001</v>
      </c>
      <c r="Q32" s="1">
        <v>904.88160000000016</v>
      </c>
      <c r="R32" s="1">
        <v>42.000000000000007</v>
      </c>
      <c r="S32" s="1" t="s">
        <v>73</v>
      </c>
    </row>
    <row r="33" spans="1:19" x14ac:dyDescent="0.35">
      <c r="A33" s="1" t="s">
        <v>133</v>
      </c>
      <c r="B33" s="3">
        <v>45784</v>
      </c>
      <c r="C33" s="1" t="s">
        <v>97</v>
      </c>
      <c r="D33" s="1">
        <v>5</v>
      </c>
      <c r="E33" s="1" t="s">
        <v>134</v>
      </c>
      <c r="F33" s="1" t="s">
        <v>52</v>
      </c>
      <c r="G33" s="1" t="s">
        <v>38</v>
      </c>
      <c r="H33" s="1" t="s">
        <v>53</v>
      </c>
      <c r="I33" s="1" t="s">
        <v>123</v>
      </c>
      <c r="J33" s="1">
        <v>2</v>
      </c>
      <c r="K33" s="1">
        <v>2205.6999999999998</v>
      </c>
      <c r="L33" s="1">
        <v>0.15</v>
      </c>
      <c r="M33" s="1">
        <v>4411.3999999999996</v>
      </c>
      <c r="N33" s="1">
        <v>661.70999999999992</v>
      </c>
      <c r="O33" s="1">
        <v>3749.69</v>
      </c>
      <c r="P33" s="1">
        <v>2174.8202000000001</v>
      </c>
      <c r="Q33" s="1">
        <v>1574.8697999999999</v>
      </c>
      <c r="R33" s="1">
        <v>42.000000000000007</v>
      </c>
      <c r="S33" s="1" t="s">
        <v>73</v>
      </c>
    </row>
    <row r="34" spans="1:19" x14ac:dyDescent="0.35">
      <c r="A34" s="1" t="s">
        <v>135</v>
      </c>
      <c r="B34" s="3">
        <v>45904</v>
      </c>
      <c r="C34" s="1" t="s">
        <v>50</v>
      </c>
      <c r="D34" s="1">
        <v>9</v>
      </c>
      <c r="E34" s="1" t="s">
        <v>136</v>
      </c>
      <c r="F34" s="1" t="s">
        <v>58</v>
      </c>
      <c r="G34" s="1" t="s">
        <v>64</v>
      </c>
      <c r="H34" s="1" t="s">
        <v>99</v>
      </c>
      <c r="I34" s="1" t="s">
        <v>108</v>
      </c>
      <c r="J34" s="1">
        <v>3</v>
      </c>
      <c r="K34" s="1">
        <v>8264.66</v>
      </c>
      <c r="L34" s="1">
        <v>0.15</v>
      </c>
      <c r="M34" s="1">
        <v>24793.98</v>
      </c>
      <c r="N34" s="1">
        <v>3719.0970000000002</v>
      </c>
      <c r="O34" s="1">
        <v>21074.883000000002</v>
      </c>
      <c r="P34" s="1">
        <v>14330.92044</v>
      </c>
      <c r="Q34" s="1">
        <v>6743.9625599999999</v>
      </c>
      <c r="R34" s="1">
        <v>32</v>
      </c>
      <c r="S34" s="1" t="s">
        <v>26</v>
      </c>
    </row>
    <row r="35" spans="1:19" x14ac:dyDescent="0.35">
      <c r="A35" s="1" t="s">
        <v>137</v>
      </c>
      <c r="B35" s="3">
        <v>45800</v>
      </c>
      <c r="C35" s="1" t="s">
        <v>97</v>
      </c>
      <c r="D35" s="1">
        <v>5</v>
      </c>
      <c r="E35" s="1" t="s">
        <v>138</v>
      </c>
      <c r="F35" s="1" t="s">
        <v>43</v>
      </c>
      <c r="G35" s="1" t="s">
        <v>23</v>
      </c>
      <c r="H35" s="1" t="s">
        <v>24</v>
      </c>
      <c r="I35" s="1" t="s">
        <v>139</v>
      </c>
      <c r="J35" s="1">
        <v>2</v>
      </c>
      <c r="K35" s="1">
        <v>1016.9</v>
      </c>
      <c r="L35" s="1">
        <v>0.15</v>
      </c>
      <c r="M35" s="1">
        <v>2033.8</v>
      </c>
      <c r="N35" s="1">
        <v>305.07</v>
      </c>
      <c r="O35" s="1">
        <v>1728.73</v>
      </c>
      <c r="P35" s="1">
        <v>950.80150000000003</v>
      </c>
      <c r="Q35" s="1">
        <v>777.92849999999999</v>
      </c>
      <c r="R35" s="1">
        <v>45</v>
      </c>
      <c r="S35" s="1" t="s">
        <v>73</v>
      </c>
    </row>
    <row r="36" spans="1:19" x14ac:dyDescent="0.35">
      <c r="A36" s="1" t="s">
        <v>140</v>
      </c>
      <c r="B36" s="3">
        <v>45715</v>
      </c>
      <c r="C36" s="1" t="s">
        <v>42</v>
      </c>
      <c r="D36" s="1">
        <v>2</v>
      </c>
      <c r="E36" s="1" t="s">
        <v>95</v>
      </c>
      <c r="F36" s="1" t="s">
        <v>111</v>
      </c>
      <c r="G36" s="1" t="s">
        <v>64</v>
      </c>
      <c r="H36" s="1" t="s">
        <v>77</v>
      </c>
      <c r="I36" s="1" t="s">
        <v>78</v>
      </c>
      <c r="J36" s="1">
        <v>1</v>
      </c>
      <c r="K36" s="1">
        <v>92.95</v>
      </c>
      <c r="L36" s="1">
        <v>0.2</v>
      </c>
      <c r="M36" s="1">
        <v>92.95</v>
      </c>
      <c r="N36" s="1">
        <v>18.59</v>
      </c>
      <c r="O36" s="1">
        <v>74.36</v>
      </c>
      <c r="P36" s="1">
        <v>53.539200000000001</v>
      </c>
      <c r="Q36" s="1">
        <v>20.820799999999998</v>
      </c>
      <c r="R36" s="1">
        <v>28</v>
      </c>
      <c r="S36" s="1" t="s">
        <v>33</v>
      </c>
    </row>
    <row r="37" spans="1:19" x14ac:dyDescent="0.35">
      <c r="A37" s="1" t="s">
        <v>141</v>
      </c>
      <c r="B37" s="3">
        <v>45765</v>
      </c>
      <c r="C37" s="1" t="s">
        <v>20</v>
      </c>
      <c r="D37" s="1">
        <v>4</v>
      </c>
      <c r="E37" s="1" t="s">
        <v>142</v>
      </c>
      <c r="F37" s="1" t="s">
        <v>69</v>
      </c>
      <c r="G37" s="1" t="s">
        <v>38</v>
      </c>
      <c r="H37" s="1" t="s">
        <v>31</v>
      </c>
      <c r="I37" s="1" t="s">
        <v>59</v>
      </c>
      <c r="J37" s="1">
        <v>7</v>
      </c>
      <c r="K37" s="1">
        <v>481.65</v>
      </c>
      <c r="L37" s="1">
        <v>0</v>
      </c>
      <c r="M37" s="1">
        <v>3371.55</v>
      </c>
      <c r="N37" s="1">
        <v>0</v>
      </c>
      <c r="O37" s="1">
        <v>3371.55</v>
      </c>
      <c r="P37" s="1">
        <v>1753.2059999999999</v>
      </c>
      <c r="Q37" s="1">
        <v>1618.3440000000001</v>
      </c>
      <c r="R37" s="1">
        <v>48</v>
      </c>
      <c r="S37" s="1" t="s">
        <v>93</v>
      </c>
    </row>
    <row r="38" spans="1:19" x14ac:dyDescent="0.35">
      <c r="A38" s="1" t="s">
        <v>143</v>
      </c>
      <c r="B38" s="3">
        <v>45781</v>
      </c>
      <c r="C38" s="1" t="s">
        <v>97</v>
      </c>
      <c r="D38" s="1">
        <v>5</v>
      </c>
      <c r="E38" s="1" t="s">
        <v>144</v>
      </c>
      <c r="F38" s="1" t="s">
        <v>37</v>
      </c>
      <c r="G38" s="1" t="s">
        <v>38</v>
      </c>
      <c r="H38" s="1" t="s">
        <v>99</v>
      </c>
      <c r="I38" s="1" t="s">
        <v>145</v>
      </c>
      <c r="J38" s="1">
        <v>6</v>
      </c>
      <c r="K38" s="1">
        <v>3424.02</v>
      </c>
      <c r="L38" s="1">
        <v>0.1</v>
      </c>
      <c r="M38" s="1">
        <v>20544.12</v>
      </c>
      <c r="N38" s="1">
        <v>2054.4119999999998</v>
      </c>
      <c r="O38" s="1">
        <v>18489.707999999999</v>
      </c>
      <c r="P38" s="1">
        <v>12573.00144</v>
      </c>
      <c r="Q38" s="1">
        <v>5916.7065599999987</v>
      </c>
      <c r="R38" s="1">
        <v>32</v>
      </c>
      <c r="S38" s="1" t="s">
        <v>93</v>
      </c>
    </row>
    <row r="39" spans="1:19" x14ac:dyDescent="0.35">
      <c r="A39" s="1" t="s">
        <v>146</v>
      </c>
      <c r="B39" s="3">
        <v>45774</v>
      </c>
      <c r="C39" s="1" t="s">
        <v>20</v>
      </c>
      <c r="D39" s="1">
        <v>4</v>
      </c>
      <c r="E39" s="1" t="s">
        <v>147</v>
      </c>
      <c r="F39" s="1" t="s">
        <v>37</v>
      </c>
      <c r="G39" s="1" t="s">
        <v>23</v>
      </c>
      <c r="H39" s="1" t="s">
        <v>77</v>
      </c>
      <c r="I39" s="1" t="s">
        <v>148</v>
      </c>
      <c r="J39" s="1">
        <v>7</v>
      </c>
      <c r="K39" s="1">
        <v>542.55999999999995</v>
      </c>
      <c r="L39" s="1">
        <v>0.15</v>
      </c>
      <c r="M39" s="1">
        <v>3797.92</v>
      </c>
      <c r="N39" s="1">
        <v>569.68799999999987</v>
      </c>
      <c r="O39" s="1">
        <v>3228.232</v>
      </c>
      <c r="P39" s="1">
        <v>2324.3270400000001</v>
      </c>
      <c r="Q39" s="1">
        <v>903.9049600000003</v>
      </c>
      <c r="R39" s="1">
        <v>28.000000000000011</v>
      </c>
      <c r="S39" s="1" t="s">
        <v>73</v>
      </c>
    </row>
    <row r="40" spans="1:19" x14ac:dyDescent="0.35">
      <c r="A40" s="1" t="s">
        <v>149</v>
      </c>
      <c r="B40" s="3">
        <v>45753</v>
      </c>
      <c r="C40" s="1" t="s">
        <v>20</v>
      </c>
      <c r="D40" s="1">
        <v>4</v>
      </c>
      <c r="E40" s="1" t="s">
        <v>150</v>
      </c>
      <c r="F40" s="1" t="s">
        <v>22</v>
      </c>
      <c r="G40" s="1" t="s">
        <v>38</v>
      </c>
      <c r="H40" s="1" t="s">
        <v>77</v>
      </c>
      <c r="I40" s="1" t="s">
        <v>78</v>
      </c>
      <c r="J40" s="1">
        <v>6</v>
      </c>
      <c r="K40" s="1">
        <v>871.79</v>
      </c>
      <c r="L40" s="1">
        <v>0.15</v>
      </c>
      <c r="M40" s="1">
        <v>5230.74</v>
      </c>
      <c r="N40" s="1">
        <v>784.61099999999999</v>
      </c>
      <c r="O40" s="1">
        <v>4446.1289999999999</v>
      </c>
      <c r="P40" s="1">
        <v>3201.21288</v>
      </c>
      <c r="Q40" s="1">
        <v>1244.9161200000001</v>
      </c>
      <c r="R40" s="1">
        <v>28.000000000000011</v>
      </c>
      <c r="S40" s="1" t="s">
        <v>93</v>
      </c>
    </row>
    <row r="41" spans="1:19" x14ac:dyDescent="0.35">
      <c r="A41" s="1" t="s">
        <v>151</v>
      </c>
      <c r="B41" s="3">
        <v>45904</v>
      </c>
      <c r="C41" s="1" t="s">
        <v>50</v>
      </c>
      <c r="D41" s="1">
        <v>9</v>
      </c>
      <c r="E41" s="1" t="s">
        <v>152</v>
      </c>
      <c r="F41" s="1" t="s">
        <v>43</v>
      </c>
      <c r="G41" s="1" t="s">
        <v>64</v>
      </c>
      <c r="H41" s="1" t="s">
        <v>53</v>
      </c>
      <c r="I41" s="1" t="s">
        <v>72</v>
      </c>
      <c r="J41" s="1">
        <v>4</v>
      </c>
      <c r="K41" s="1">
        <v>1458.49</v>
      </c>
      <c r="L41" s="1">
        <v>0.05</v>
      </c>
      <c r="M41" s="1">
        <v>5833.96</v>
      </c>
      <c r="N41" s="1">
        <v>291.69799999999998</v>
      </c>
      <c r="O41" s="1">
        <v>5542.2619999999997</v>
      </c>
      <c r="P41" s="1">
        <v>3214.5119599999998</v>
      </c>
      <c r="Q41" s="1">
        <v>2327.7500399999999</v>
      </c>
      <c r="R41" s="1">
        <v>42</v>
      </c>
      <c r="S41" s="1" t="s">
        <v>93</v>
      </c>
    </row>
    <row r="42" spans="1:19" x14ac:dyDescent="0.35">
      <c r="A42" s="1" t="s">
        <v>153</v>
      </c>
      <c r="B42" s="3">
        <v>45704</v>
      </c>
      <c r="C42" s="1" t="s">
        <v>42</v>
      </c>
      <c r="D42" s="1">
        <v>2</v>
      </c>
      <c r="E42" s="1" t="s">
        <v>154</v>
      </c>
      <c r="F42" s="1" t="s">
        <v>37</v>
      </c>
      <c r="G42" s="1" t="s">
        <v>23</v>
      </c>
      <c r="H42" s="1" t="s">
        <v>39</v>
      </c>
      <c r="I42" s="1" t="s">
        <v>155</v>
      </c>
      <c r="J42" s="1">
        <v>6</v>
      </c>
      <c r="K42" s="1">
        <v>56761.25</v>
      </c>
      <c r="L42" s="1">
        <v>0.15</v>
      </c>
      <c r="M42" s="1">
        <v>340567.5</v>
      </c>
      <c r="N42" s="1">
        <v>51085.125</v>
      </c>
      <c r="O42" s="1">
        <v>289482.375</v>
      </c>
      <c r="P42" s="1">
        <v>225796.2525</v>
      </c>
      <c r="Q42" s="1">
        <v>63686.122499999998</v>
      </c>
      <c r="R42" s="1">
        <v>22</v>
      </c>
      <c r="S42" s="1" t="s">
        <v>33</v>
      </c>
    </row>
    <row r="43" spans="1:19" x14ac:dyDescent="0.35">
      <c r="A43" s="1" t="s">
        <v>156</v>
      </c>
      <c r="B43" s="3">
        <v>45946</v>
      </c>
      <c r="C43" s="1" t="s">
        <v>35</v>
      </c>
      <c r="D43" s="1">
        <v>10</v>
      </c>
      <c r="E43" s="1" t="s">
        <v>157</v>
      </c>
      <c r="F43" s="1" t="s">
        <v>111</v>
      </c>
      <c r="G43" s="1" t="s">
        <v>23</v>
      </c>
      <c r="H43" s="1" t="s">
        <v>77</v>
      </c>
      <c r="I43" s="1" t="s">
        <v>103</v>
      </c>
      <c r="J43" s="1">
        <v>6</v>
      </c>
      <c r="K43" s="1">
        <v>797.24</v>
      </c>
      <c r="L43" s="1">
        <v>0</v>
      </c>
      <c r="M43" s="1">
        <v>4783.4400000000014</v>
      </c>
      <c r="N43" s="1">
        <v>0</v>
      </c>
      <c r="O43" s="1">
        <v>4783.4400000000014</v>
      </c>
      <c r="P43" s="1">
        <v>3444.0767999999998</v>
      </c>
      <c r="Q43" s="1">
        <v>1339.3632</v>
      </c>
      <c r="R43" s="1">
        <v>28</v>
      </c>
      <c r="S43" s="1" t="s">
        <v>73</v>
      </c>
    </row>
    <row r="44" spans="1:19" x14ac:dyDescent="0.35">
      <c r="A44" s="1" t="s">
        <v>158</v>
      </c>
      <c r="B44" s="3">
        <v>45907</v>
      </c>
      <c r="C44" s="1" t="s">
        <v>50</v>
      </c>
      <c r="D44" s="1">
        <v>9</v>
      </c>
      <c r="E44" s="1" t="s">
        <v>159</v>
      </c>
      <c r="F44" s="1" t="s">
        <v>30</v>
      </c>
      <c r="G44" s="1" t="s">
        <v>38</v>
      </c>
      <c r="H44" s="1" t="s">
        <v>53</v>
      </c>
      <c r="I44" s="1" t="s">
        <v>54</v>
      </c>
      <c r="J44" s="1">
        <v>2</v>
      </c>
      <c r="K44" s="1">
        <v>1302.5</v>
      </c>
      <c r="L44" s="1">
        <v>0.1</v>
      </c>
      <c r="M44" s="1">
        <v>2605</v>
      </c>
      <c r="N44" s="1">
        <v>260.5</v>
      </c>
      <c r="O44" s="1">
        <v>2344.5</v>
      </c>
      <c r="P44" s="1">
        <v>1359.81</v>
      </c>
      <c r="Q44" s="1">
        <v>984.69</v>
      </c>
      <c r="R44" s="1">
        <v>42.000000000000007</v>
      </c>
      <c r="S44" s="1" t="s">
        <v>60</v>
      </c>
    </row>
    <row r="45" spans="1:19" x14ac:dyDescent="0.35">
      <c r="A45" s="1" t="s">
        <v>160</v>
      </c>
      <c r="B45" s="3">
        <v>45817</v>
      </c>
      <c r="C45" s="1" t="s">
        <v>82</v>
      </c>
      <c r="D45" s="1">
        <v>6</v>
      </c>
      <c r="E45" s="1" t="s">
        <v>161</v>
      </c>
      <c r="F45" s="1" t="s">
        <v>76</v>
      </c>
      <c r="G45" s="1" t="s">
        <v>64</v>
      </c>
      <c r="H45" s="1" t="s">
        <v>53</v>
      </c>
      <c r="I45" s="1" t="s">
        <v>128</v>
      </c>
      <c r="J45" s="1">
        <v>4</v>
      </c>
      <c r="K45" s="1">
        <v>1481.14</v>
      </c>
      <c r="L45" s="1">
        <v>0.1</v>
      </c>
      <c r="M45" s="1">
        <v>5924.56</v>
      </c>
      <c r="N45" s="1">
        <v>592.45600000000002</v>
      </c>
      <c r="O45" s="1">
        <v>5332.1040000000003</v>
      </c>
      <c r="P45" s="1">
        <v>3092.62032</v>
      </c>
      <c r="Q45" s="1">
        <v>2239.4836799999998</v>
      </c>
      <c r="R45" s="1">
        <v>42.000000000000007</v>
      </c>
      <c r="S45" s="1" t="s">
        <v>26</v>
      </c>
    </row>
    <row r="46" spans="1:19" x14ac:dyDescent="0.35">
      <c r="A46" s="1" t="s">
        <v>162</v>
      </c>
      <c r="B46" s="3">
        <v>45758</v>
      </c>
      <c r="C46" s="1" t="s">
        <v>20</v>
      </c>
      <c r="D46" s="1">
        <v>4</v>
      </c>
      <c r="E46" s="1" t="s">
        <v>163</v>
      </c>
      <c r="F46" s="1" t="s">
        <v>47</v>
      </c>
      <c r="G46" s="1" t="s">
        <v>64</v>
      </c>
      <c r="H46" s="1" t="s">
        <v>24</v>
      </c>
      <c r="I46" s="1" t="s">
        <v>25</v>
      </c>
      <c r="J46" s="1">
        <v>3</v>
      </c>
      <c r="K46" s="1">
        <v>5012.3500000000004</v>
      </c>
      <c r="L46" s="1">
        <v>0.15</v>
      </c>
      <c r="M46" s="1">
        <v>15037.05</v>
      </c>
      <c r="N46" s="1">
        <v>2255.5574999999999</v>
      </c>
      <c r="O46" s="1">
        <v>12781.4925</v>
      </c>
      <c r="P46" s="1">
        <v>7029.8208750000003</v>
      </c>
      <c r="Q46" s="1">
        <v>5751.6716249999999</v>
      </c>
      <c r="R46" s="1">
        <v>45</v>
      </c>
      <c r="S46" s="1" t="s">
        <v>73</v>
      </c>
    </row>
    <row r="47" spans="1:19" x14ac:dyDescent="0.35">
      <c r="A47" s="1" t="s">
        <v>164</v>
      </c>
      <c r="B47" s="3">
        <v>45692</v>
      </c>
      <c r="C47" s="1" t="s">
        <v>42</v>
      </c>
      <c r="D47" s="1">
        <v>2</v>
      </c>
      <c r="E47" s="1" t="s">
        <v>165</v>
      </c>
      <c r="F47" s="1" t="s">
        <v>47</v>
      </c>
      <c r="G47" s="1" t="s">
        <v>38</v>
      </c>
      <c r="H47" s="1" t="s">
        <v>39</v>
      </c>
      <c r="I47" s="1" t="s">
        <v>87</v>
      </c>
      <c r="J47" s="1">
        <v>2</v>
      </c>
      <c r="K47" s="1">
        <v>26181.61</v>
      </c>
      <c r="L47" s="1">
        <v>0.2</v>
      </c>
      <c r="M47" s="1">
        <v>52363.22</v>
      </c>
      <c r="N47" s="1">
        <v>10472.644</v>
      </c>
      <c r="O47" s="1">
        <v>41890.576000000001</v>
      </c>
      <c r="P47" s="1">
        <v>32674.649280000001</v>
      </c>
      <c r="Q47" s="1">
        <v>9215.9267199999995</v>
      </c>
      <c r="R47" s="1">
        <v>22</v>
      </c>
      <c r="S47" s="1" t="s">
        <v>33</v>
      </c>
    </row>
    <row r="48" spans="1:19" x14ac:dyDescent="0.35">
      <c r="A48" s="1" t="s">
        <v>166</v>
      </c>
      <c r="B48" s="3">
        <v>45971</v>
      </c>
      <c r="C48" s="1" t="s">
        <v>56</v>
      </c>
      <c r="D48" s="1">
        <v>11</v>
      </c>
      <c r="E48" s="1" t="s">
        <v>63</v>
      </c>
      <c r="F48" s="1" t="s">
        <v>111</v>
      </c>
      <c r="G48" s="1" t="s">
        <v>64</v>
      </c>
      <c r="H48" s="1" t="s">
        <v>31</v>
      </c>
      <c r="I48" s="1" t="s">
        <v>167</v>
      </c>
      <c r="J48" s="1">
        <v>2</v>
      </c>
      <c r="K48" s="1">
        <v>2275.5100000000002</v>
      </c>
      <c r="L48" s="1">
        <v>0.25</v>
      </c>
      <c r="M48" s="1">
        <v>4551.0200000000004</v>
      </c>
      <c r="N48" s="1">
        <v>1137.7550000000001</v>
      </c>
      <c r="O48" s="1">
        <v>3413.2649999999999</v>
      </c>
      <c r="P48" s="1">
        <v>1774.8978</v>
      </c>
      <c r="Q48" s="1">
        <v>1638.3671999999999</v>
      </c>
      <c r="R48" s="1">
        <v>48</v>
      </c>
      <c r="S48" s="1" t="s">
        <v>33</v>
      </c>
    </row>
    <row r="49" spans="1:19" x14ac:dyDescent="0.35">
      <c r="A49" s="1" t="s">
        <v>168</v>
      </c>
      <c r="B49" s="3">
        <v>46014</v>
      </c>
      <c r="C49" s="1" t="s">
        <v>67</v>
      </c>
      <c r="D49" s="1">
        <v>12</v>
      </c>
      <c r="E49" s="1" t="s">
        <v>169</v>
      </c>
      <c r="F49" s="1" t="s">
        <v>30</v>
      </c>
      <c r="G49" s="1" t="s">
        <v>38</v>
      </c>
      <c r="H49" s="1" t="s">
        <v>39</v>
      </c>
      <c r="I49" s="1" t="s">
        <v>155</v>
      </c>
      <c r="J49" s="1">
        <v>3</v>
      </c>
      <c r="K49" s="1">
        <v>64458.79</v>
      </c>
      <c r="L49" s="1">
        <v>0.1</v>
      </c>
      <c r="M49" s="1">
        <v>193376.37</v>
      </c>
      <c r="N49" s="1">
        <v>19337.636999999999</v>
      </c>
      <c r="O49" s="1">
        <v>174038.73300000001</v>
      </c>
      <c r="P49" s="1">
        <v>135750.21174</v>
      </c>
      <c r="Q49" s="1">
        <v>38288.521260000009</v>
      </c>
      <c r="R49" s="1">
        <v>22</v>
      </c>
      <c r="S49" s="1" t="s">
        <v>33</v>
      </c>
    </row>
    <row r="50" spans="1:19" x14ac:dyDescent="0.35">
      <c r="A50" s="1" t="s">
        <v>170</v>
      </c>
      <c r="B50" s="3">
        <v>45840</v>
      </c>
      <c r="C50" s="1" t="s">
        <v>62</v>
      </c>
      <c r="D50" s="1">
        <v>7</v>
      </c>
      <c r="E50" s="1" t="s">
        <v>171</v>
      </c>
      <c r="F50" s="1" t="s">
        <v>76</v>
      </c>
      <c r="G50" s="1" t="s">
        <v>23</v>
      </c>
      <c r="H50" s="1" t="s">
        <v>31</v>
      </c>
      <c r="I50" s="1" t="s">
        <v>59</v>
      </c>
      <c r="J50" s="1">
        <v>7</v>
      </c>
      <c r="K50" s="1">
        <v>2689.99</v>
      </c>
      <c r="L50" s="1">
        <v>0</v>
      </c>
      <c r="M50" s="1">
        <v>18829.93</v>
      </c>
      <c r="N50" s="1">
        <v>0</v>
      </c>
      <c r="O50" s="1">
        <v>18829.93</v>
      </c>
      <c r="P50" s="1">
        <v>9791.5636000000013</v>
      </c>
      <c r="Q50" s="1">
        <v>9038.366399999999</v>
      </c>
      <c r="R50" s="1">
        <v>47.999999999999993</v>
      </c>
      <c r="S50" s="1" t="s">
        <v>60</v>
      </c>
    </row>
    <row r="51" spans="1:19" x14ac:dyDescent="0.35">
      <c r="A51" s="1" t="s">
        <v>172</v>
      </c>
      <c r="B51" s="3">
        <v>45999</v>
      </c>
      <c r="C51" s="1" t="s">
        <v>67</v>
      </c>
      <c r="D51" s="1">
        <v>12</v>
      </c>
      <c r="E51" s="1" t="s">
        <v>173</v>
      </c>
      <c r="F51" s="1" t="s">
        <v>69</v>
      </c>
      <c r="G51" s="1" t="s">
        <v>64</v>
      </c>
      <c r="H51" s="1" t="s">
        <v>31</v>
      </c>
      <c r="I51" s="1" t="s">
        <v>59</v>
      </c>
      <c r="J51" s="1">
        <v>3</v>
      </c>
      <c r="K51" s="1">
        <v>529.95000000000005</v>
      </c>
      <c r="L51" s="1">
        <v>0</v>
      </c>
      <c r="M51" s="1">
        <v>1589.85</v>
      </c>
      <c r="N51" s="1">
        <v>0</v>
      </c>
      <c r="O51" s="1">
        <v>1589.85</v>
      </c>
      <c r="P51" s="1">
        <v>826.72200000000009</v>
      </c>
      <c r="Q51" s="1">
        <v>763.12800000000004</v>
      </c>
      <c r="R51" s="1">
        <v>48</v>
      </c>
      <c r="S51" s="1" t="s">
        <v>33</v>
      </c>
    </row>
    <row r="52" spans="1:19" x14ac:dyDescent="0.35">
      <c r="A52" s="1" t="s">
        <v>174</v>
      </c>
      <c r="B52" s="3">
        <v>45996</v>
      </c>
      <c r="C52" s="1" t="s">
        <v>67</v>
      </c>
      <c r="D52" s="1">
        <v>12</v>
      </c>
      <c r="E52" s="1" t="s">
        <v>175</v>
      </c>
      <c r="F52" s="1" t="s">
        <v>58</v>
      </c>
      <c r="G52" s="1" t="s">
        <v>38</v>
      </c>
      <c r="H52" s="1" t="s">
        <v>99</v>
      </c>
      <c r="I52" s="1" t="s">
        <v>120</v>
      </c>
      <c r="J52" s="1">
        <v>7</v>
      </c>
      <c r="K52" s="1">
        <v>4373.8999999999996</v>
      </c>
      <c r="L52" s="1">
        <v>0</v>
      </c>
      <c r="M52" s="1">
        <v>30617.3</v>
      </c>
      <c r="N52" s="1">
        <v>0</v>
      </c>
      <c r="O52" s="1">
        <v>30617.3</v>
      </c>
      <c r="P52" s="1">
        <v>20819.763999999999</v>
      </c>
      <c r="Q52" s="1">
        <v>9797.5359999999964</v>
      </c>
      <c r="R52" s="1">
        <v>32</v>
      </c>
      <c r="S52" s="1" t="s">
        <v>33</v>
      </c>
    </row>
    <row r="53" spans="1:19" x14ac:dyDescent="0.35">
      <c r="A53" s="1" t="s">
        <v>176</v>
      </c>
      <c r="B53" s="3">
        <v>45710</v>
      </c>
      <c r="C53" s="1" t="s">
        <v>42</v>
      </c>
      <c r="D53" s="1">
        <v>2</v>
      </c>
      <c r="E53" s="1" t="s">
        <v>177</v>
      </c>
      <c r="F53" s="1" t="s">
        <v>37</v>
      </c>
      <c r="G53" s="1" t="s">
        <v>64</v>
      </c>
      <c r="H53" s="1" t="s">
        <v>39</v>
      </c>
      <c r="I53" s="1" t="s">
        <v>40</v>
      </c>
      <c r="J53" s="1">
        <v>7</v>
      </c>
      <c r="K53" s="1">
        <v>13198.75</v>
      </c>
      <c r="L53" s="1">
        <v>0.1</v>
      </c>
      <c r="M53" s="1">
        <v>92391.25</v>
      </c>
      <c r="N53" s="1">
        <v>9239.125</v>
      </c>
      <c r="O53" s="1">
        <v>83152.125</v>
      </c>
      <c r="P53" s="1">
        <v>64858.657500000001</v>
      </c>
      <c r="Q53" s="1">
        <v>18293.467499999999</v>
      </c>
      <c r="R53" s="1">
        <v>22</v>
      </c>
      <c r="S53" s="1" t="s">
        <v>93</v>
      </c>
    </row>
    <row r="54" spans="1:19" x14ac:dyDescent="0.35">
      <c r="A54" s="1" t="s">
        <v>178</v>
      </c>
      <c r="B54" s="3">
        <v>45892</v>
      </c>
      <c r="C54" s="1" t="s">
        <v>113</v>
      </c>
      <c r="D54" s="1">
        <v>8</v>
      </c>
      <c r="E54" s="1" t="s">
        <v>179</v>
      </c>
      <c r="F54" s="1" t="s">
        <v>52</v>
      </c>
      <c r="G54" s="1" t="s">
        <v>38</v>
      </c>
      <c r="H54" s="1" t="s">
        <v>53</v>
      </c>
      <c r="I54" s="1" t="s">
        <v>123</v>
      </c>
      <c r="J54" s="1">
        <v>2</v>
      </c>
      <c r="K54" s="1">
        <v>2424.7600000000002</v>
      </c>
      <c r="L54" s="1">
        <v>0.15</v>
      </c>
      <c r="M54" s="1">
        <v>4849.5200000000004</v>
      </c>
      <c r="N54" s="1">
        <v>727.428</v>
      </c>
      <c r="O54" s="1">
        <v>4122.0920000000006</v>
      </c>
      <c r="P54" s="1">
        <v>2390.8133600000001</v>
      </c>
      <c r="Q54" s="1">
        <v>1731.27864</v>
      </c>
      <c r="R54" s="1">
        <v>42.000000000000007</v>
      </c>
      <c r="S54" s="1" t="s">
        <v>73</v>
      </c>
    </row>
    <row r="55" spans="1:19" x14ac:dyDescent="0.35">
      <c r="A55" s="1" t="s">
        <v>180</v>
      </c>
      <c r="B55" s="3">
        <v>45940</v>
      </c>
      <c r="C55" s="1" t="s">
        <v>35</v>
      </c>
      <c r="D55" s="1">
        <v>10</v>
      </c>
      <c r="E55" s="1" t="s">
        <v>181</v>
      </c>
      <c r="F55" s="1" t="s">
        <v>76</v>
      </c>
      <c r="G55" s="1" t="s">
        <v>23</v>
      </c>
      <c r="H55" s="1" t="s">
        <v>99</v>
      </c>
      <c r="I55" s="1" t="s">
        <v>108</v>
      </c>
      <c r="J55" s="1">
        <v>2</v>
      </c>
      <c r="K55" s="1">
        <v>4330.3500000000004</v>
      </c>
      <c r="L55" s="1">
        <v>0</v>
      </c>
      <c r="M55" s="1">
        <v>8660.7000000000007</v>
      </c>
      <c r="N55" s="1">
        <v>0</v>
      </c>
      <c r="O55" s="1">
        <v>8660.7000000000007</v>
      </c>
      <c r="P55" s="1">
        <v>5889.2760000000007</v>
      </c>
      <c r="Q55" s="1">
        <v>2771.424</v>
      </c>
      <c r="R55" s="1">
        <v>32</v>
      </c>
      <c r="S55" s="1" t="s">
        <v>60</v>
      </c>
    </row>
    <row r="56" spans="1:19" x14ac:dyDescent="0.35">
      <c r="A56" s="1" t="s">
        <v>182</v>
      </c>
      <c r="B56" s="3">
        <v>45984</v>
      </c>
      <c r="C56" s="1" t="s">
        <v>56</v>
      </c>
      <c r="D56" s="1">
        <v>11</v>
      </c>
      <c r="E56" s="1" t="s">
        <v>144</v>
      </c>
      <c r="F56" s="1" t="s">
        <v>52</v>
      </c>
      <c r="G56" s="1" t="s">
        <v>38</v>
      </c>
      <c r="H56" s="1" t="s">
        <v>39</v>
      </c>
      <c r="I56" s="1" t="s">
        <v>40</v>
      </c>
      <c r="J56" s="1">
        <v>5</v>
      </c>
      <c r="K56" s="1">
        <v>50942.559999999998</v>
      </c>
      <c r="L56" s="1">
        <v>0.1</v>
      </c>
      <c r="M56" s="1">
        <v>254712.8</v>
      </c>
      <c r="N56" s="1">
        <v>25471.279999999999</v>
      </c>
      <c r="O56" s="1">
        <v>229241.52</v>
      </c>
      <c r="P56" s="1">
        <v>178808.38560000001</v>
      </c>
      <c r="Q56" s="1">
        <v>50433.134399999981</v>
      </c>
      <c r="R56" s="1">
        <v>21.999999999999989</v>
      </c>
      <c r="S56" s="1" t="s">
        <v>73</v>
      </c>
    </row>
    <row r="57" spans="1:19" x14ac:dyDescent="0.35">
      <c r="A57" s="1" t="s">
        <v>183</v>
      </c>
      <c r="B57" s="3">
        <v>46003</v>
      </c>
      <c r="C57" s="1" t="s">
        <v>67</v>
      </c>
      <c r="D57" s="1">
        <v>12</v>
      </c>
      <c r="E57" s="1" t="s">
        <v>184</v>
      </c>
      <c r="F57" s="1" t="s">
        <v>37</v>
      </c>
      <c r="G57" s="1" t="s">
        <v>64</v>
      </c>
      <c r="H57" s="1" t="s">
        <v>53</v>
      </c>
      <c r="I57" s="1" t="s">
        <v>185</v>
      </c>
      <c r="J57" s="1">
        <v>7</v>
      </c>
      <c r="K57" s="1">
        <v>1142.68</v>
      </c>
      <c r="L57" s="1">
        <v>0.05</v>
      </c>
      <c r="M57" s="1">
        <v>7998.76</v>
      </c>
      <c r="N57" s="1">
        <v>399.93799999999999</v>
      </c>
      <c r="O57" s="1">
        <v>7598.8220000000001</v>
      </c>
      <c r="P57" s="1">
        <v>4407.3167599999997</v>
      </c>
      <c r="Q57" s="1">
        <v>3191.50524</v>
      </c>
      <c r="R57" s="1">
        <v>42.000000000000007</v>
      </c>
      <c r="S57" s="1" t="s">
        <v>60</v>
      </c>
    </row>
    <row r="58" spans="1:19" x14ac:dyDescent="0.35">
      <c r="A58" s="1" t="s">
        <v>186</v>
      </c>
      <c r="B58" s="3">
        <v>46005</v>
      </c>
      <c r="C58" s="1" t="s">
        <v>67</v>
      </c>
      <c r="D58" s="1">
        <v>12</v>
      </c>
      <c r="E58" s="1" t="s">
        <v>187</v>
      </c>
      <c r="F58" s="1" t="s">
        <v>52</v>
      </c>
      <c r="G58" s="1" t="s">
        <v>23</v>
      </c>
      <c r="H58" s="1" t="s">
        <v>77</v>
      </c>
      <c r="I58" s="1" t="s">
        <v>103</v>
      </c>
      <c r="J58" s="1">
        <v>1</v>
      </c>
      <c r="K58" s="1">
        <v>481.1</v>
      </c>
      <c r="L58" s="1">
        <v>0.05</v>
      </c>
      <c r="M58" s="1">
        <v>481.1</v>
      </c>
      <c r="N58" s="1">
        <v>24.055</v>
      </c>
      <c r="O58" s="1">
        <v>457.04500000000002</v>
      </c>
      <c r="P58" s="1">
        <v>329.07240000000002</v>
      </c>
      <c r="Q58" s="1">
        <v>127.9726</v>
      </c>
      <c r="R58" s="1">
        <v>28</v>
      </c>
      <c r="S58" s="1" t="s">
        <v>93</v>
      </c>
    </row>
    <row r="59" spans="1:19" x14ac:dyDescent="0.35">
      <c r="A59" s="1" t="s">
        <v>188</v>
      </c>
      <c r="B59" s="3">
        <v>45817</v>
      </c>
      <c r="C59" s="1" t="s">
        <v>82</v>
      </c>
      <c r="D59" s="1">
        <v>6</v>
      </c>
      <c r="E59" s="1" t="s">
        <v>189</v>
      </c>
      <c r="F59" s="1" t="s">
        <v>111</v>
      </c>
      <c r="G59" s="1" t="s">
        <v>38</v>
      </c>
      <c r="H59" s="1" t="s">
        <v>31</v>
      </c>
      <c r="I59" s="1" t="s">
        <v>190</v>
      </c>
      <c r="J59" s="1">
        <v>5</v>
      </c>
      <c r="K59" s="1">
        <v>1264.8699999999999</v>
      </c>
      <c r="L59" s="1">
        <v>0</v>
      </c>
      <c r="M59" s="1">
        <v>6324.3499999999995</v>
      </c>
      <c r="N59" s="1">
        <v>0</v>
      </c>
      <c r="O59" s="1">
        <v>6324.3499999999995</v>
      </c>
      <c r="P59" s="1">
        <v>3288.6619999999998</v>
      </c>
      <c r="Q59" s="1">
        <v>3035.6880000000001</v>
      </c>
      <c r="R59" s="1">
        <v>48</v>
      </c>
      <c r="S59" s="1" t="s">
        <v>33</v>
      </c>
    </row>
    <row r="60" spans="1:19" x14ac:dyDescent="0.35">
      <c r="A60" s="1" t="s">
        <v>191</v>
      </c>
      <c r="B60" s="3">
        <v>45704</v>
      </c>
      <c r="C60" s="1" t="s">
        <v>42</v>
      </c>
      <c r="D60" s="1">
        <v>2</v>
      </c>
      <c r="E60" s="1" t="s">
        <v>95</v>
      </c>
      <c r="F60" s="1" t="s">
        <v>52</v>
      </c>
      <c r="G60" s="1" t="s">
        <v>38</v>
      </c>
      <c r="H60" s="1" t="s">
        <v>39</v>
      </c>
      <c r="I60" s="1" t="s">
        <v>87</v>
      </c>
      <c r="J60" s="1">
        <v>1</v>
      </c>
      <c r="K60" s="1">
        <v>47657.68</v>
      </c>
      <c r="L60" s="1">
        <v>0.1</v>
      </c>
      <c r="M60" s="1">
        <v>47657.68</v>
      </c>
      <c r="N60" s="1">
        <v>4765.768</v>
      </c>
      <c r="O60" s="1">
        <v>42891.911999999997</v>
      </c>
      <c r="P60" s="1">
        <v>33455.691359999997</v>
      </c>
      <c r="Q60" s="1">
        <v>9436.2206399999995</v>
      </c>
      <c r="R60" s="1">
        <v>22</v>
      </c>
      <c r="S60" s="1" t="s">
        <v>26</v>
      </c>
    </row>
    <row r="61" spans="1:19" x14ac:dyDescent="0.35">
      <c r="A61" s="1" t="s">
        <v>192</v>
      </c>
      <c r="B61" s="3">
        <v>45669</v>
      </c>
      <c r="C61" s="1" t="s">
        <v>193</v>
      </c>
      <c r="D61" s="1">
        <v>1</v>
      </c>
      <c r="E61" s="1" t="s">
        <v>194</v>
      </c>
      <c r="F61" s="1" t="s">
        <v>37</v>
      </c>
      <c r="G61" s="1" t="s">
        <v>23</v>
      </c>
      <c r="H61" s="1" t="s">
        <v>99</v>
      </c>
      <c r="I61" s="1" t="s">
        <v>145</v>
      </c>
      <c r="J61" s="1">
        <v>6</v>
      </c>
      <c r="K61" s="1">
        <v>12752.28</v>
      </c>
      <c r="L61" s="1">
        <v>0.15</v>
      </c>
      <c r="M61" s="1">
        <v>76513.680000000008</v>
      </c>
      <c r="N61" s="1">
        <v>11477.052</v>
      </c>
      <c r="O61" s="1">
        <v>65036.627999999997</v>
      </c>
      <c r="P61" s="1">
        <v>44224.907040000013</v>
      </c>
      <c r="Q61" s="1">
        <v>20811.720959999999</v>
      </c>
      <c r="R61" s="1">
        <v>32</v>
      </c>
      <c r="S61" s="1" t="s">
        <v>33</v>
      </c>
    </row>
    <row r="62" spans="1:19" x14ac:dyDescent="0.35">
      <c r="A62" s="1" t="s">
        <v>195</v>
      </c>
      <c r="B62" s="3">
        <v>45835</v>
      </c>
      <c r="C62" s="1" t="s">
        <v>82</v>
      </c>
      <c r="D62" s="1">
        <v>6</v>
      </c>
      <c r="E62" s="1" t="s">
        <v>196</v>
      </c>
      <c r="F62" s="1" t="s">
        <v>43</v>
      </c>
      <c r="G62" s="1" t="s">
        <v>64</v>
      </c>
      <c r="H62" s="1" t="s">
        <v>24</v>
      </c>
      <c r="I62" s="1" t="s">
        <v>139</v>
      </c>
      <c r="J62" s="1">
        <v>4</v>
      </c>
      <c r="K62" s="1">
        <v>2481.9</v>
      </c>
      <c r="L62" s="1">
        <v>0.05</v>
      </c>
      <c r="M62" s="1">
        <v>9927.6</v>
      </c>
      <c r="N62" s="1">
        <v>496.38000000000011</v>
      </c>
      <c r="O62" s="1">
        <v>9431.2200000000012</v>
      </c>
      <c r="P62" s="1">
        <v>5187.1710000000012</v>
      </c>
      <c r="Q62" s="1">
        <v>4244.049</v>
      </c>
      <c r="R62" s="1">
        <v>44.999999999999993</v>
      </c>
      <c r="S62" s="1" t="s">
        <v>33</v>
      </c>
    </row>
    <row r="63" spans="1:19" x14ac:dyDescent="0.35">
      <c r="A63" s="1" t="s">
        <v>197</v>
      </c>
      <c r="B63" s="3">
        <v>45877</v>
      </c>
      <c r="C63" s="1" t="s">
        <v>113</v>
      </c>
      <c r="D63" s="1">
        <v>8</v>
      </c>
      <c r="E63" s="1" t="s">
        <v>198</v>
      </c>
      <c r="F63" s="1" t="s">
        <v>69</v>
      </c>
      <c r="G63" s="1" t="s">
        <v>64</v>
      </c>
      <c r="H63" s="1" t="s">
        <v>31</v>
      </c>
      <c r="I63" s="1" t="s">
        <v>167</v>
      </c>
      <c r="J63" s="1">
        <v>5</v>
      </c>
      <c r="K63" s="1">
        <v>3206.06</v>
      </c>
      <c r="L63" s="1">
        <v>0.2</v>
      </c>
      <c r="M63" s="1">
        <v>16030.3</v>
      </c>
      <c r="N63" s="1">
        <v>3206.06</v>
      </c>
      <c r="O63" s="1">
        <v>12824.24</v>
      </c>
      <c r="P63" s="1">
        <v>6668.6048000000001</v>
      </c>
      <c r="Q63" s="1">
        <v>6155.6351999999997</v>
      </c>
      <c r="R63" s="1">
        <v>48</v>
      </c>
      <c r="S63" s="1" t="s">
        <v>73</v>
      </c>
    </row>
    <row r="64" spans="1:19" x14ac:dyDescent="0.35">
      <c r="A64" s="1" t="s">
        <v>199</v>
      </c>
      <c r="B64" s="3">
        <v>45667</v>
      </c>
      <c r="C64" s="1" t="s">
        <v>193</v>
      </c>
      <c r="D64" s="1">
        <v>1</v>
      </c>
      <c r="E64" s="1" t="s">
        <v>200</v>
      </c>
      <c r="F64" s="1" t="s">
        <v>52</v>
      </c>
      <c r="G64" s="1" t="s">
        <v>64</v>
      </c>
      <c r="H64" s="1" t="s">
        <v>77</v>
      </c>
      <c r="I64" s="1" t="s">
        <v>201</v>
      </c>
      <c r="J64" s="1">
        <v>2</v>
      </c>
      <c r="K64" s="1">
        <v>684.33</v>
      </c>
      <c r="L64" s="1">
        <v>0.05</v>
      </c>
      <c r="M64" s="1">
        <v>1368.66</v>
      </c>
      <c r="N64" s="1">
        <v>68.433000000000007</v>
      </c>
      <c r="O64" s="1">
        <v>1300.2270000000001</v>
      </c>
      <c r="P64" s="1">
        <v>936.16344000000004</v>
      </c>
      <c r="Q64" s="1">
        <v>364.06356000000011</v>
      </c>
      <c r="R64" s="1">
        <v>28</v>
      </c>
      <c r="S64" s="1" t="s">
        <v>60</v>
      </c>
    </row>
    <row r="65" spans="1:19" x14ac:dyDescent="0.35">
      <c r="A65" s="1" t="s">
        <v>202</v>
      </c>
      <c r="B65" s="3">
        <v>45924</v>
      </c>
      <c r="C65" s="1" t="s">
        <v>50</v>
      </c>
      <c r="D65" s="1">
        <v>9</v>
      </c>
      <c r="E65" s="1" t="s">
        <v>80</v>
      </c>
      <c r="F65" s="1" t="s">
        <v>76</v>
      </c>
      <c r="G65" s="1" t="s">
        <v>64</v>
      </c>
      <c r="H65" s="1" t="s">
        <v>31</v>
      </c>
      <c r="I65" s="1" t="s">
        <v>167</v>
      </c>
      <c r="J65" s="1">
        <v>2</v>
      </c>
      <c r="K65" s="1">
        <v>1456.94</v>
      </c>
      <c r="L65" s="1">
        <v>0.3</v>
      </c>
      <c r="M65" s="1">
        <v>2913.88</v>
      </c>
      <c r="N65" s="1">
        <v>874.16399999999999</v>
      </c>
      <c r="O65" s="1">
        <v>2039.7159999999999</v>
      </c>
      <c r="P65" s="1">
        <v>1060.6523199999999</v>
      </c>
      <c r="Q65" s="1">
        <v>979.06367999999998</v>
      </c>
      <c r="R65" s="1">
        <v>48</v>
      </c>
      <c r="S65" s="1" t="s">
        <v>73</v>
      </c>
    </row>
    <row r="66" spans="1:19" x14ac:dyDescent="0.35">
      <c r="A66" s="1" t="s">
        <v>203</v>
      </c>
      <c r="B66" s="3">
        <v>45762</v>
      </c>
      <c r="C66" s="1" t="s">
        <v>20</v>
      </c>
      <c r="D66" s="1">
        <v>4</v>
      </c>
      <c r="E66" s="1" t="s">
        <v>204</v>
      </c>
      <c r="F66" s="1" t="s">
        <v>76</v>
      </c>
      <c r="G66" s="1" t="s">
        <v>64</v>
      </c>
      <c r="H66" s="1" t="s">
        <v>53</v>
      </c>
      <c r="I66" s="1" t="s">
        <v>123</v>
      </c>
      <c r="J66" s="1">
        <v>7</v>
      </c>
      <c r="K66" s="1">
        <v>756.18</v>
      </c>
      <c r="L66" s="1">
        <v>0</v>
      </c>
      <c r="M66" s="1">
        <v>5293.2599999999993</v>
      </c>
      <c r="N66" s="1">
        <v>0</v>
      </c>
      <c r="O66" s="1">
        <v>5293.2599999999993</v>
      </c>
      <c r="P66" s="1">
        <v>3070.090799999999</v>
      </c>
      <c r="Q66" s="1">
        <v>2223.1691999999998</v>
      </c>
      <c r="R66" s="1">
        <v>42.000000000000007</v>
      </c>
      <c r="S66" s="1" t="s">
        <v>26</v>
      </c>
    </row>
    <row r="67" spans="1:19" x14ac:dyDescent="0.35">
      <c r="A67" s="1" t="s">
        <v>205</v>
      </c>
      <c r="B67" s="3">
        <v>45680</v>
      </c>
      <c r="C67" s="1" t="s">
        <v>193</v>
      </c>
      <c r="D67" s="1">
        <v>1</v>
      </c>
      <c r="E67" s="1" t="s">
        <v>196</v>
      </c>
      <c r="F67" s="1" t="s">
        <v>111</v>
      </c>
      <c r="G67" s="1" t="s">
        <v>23</v>
      </c>
      <c r="H67" s="1" t="s">
        <v>31</v>
      </c>
      <c r="I67" s="1" t="s">
        <v>167</v>
      </c>
      <c r="J67" s="1">
        <v>5</v>
      </c>
      <c r="K67" s="1">
        <v>3317.73</v>
      </c>
      <c r="L67" s="1">
        <v>0.2</v>
      </c>
      <c r="M67" s="1">
        <v>16588.650000000001</v>
      </c>
      <c r="N67" s="1">
        <v>3317.73</v>
      </c>
      <c r="O67" s="1">
        <v>13270.92</v>
      </c>
      <c r="P67" s="1">
        <v>6900.8784000000014</v>
      </c>
      <c r="Q67" s="1">
        <v>6370.0415999999996</v>
      </c>
      <c r="R67" s="1">
        <v>48</v>
      </c>
      <c r="S67" s="1" t="s">
        <v>60</v>
      </c>
    </row>
    <row r="68" spans="1:19" x14ac:dyDescent="0.35">
      <c r="A68" s="1" t="s">
        <v>206</v>
      </c>
      <c r="B68" s="3">
        <v>45708</v>
      </c>
      <c r="C68" s="1" t="s">
        <v>42</v>
      </c>
      <c r="D68" s="1">
        <v>2</v>
      </c>
      <c r="E68" s="1" t="s">
        <v>207</v>
      </c>
      <c r="F68" s="1" t="s">
        <v>47</v>
      </c>
      <c r="G68" s="1" t="s">
        <v>38</v>
      </c>
      <c r="H68" s="1" t="s">
        <v>31</v>
      </c>
      <c r="I68" s="1" t="s">
        <v>32</v>
      </c>
      <c r="J68" s="1">
        <v>5</v>
      </c>
      <c r="K68" s="1">
        <v>883.85</v>
      </c>
      <c r="L68" s="1">
        <v>0.25</v>
      </c>
      <c r="M68" s="1">
        <v>4419.25</v>
      </c>
      <c r="N68" s="1">
        <v>1104.8125</v>
      </c>
      <c r="O68" s="1">
        <v>3314.4375</v>
      </c>
      <c r="P68" s="1">
        <v>1723.5074999999999</v>
      </c>
      <c r="Q68" s="1">
        <v>1590.93</v>
      </c>
      <c r="R68" s="1">
        <v>47.999999999999993</v>
      </c>
      <c r="S68" s="1" t="s">
        <v>73</v>
      </c>
    </row>
    <row r="69" spans="1:19" x14ac:dyDescent="0.35">
      <c r="A69" s="1" t="s">
        <v>208</v>
      </c>
      <c r="B69" s="3">
        <v>45819</v>
      </c>
      <c r="C69" s="1" t="s">
        <v>82</v>
      </c>
      <c r="D69" s="1">
        <v>6</v>
      </c>
      <c r="E69" s="1" t="s">
        <v>95</v>
      </c>
      <c r="F69" s="1" t="s">
        <v>111</v>
      </c>
      <c r="G69" s="1" t="s">
        <v>23</v>
      </c>
      <c r="H69" s="1" t="s">
        <v>77</v>
      </c>
      <c r="I69" s="1" t="s">
        <v>90</v>
      </c>
      <c r="J69" s="1">
        <v>6</v>
      </c>
      <c r="K69" s="1">
        <v>1006.08</v>
      </c>
      <c r="L69" s="1">
        <v>0.1</v>
      </c>
      <c r="M69" s="1">
        <v>6036.48</v>
      </c>
      <c r="N69" s="1">
        <v>603.64800000000002</v>
      </c>
      <c r="O69" s="1">
        <v>5432.8320000000003</v>
      </c>
      <c r="P69" s="1">
        <v>3911.63904</v>
      </c>
      <c r="Q69" s="1">
        <v>1521.1929600000001</v>
      </c>
      <c r="R69" s="1">
        <v>28</v>
      </c>
      <c r="S69" s="1" t="s">
        <v>60</v>
      </c>
    </row>
    <row r="70" spans="1:19" x14ac:dyDescent="0.35">
      <c r="A70" s="1" t="s">
        <v>209</v>
      </c>
      <c r="B70" s="3">
        <v>45769</v>
      </c>
      <c r="C70" s="1" t="s">
        <v>20</v>
      </c>
      <c r="D70" s="1">
        <v>4</v>
      </c>
      <c r="E70" s="1" t="s">
        <v>210</v>
      </c>
      <c r="F70" s="1" t="s">
        <v>52</v>
      </c>
      <c r="G70" s="1" t="s">
        <v>23</v>
      </c>
      <c r="H70" s="1" t="s">
        <v>31</v>
      </c>
      <c r="I70" s="1" t="s">
        <v>32</v>
      </c>
      <c r="J70" s="1">
        <v>5</v>
      </c>
      <c r="K70" s="1">
        <v>2309.89</v>
      </c>
      <c r="L70" s="1">
        <v>0.2</v>
      </c>
      <c r="M70" s="1">
        <v>11549.45</v>
      </c>
      <c r="N70" s="1">
        <v>2309.89</v>
      </c>
      <c r="O70" s="1">
        <v>9239.56</v>
      </c>
      <c r="P70" s="1">
        <v>4804.5712000000003</v>
      </c>
      <c r="Q70" s="1">
        <v>4434.9887999999992</v>
      </c>
      <c r="R70" s="1">
        <v>47.999999999999993</v>
      </c>
      <c r="S70" s="1" t="s">
        <v>73</v>
      </c>
    </row>
    <row r="71" spans="1:19" x14ac:dyDescent="0.35">
      <c r="A71" s="1" t="s">
        <v>211</v>
      </c>
      <c r="B71" s="3">
        <v>45995</v>
      </c>
      <c r="C71" s="1" t="s">
        <v>67</v>
      </c>
      <c r="D71" s="1">
        <v>12</v>
      </c>
      <c r="E71" s="1" t="s">
        <v>212</v>
      </c>
      <c r="F71" s="1" t="s">
        <v>52</v>
      </c>
      <c r="G71" s="1" t="s">
        <v>64</v>
      </c>
      <c r="H71" s="1" t="s">
        <v>77</v>
      </c>
      <c r="I71" s="1" t="s">
        <v>103</v>
      </c>
      <c r="J71" s="1">
        <v>7</v>
      </c>
      <c r="K71" s="1">
        <v>553.1</v>
      </c>
      <c r="L71" s="1">
        <v>0.25</v>
      </c>
      <c r="M71" s="1">
        <v>3871.7</v>
      </c>
      <c r="N71" s="1">
        <v>967.92500000000007</v>
      </c>
      <c r="O71" s="1">
        <v>2903.7750000000001</v>
      </c>
      <c r="P71" s="1">
        <v>2090.7179999999998</v>
      </c>
      <c r="Q71" s="1">
        <v>813.05700000000024</v>
      </c>
      <c r="R71" s="1">
        <v>28.000000000000011</v>
      </c>
      <c r="S71" s="1" t="s">
        <v>73</v>
      </c>
    </row>
    <row r="72" spans="1:19" x14ac:dyDescent="0.35">
      <c r="A72" s="1" t="s">
        <v>213</v>
      </c>
      <c r="B72" s="3">
        <v>45708</v>
      </c>
      <c r="C72" s="1" t="s">
        <v>42</v>
      </c>
      <c r="D72" s="1">
        <v>2</v>
      </c>
      <c r="E72" s="1" t="s">
        <v>171</v>
      </c>
      <c r="F72" s="1" t="s">
        <v>58</v>
      </c>
      <c r="G72" s="1" t="s">
        <v>64</v>
      </c>
      <c r="H72" s="1" t="s">
        <v>39</v>
      </c>
      <c r="I72" s="1" t="s">
        <v>214</v>
      </c>
      <c r="J72" s="1">
        <v>5</v>
      </c>
      <c r="K72" s="1">
        <v>53398.89</v>
      </c>
      <c r="L72" s="1">
        <v>0.1</v>
      </c>
      <c r="M72" s="1">
        <v>266994.45</v>
      </c>
      <c r="N72" s="1">
        <v>26699.445</v>
      </c>
      <c r="O72" s="1">
        <v>240295.005</v>
      </c>
      <c r="P72" s="1">
        <v>187430.10389999999</v>
      </c>
      <c r="Q72" s="1">
        <v>52864.901099999988</v>
      </c>
      <c r="R72" s="1">
        <v>21.999999999999989</v>
      </c>
      <c r="S72" s="1" t="s">
        <v>93</v>
      </c>
    </row>
    <row r="73" spans="1:19" x14ac:dyDescent="0.35">
      <c r="A73" s="1" t="s">
        <v>215</v>
      </c>
      <c r="B73" s="3">
        <v>45862</v>
      </c>
      <c r="C73" s="1" t="s">
        <v>62</v>
      </c>
      <c r="D73" s="1">
        <v>7</v>
      </c>
      <c r="E73" s="1" t="s">
        <v>216</v>
      </c>
      <c r="F73" s="1" t="s">
        <v>43</v>
      </c>
      <c r="G73" s="1" t="s">
        <v>38</v>
      </c>
      <c r="H73" s="1" t="s">
        <v>77</v>
      </c>
      <c r="I73" s="1" t="s">
        <v>90</v>
      </c>
      <c r="J73" s="1">
        <v>3</v>
      </c>
      <c r="K73" s="1">
        <v>716.6</v>
      </c>
      <c r="L73" s="1">
        <v>0.1</v>
      </c>
      <c r="M73" s="1">
        <v>2149.8000000000002</v>
      </c>
      <c r="N73" s="1">
        <v>214.98</v>
      </c>
      <c r="O73" s="1">
        <v>1934.82</v>
      </c>
      <c r="P73" s="1">
        <v>1393.0704000000001</v>
      </c>
      <c r="Q73" s="1">
        <v>541.7496000000001</v>
      </c>
      <c r="R73" s="1">
        <v>28</v>
      </c>
      <c r="S73" s="1" t="s">
        <v>33</v>
      </c>
    </row>
    <row r="74" spans="1:19" x14ac:dyDescent="0.35">
      <c r="A74" s="1" t="s">
        <v>217</v>
      </c>
      <c r="B74" s="3">
        <v>46017</v>
      </c>
      <c r="C74" s="1" t="s">
        <v>67</v>
      </c>
      <c r="D74" s="1">
        <v>12</v>
      </c>
      <c r="E74" s="1" t="s">
        <v>218</v>
      </c>
      <c r="F74" s="1" t="s">
        <v>47</v>
      </c>
      <c r="G74" s="1" t="s">
        <v>64</v>
      </c>
      <c r="H74" s="1" t="s">
        <v>24</v>
      </c>
      <c r="I74" s="1" t="s">
        <v>44</v>
      </c>
      <c r="J74" s="1">
        <v>1</v>
      </c>
      <c r="K74" s="1">
        <v>5432.34</v>
      </c>
      <c r="L74" s="1">
        <v>0.1</v>
      </c>
      <c r="M74" s="1">
        <v>5432.34</v>
      </c>
      <c r="N74" s="1">
        <v>543.23400000000004</v>
      </c>
      <c r="O74" s="1">
        <v>4889.1059999999998</v>
      </c>
      <c r="P74" s="1">
        <v>2689.0083</v>
      </c>
      <c r="Q74" s="1">
        <v>2200.0976999999998</v>
      </c>
      <c r="R74" s="1">
        <v>44.999999999999993</v>
      </c>
      <c r="S74" s="1" t="s">
        <v>26</v>
      </c>
    </row>
    <row r="75" spans="1:19" x14ac:dyDescent="0.35">
      <c r="A75" s="1" t="s">
        <v>219</v>
      </c>
      <c r="B75" s="3">
        <v>45934</v>
      </c>
      <c r="C75" s="1" t="s">
        <v>35</v>
      </c>
      <c r="D75" s="1">
        <v>10</v>
      </c>
      <c r="E75" s="1" t="s">
        <v>220</v>
      </c>
      <c r="F75" s="1" t="s">
        <v>111</v>
      </c>
      <c r="G75" s="1" t="s">
        <v>64</v>
      </c>
      <c r="H75" s="1" t="s">
        <v>31</v>
      </c>
      <c r="I75" s="1" t="s">
        <v>59</v>
      </c>
      <c r="J75" s="1">
        <v>2</v>
      </c>
      <c r="K75" s="1">
        <v>1119.3499999999999</v>
      </c>
      <c r="L75" s="1">
        <v>0.05</v>
      </c>
      <c r="M75" s="1">
        <v>2238.6999999999998</v>
      </c>
      <c r="N75" s="1">
        <v>111.935</v>
      </c>
      <c r="O75" s="1">
        <v>2126.7649999999999</v>
      </c>
      <c r="P75" s="1">
        <v>1105.9177999999999</v>
      </c>
      <c r="Q75" s="1">
        <v>1020.8472</v>
      </c>
      <c r="R75" s="1">
        <v>48</v>
      </c>
      <c r="S75" s="1" t="s">
        <v>73</v>
      </c>
    </row>
    <row r="76" spans="1:19" x14ac:dyDescent="0.35">
      <c r="A76" s="1" t="s">
        <v>221</v>
      </c>
      <c r="B76" s="3">
        <v>45703</v>
      </c>
      <c r="C76" s="1" t="s">
        <v>42</v>
      </c>
      <c r="D76" s="1">
        <v>2</v>
      </c>
      <c r="E76" s="1" t="s">
        <v>222</v>
      </c>
      <c r="F76" s="1" t="s">
        <v>37</v>
      </c>
      <c r="G76" s="1" t="s">
        <v>64</v>
      </c>
      <c r="H76" s="1" t="s">
        <v>99</v>
      </c>
      <c r="I76" s="1" t="s">
        <v>223</v>
      </c>
      <c r="J76" s="1">
        <v>1</v>
      </c>
      <c r="K76" s="1">
        <v>13826.89</v>
      </c>
      <c r="L76" s="1">
        <v>0.15</v>
      </c>
      <c r="M76" s="1">
        <v>13826.89</v>
      </c>
      <c r="N76" s="1">
        <v>2074.0335</v>
      </c>
      <c r="O76" s="1">
        <v>11752.8565</v>
      </c>
      <c r="P76" s="1">
        <v>7991.9424200000003</v>
      </c>
      <c r="Q76" s="1">
        <v>3760.91408</v>
      </c>
      <c r="R76" s="1">
        <v>32</v>
      </c>
      <c r="S76" s="1" t="s">
        <v>26</v>
      </c>
    </row>
    <row r="77" spans="1:19" x14ac:dyDescent="0.35">
      <c r="A77" s="1" t="s">
        <v>224</v>
      </c>
      <c r="B77" s="3">
        <v>45976</v>
      </c>
      <c r="C77" s="1" t="s">
        <v>56</v>
      </c>
      <c r="D77" s="1">
        <v>11</v>
      </c>
      <c r="E77" s="1" t="s">
        <v>225</v>
      </c>
      <c r="F77" s="1" t="s">
        <v>69</v>
      </c>
      <c r="G77" s="1" t="s">
        <v>64</v>
      </c>
      <c r="H77" s="1" t="s">
        <v>31</v>
      </c>
      <c r="I77" s="1" t="s">
        <v>59</v>
      </c>
      <c r="J77" s="1">
        <v>1</v>
      </c>
      <c r="K77" s="1">
        <v>1113.7</v>
      </c>
      <c r="L77" s="1">
        <v>0.2</v>
      </c>
      <c r="M77" s="1">
        <v>1113.7</v>
      </c>
      <c r="N77" s="1">
        <v>222.74</v>
      </c>
      <c r="O77" s="1">
        <v>890.96</v>
      </c>
      <c r="P77" s="1">
        <v>463.29919999999998</v>
      </c>
      <c r="Q77" s="1">
        <v>427.66079999999999</v>
      </c>
      <c r="R77" s="1">
        <v>48</v>
      </c>
      <c r="S77" s="1" t="s">
        <v>73</v>
      </c>
    </row>
    <row r="78" spans="1:19" x14ac:dyDescent="0.35">
      <c r="A78" s="1" t="s">
        <v>226</v>
      </c>
      <c r="B78" s="3">
        <v>45685</v>
      </c>
      <c r="C78" s="1" t="s">
        <v>193</v>
      </c>
      <c r="D78" s="1">
        <v>1</v>
      </c>
      <c r="E78" s="1" t="s">
        <v>227</v>
      </c>
      <c r="F78" s="1" t="s">
        <v>69</v>
      </c>
      <c r="G78" s="1" t="s">
        <v>38</v>
      </c>
      <c r="H78" s="1" t="s">
        <v>77</v>
      </c>
      <c r="I78" s="1" t="s">
        <v>90</v>
      </c>
      <c r="J78" s="1">
        <v>2</v>
      </c>
      <c r="K78" s="1">
        <v>909.59</v>
      </c>
      <c r="L78" s="1">
        <v>0</v>
      </c>
      <c r="M78" s="1">
        <v>1819.18</v>
      </c>
      <c r="N78" s="1">
        <v>0</v>
      </c>
      <c r="O78" s="1">
        <v>1819.18</v>
      </c>
      <c r="P78" s="1">
        <v>1309.8096</v>
      </c>
      <c r="Q78" s="1">
        <v>509.37040000000002</v>
      </c>
      <c r="R78" s="1">
        <v>28</v>
      </c>
      <c r="S78" s="1" t="s">
        <v>33</v>
      </c>
    </row>
    <row r="79" spans="1:19" x14ac:dyDescent="0.35">
      <c r="A79" s="1" t="s">
        <v>228</v>
      </c>
      <c r="B79" s="3">
        <v>45931</v>
      </c>
      <c r="C79" s="1" t="s">
        <v>35</v>
      </c>
      <c r="D79" s="1">
        <v>10</v>
      </c>
      <c r="E79" s="1" t="s">
        <v>229</v>
      </c>
      <c r="F79" s="1" t="s">
        <v>111</v>
      </c>
      <c r="G79" s="1" t="s">
        <v>23</v>
      </c>
      <c r="H79" s="1" t="s">
        <v>99</v>
      </c>
      <c r="I79" s="1" t="s">
        <v>223</v>
      </c>
      <c r="J79" s="1">
        <v>6</v>
      </c>
      <c r="K79" s="1">
        <v>14483.89</v>
      </c>
      <c r="L79" s="1">
        <v>0.05</v>
      </c>
      <c r="M79" s="1">
        <v>86903.34</v>
      </c>
      <c r="N79" s="1">
        <v>4345.1670000000004</v>
      </c>
      <c r="O79" s="1">
        <v>82558.172999999995</v>
      </c>
      <c r="P79" s="1">
        <v>56139.557639999999</v>
      </c>
      <c r="Q79" s="1">
        <v>26418.61536</v>
      </c>
      <c r="R79" s="1">
        <v>32</v>
      </c>
      <c r="S79" s="1" t="s">
        <v>60</v>
      </c>
    </row>
    <row r="80" spans="1:19" x14ac:dyDescent="0.35">
      <c r="A80" s="1" t="s">
        <v>230</v>
      </c>
      <c r="B80" s="3">
        <v>45888</v>
      </c>
      <c r="C80" s="1" t="s">
        <v>113</v>
      </c>
      <c r="D80" s="1">
        <v>8</v>
      </c>
      <c r="E80" s="1" t="s">
        <v>231</v>
      </c>
      <c r="F80" s="1" t="s">
        <v>58</v>
      </c>
      <c r="G80" s="1" t="s">
        <v>64</v>
      </c>
      <c r="H80" s="1" t="s">
        <v>77</v>
      </c>
      <c r="I80" s="1" t="s">
        <v>103</v>
      </c>
      <c r="J80" s="1">
        <v>2</v>
      </c>
      <c r="K80" s="1">
        <v>665.64</v>
      </c>
      <c r="L80" s="1">
        <v>0.05</v>
      </c>
      <c r="M80" s="1">
        <v>1331.28</v>
      </c>
      <c r="N80" s="1">
        <v>66.564000000000007</v>
      </c>
      <c r="O80" s="1">
        <v>1264.7159999999999</v>
      </c>
      <c r="P80" s="1">
        <v>910.59551999999985</v>
      </c>
      <c r="Q80" s="1">
        <v>354.12047999999999</v>
      </c>
      <c r="R80" s="1">
        <v>28.000000000000011</v>
      </c>
      <c r="S80" s="1" t="s">
        <v>73</v>
      </c>
    </row>
    <row r="81" spans="1:19" x14ac:dyDescent="0.35">
      <c r="A81" s="1" t="s">
        <v>232</v>
      </c>
      <c r="B81" s="3">
        <v>45724</v>
      </c>
      <c r="C81" s="1" t="s">
        <v>28</v>
      </c>
      <c r="D81" s="1">
        <v>3</v>
      </c>
      <c r="E81" s="1" t="s">
        <v>233</v>
      </c>
      <c r="F81" s="1" t="s">
        <v>30</v>
      </c>
      <c r="G81" s="1" t="s">
        <v>64</v>
      </c>
      <c r="H81" s="1" t="s">
        <v>39</v>
      </c>
      <c r="I81" s="1" t="s">
        <v>234</v>
      </c>
      <c r="J81" s="1">
        <v>5</v>
      </c>
      <c r="K81" s="1">
        <v>35336.18</v>
      </c>
      <c r="L81" s="1">
        <v>0.15</v>
      </c>
      <c r="M81" s="1">
        <v>176680.9</v>
      </c>
      <c r="N81" s="1">
        <v>26502.134999999998</v>
      </c>
      <c r="O81" s="1">
        <v>150178.76500000001</v>
      </c>
      <c r="P81" s="1">
        <v>117139.43670000001</v>
      </c>
      <c r="Q81" s="1">
        <v>33039.328299999986</v>
      </c>
      <c r="R81" s="1">
        <v>22</v>
      </c>
      <c r="S81" s="1" t="s">
        <v>26</v>
      </c>
    </row>
    <row r="82" spans="1:19" x14ac:dyDescent="0.35">
      <c r="A82" s="1" t="s">
        <v>235</v>
      </c>
      <c r="B82" s="3">
        <v>45699</v>
      </c>
      <c r="C82" s="1" t="s">
        <v>42</v>
      </c>
      <c r="D82" s="1">
        <v>2</v>
      </c>
      <c r="E82" s="1" t="s">
        <v>236</v>
      </c>
      <c r="F82" s="1" t="s">
        <v>30</v>
      </c>
      <c r="G82" s="1" t="s">
        <v>38</v>
      </c>
      <c r="H82" s="1" t="s">
        <v>39</v>
      </c>
      <c r="I82" s="1" t="s">
        <v>155</v>
      </c>
      <c r="J82" s="1">
        <v>5</v>
      </c>
      <c r="K82" s="1">
        <v>28695.69</v>
      </c>
      <c r="L82" s="1">
        <v>0.15</v>
      </c>
      <c r="M82" s="1">
        <v>143478.45000000001</v>
      </c>
      <c r="N82" s="1">
        <v>21521.767500000002</v>
      </c>
      <c r="O82" s="1">
        <v>121956.6825</v>
      </c>
      <c r="P82" s="1">
        <v>95126.212349999987</v>
      </c>
      <c r="Q82" s="1">
        <v>26830.47014999999</v>
      </c>
      <c r="R82" s="1">
        <v>22</v>
      </c>
      <c r="S82" s="1" t="s">
        <v>93</v>
      </c>
    </row>
    <row r="83" spans="1:19" x14ac:dyDescent="0.35">
      <c r="A83" s="1" t="s">
        <v>237</v>
      </c>
      <c r="B83" s="3">
        <v>45946</v>
      </c>
      <c r="C83" s="1" t="s">
        <v>35</v>
      </c>
      <c r="D83" s="1">
        <v>10</v>
      </c>
      <c r="E83" s="1" t="s">
        <v>116</v>
      </c>
      <c r="F83" s="1" t="s">
        <v>58</v>
      </c>
      <c r="G83" s="1" t="s">
        <v>23</v>
      </c>
      <c r="H83" s="1" t="s">
        <v>31</v>
      </c>
      <c r="I83" s="1" t="s">
        <v>190</v>
      </c>
      <c r="J83" s="1">
        <v>6</v>
      </c>
      <c r="K83" s="1">
        <v>943.6</v>
      </c>
      <c r="L83" s="1">
        <v>0.1</v>
      </c>
      <c r="M83" s="1">
        <v>5661.6</v>
      </c>
      <c r="N83" s="1">
        <v>566.16000000000008</v>
      </c>
      <c r="O83" s="1">
        <v>5095.4400000000014</v>
      </c>
      <c r="P83" s="1">
        <v>2649.6288</v>
      </c>
      <c r="Q83" s="1">
        <v>2445.8112000000001</v>
      </c>
      <c r="R83" s="1">
        <v>48</v>
      </c>
      <c r="S83" s="1" t="s">
        <v>60</v>
      </c>
    </row>
    <row r="84" spans="1:19" x14ac:dyDescent="0.35">
      <c r="A84" s="1" t="s">
        <v>238</v>
      </c>
      <c r="B84" s="3">
        <v>45904</v>
      </c>
      <c r="C84" s="1" t="s">
        <v>50</v>
      </c>
      <c r="D84" s="1">
        <v>9</v>
      </c>
      <c r="E84" s="1" t="s">
        <v>177</v>
      </c>
      <c r="F84" s="1" t="s">
        <v>52</v>
      </c>
      <c r="G84" s="1" t="s">
        <v>23</v>
      </c>
      <c r="H84" s="1" t="s">
        <v>53</v>
      </c>
      <c r="I84" s="1" t="s">
        <v>72</v>
      </c>
      <c r="J84" s="1">
        <v>3</v>
      </c>
      <c r="K84" s="1">
        <v>143.78</v>
      </c>
      <c r="L84" s="1">
        <v>0.15</v>
      </c>
      <c r="M84" s="1">
        <v>431.34</v>
      </c>
      <c r="N84" s="1">
        <v>64.701000000000008</v>
      </c>
      <c r="O84" s="1">
        <v>366.63900000000001</v>
      </c>
      <c r="P84" s="1">
        <v>212.65062</v>
      </c>
      <c r="Q84" s="1">
        <v>153.98838000000001</v>
      </c>
      <c r="R84" s="1">
        <v>42</v>
      </c>
      <c r="S84" s="1" t="s">
        <v>33</v>
      </c>
    </row>
    <row r="85" spans="1:19" x14ac:dyDescent="0.35">
      <c r="A85" s="1" t="s">
        <v>239</v>
      </c>
      <c r="B85" s="3">
        <v>45732</v>
      </c>
      <c r="C85" s="1" t="s">
        <v>28</v>
      </c>
      <c r="D85" s="1">
        <v>3</v>
      </c>
      <c r="E85" s="1" t="s">
        <v>240</v>
      </c>
      <c r="F85" s="1" t="s">
        <v>43</v>
      </c>
      <c r="G85" s="1" t="s">
        <v>23</v>
      </c>
      <c r="H85" s="1" t="s">
        <v>24</v>
      </c>
      <c r="I85" s="1" t="s">
        <v>25</v>
      </c>
      <c r="J85" s="1">
        <v>7</v>
      </c>
      <c r="K85" s="1">
        <v>4993.8999999999996</v>
      </c>
      <c r="L85" s="1">
        <v>0.05</v>
      </c>
      <c r="M85" s="1">
        <v>34957.300000000003</v>
      </c>
      <c r="N85" s="1">
        <v>1747.865</v>
      </c>
      <c r="O85" s="1">
        <v>33209.434999999998</v>
      </c>
      <c r="P85" s="1">
        <v>18265.189249999999</v>
      </c>
      <c r="Q85" s="1">
        <v>14944.24575</v>
      </c>
      <c r="R85" s="1">
        <v>44.999999999999993</v>
      </c>
      <c r="S85" s="1" t="s">
        <v>73</v>
      </c>
    </row>
    <row r="86" spans="1:19" x14ac:dyDescent="0.35">
      <c r="A86" s="1" t="s">
        <v>241</v>
      </c>
      <c r="B86" s="3">
        <v>45830</v>
      </c>
      <c r="C86" s="1" t="s">
        <v>82</v>
      </c>
      <c r="D86" s="1">
        <v>6</v>
      </c>
      <c r="E86" s="1" t="s">
        <v>144</v>
      </c>
      <c r="F86" s="1" t="s">
        <v>58</v>
      </c>
      <c r="G86" s="1" t="s">
        <v>64</v>
      </c>
      <c r="H86" s="1" t="s">
        <v>24</v>
      </c>
      <c r="I86" s="1" t="s">
        <v>48</v>
      </c>
      <c r="J86" s="1">
        <v>5</v>
      </c>
      <c r="K86" s="1">
        <v>1528.74</v>
      </c>
      <c r="L86" s="1">
        <v>0.1</v>
      </c>
      <c r="M86" s="1">
        <v>7643.7</v>
      </c>
      <c r="N86" s="1">
        <v>764.37</v>
      </c>
      <c r="O86" s="1">
        <v>6879.33</v>
      </c>
      <c r="P86" s="1">
        <v>3783.6315</v>
      </c>
      <c r="Q86" s="1">
        <v>3095.6985</v>
      </c>
      <c r="R86" s="1">
        <v>44.999999999999993</v>
      </c>
      <c r="S86" s="1" t="s">
        <v>60</v>
      </c>
    </row>
    <row r="87" spans="1:19" x14ac:dyDescent="0.35">
      <c r="A87" s="1" t="s">
        <v>242</v>
      </c>
      <c r="B87" s="3">
        <v>45797</v>
      </c>
      <c r="C87" s="1" t="s">
        <v>97</v>
      </c>
      <c r="D87" s="1">
        <v>5</v>
      </c>
      <c r="E87" s="1" t="s">
        <v>68</v>
      </c>
      <c r="F87" s="1" t="s">
        <v>58</v>
      </c>
      <c r="G87" s="1" t="s">
        <v>64</v>
      </c>
      <c r="H87" s="1" t="s">
        <v>39</v>
      </c>
      <c r="I87" s="1" t="s">
        <v>40</v>
      </c>
      <c r="J87" s="1">
        <v>2</v>
      </c>
      <c r="K87" s="1">
        <v>51763.43</v>
      </c>
      <c r="L87" s="1">
        <v>0</v>
      </c>
      <c r="M87" s="1">
        <v>103526.86</v>
      </c>
      <c r="N87" s="1">
        <v>0</v>
      </c>
      <c r="O87" s="1">
        <v>103526.86</v>
      </c>
      <c r="P87" s="1">
        <v>80750.950800000006</v>
      </c>
      <c r="Q87" s="1">
        <v>22775.909199999991</v>
      </c>
      <c r="R87" s="1">
        <v>21.999999999999989</v>
      </c>
      <c r="S87" s="1" t="s">
        <v>26</v>
      </c>
    </row>
    <row r="88" spans="1:19" x14ac:dyDescent="0.35">
      <c r="A88" s="1" t="s">
        <v>243</v>
      </c>
      <c r="B88" s="3">
        <v>45818</v>
      </c>
      <c r="C88" s="1" t="s">
        <v>82</v>
      </c>
      <c r="D88" s="1">
        <v>6</v>
      </c>
      <c r="E88" s="1" t="s">
        <v>244</v>
      </c>
      <c r="F88" s="1" t="s">
        <v>47</v>
      </c>
      <c r="G88" s="1" t="s">
        <v>64</v>
      </c>
      <c r="H88" s="1" t="s">
        <v>77</v>
      </c>
      <c r="I88" s="1" t="s">
        <v>201</v>
      </c>
      <c r="J88" s="1">
        <v>2</v>
      </c>
      <c r="K88" s="1">
        <v>572.41</v>
      </c>
      <c r="L88" s="1">
        <v>0.1</v>
      </c>
      <c r="M88" s="1">
        <v>1144.82</v>
      </c>
      <c r="N88" s="1">
        <v>114.482</v>
      </c>
      <c r="O88" s="1">
        <v>1030.338</v>
      </c>
      <c r="P88" s="1">
        <v>741.84335999999996</v>
      </c>
      <c r="Q88" s="1">
        <v>288.49464</v>
      </c>
      <c r="R88" s="1">
        <v>28</v>
      </c>
      <c r="S88" s="1" t="s">
        <v>33</v>
      </c>
    </row>
    <row r="89" spans="1:19" x14ac:dyDescent="0.35">
      <c r="A89" s="1" t="s">
        <v>245</v>
      </c>
      <c r="B89" s="3">
        <v>45978</v>
      </c>
      <c r="C89" s="1" t="s">
        <v>56</v>
      </c>
      <c r="D89" s="1">
        <v>11</v>
      </c>
      <c r="E89" s="1" t="s">
        <v>246</v>
      </c>
      <c r="F89" s="1" t="s">
        <v>22</v>
      </c>
      <c r="G89" s="1" t="s">
        <v>38</v>
      </c>
      <c r="H89" s="1" t="s">
        <v>31</v>
      </c>
      <c r="I89" s="1" t="s">
        <v>167</v>
      </c>
      <c r="J89" s="1">
        <v>1</v>
      </c>
      <c r="K89" s="1">
        <v>2708.75</v>
      </c>
      <c r="L89" s="1">
        <v>0.15</v>
      </c>
      <c r="M89" s="1">
        <v>2708.75</v>
      </c>
      <c r="N89" s="1">
        <v>406.3125</v>
      </c>
      <c r="O89" s="1">
        <v>2302.4375</v>
      </c>
      <c r="P89" s="1">
        <v>1197.2674999999999</v>
      </c>
      <c r="Q89" s="1">
        <v>1105.17</v>
      </c>
      <c r="R89" s="1">
        <v>48.000000000000007</v>
      </c>
      <c r="S89" s="1" t="s">
        <v>93</v>
      </c>
    </row>
    <row r="90" spans="1:19" x14ac:dyDescent="0.35">
      <c r="A90" s="1" t="s">
        <v>247</v>
      </c>
      <c r="B90" s="3">
        <v>45975</v>
      </c>
      <c r="C90" s="1" t="s">
        <v>56</v>
      </c>
      <c r="D90" s="1">
        <v>11</v>
      </c>
      <c r="E90" s="1" t="s">
        <v>248</v>
      </c>
      <c r="F90" s="1" t="s">
        <v>47</v>
      </c>
      <c r="G90" s="1" t="s">
        <v>38</v>
      </c>
      <c r="H90" s="1" t="s">
        <v>24</v>
      </c>
      <c r="I90" s="1" t="s">
        <v>25</v>
      </c>
      <c r="J90" s="1">
        <v>4</v>
      </c>
      <c r="K90" s="1">
        <v>2746.85</v>
      </c>
      <c r="L90" s="1">
        <v>0.25</v>
      </c>
      <c r="M90" s="1">
        <v>10987.4</v>
      </c>
      <c r="N90" s="1">
        <v>2746.85</v>
      </c>
      <c r="O90" s="1">
        <v>8240.5499999999993</v>
      </c>
      <c r="P90" s="1">
        <v>4532.3024999999998</v>
      </c>
      <c r="Q90" s="1">
        <v>3708.247499999999</v>
      </c>
      <c r="R90" s="1">
        <v>44.999999999999993</v>
      </c>
      <c r="S90" s="1" t="s">
        <v>60</v>
      </c>
    </row>
    <row r="91" spans="1:19" x14ac:dyDescent="0.35">
      <c r="A91" s="1" t="s">
        <v>249</v>
      </c>
      <c r="B91" s="3">
        <v>45953</v>
      </c>
      <c r="C91" s="1" t="s">
        <v>35</v>
      </c>
      <c r="D91" s="1">
        <v>10</v>
      </c>
      <c r="E91" s="1" t="s">
        <v>250</v>
      </c>
      <c r="F91" s="1" t="s">
        <v>69</v>
      </c>
      <c r="G91" s="1" t="s">
        <v>64</v>
      </c>
      <c r="H91" s="1" t="s">
        <v>77</v>
      </c>
      <c r="I91" s="1" t="s">
        <v>78</v>
      </c>
      <c r="J91" s="1">
        <v>4</v>
      </c>
      <c r="K91" s="1">
        <v>1018.1</v>
      </c>
      <c r="L91" s="1">
        <v>0.05</v>
      </c>
      <c r="M91" s="1">
        <v>4072.4</v>
      </c>
      <c r="N91" s="1">
        <v>203.62</v>
      </c>
      <c r="O91" s="1">
        <v>3868.78</v>
      </c>
      <c r="P91" s="1">
        <v>2785.5216</v>
      </c>
      <c r="Q91" s="1">
        <v>1083.2583999999999</v>
      </c>
      <c r="R91" s="1">
        <v>28</v>
      </c>
      <c r="S91" s="1" t="s">
        <v>93</v>
      </c>
    </row>
    <row r="92" spans="1:19" x14ac:dyDescent="0.35">
      <c r="A92" s="1" t="s">
        <v>251</v>
      </c>
      <c r="B92" s="3">
        <v>45996</v>
      </c>
      <c r="C92" s="1" t="s">
        <v>67</v>
      </c>
      <c r="D92" s="1">
        <v>12</v>
      </c>
      <c r="E92" s="1" t="s">
        <v>252</v>
      </c>
      <c r="F92" s="1" t="s">
        <v>37</v>
      </c>
      <c r="G92" s="1" t="s">
        <v>64</v>
      </c>
      <c r="H92" s="1" t="s">
        <v>53</v>
      </c>
      <c r="I92" s="1" t="s">
        <v>54</v>
      </c>
      <c r="J92" s="1">
        <v>6</v>
      </c>
      <c r="K92" s="1">
        <v>1355.36</v>
      </c>
      <c r="L92" s="1">
        <v>0.1</v>
      </c>
      <c r="M92" s="1">
        <v>8132.16</v>
      </c>
      <c r="N92" s="1">
        <v>813.21600000000001</v>
      </c>
      <c r="O92" s="1">
        <v>7318.9440000000004</v>
      </c>
      <c r="P92" s="1">
        <v>4244.9875199999997</v>
      </c>
      <c r="Q92" s="1">
        <v>3073.9564799999998</v>
      </c>
      <c r="R92" s="1">
        <v>42</v>
      </c>
      <c r="S92" s="1" t="s">
        <v>26</v>
      </c>
    </row>
    <row r="93" spans="1:19" x14ac:dyDescent="0.35">
      <c r="A93" s="1" t="s">
        <v>253</v>
      </c>
      <c r="B93" s="3">
        <v>45782</v>
      </c>
      <c r="C93" s="1" t="s">
        <v>97</v>
      </c>
      <c r="D93" s="1">
        <v>5</v>
      </c>
      <c r="E93" s="1" t="s">
        <v>254</v>
      </c>
      <c r="F93" s="1" t="s">
        <v>76</v>
      </c>
      <c r="G93" s="1" t="s">
        <v>64</v>
      </c>
      <c r="H93" s="1" t="s">
        <v>77</v>
      </c>
      <c r="I93" s="1" t="s">
        <v>201</v>
      </c>
      <c r="J93" s="1">
        <v>1</v>
      </c>
      <c r="K93" s="1">
        <v>909.75</v>
      </c>
      <c r="L93" s="1">
        <v>0.1</v>
      </c>
      <c r="M93" s="1">
        <v>909.75</v>
      </c>
      <c r="N93" s="1">
        <v>90.975000000000009</v>
      </c>
      <c r="O93" s="1">
        <v>818.77499999999998</v>
      </c>
      <c r="P93" s="1">
        <v>589.51799999999992</v>
      </c>
      <c r="Q93" s="1">
        <v>229.25700000000009</v>
      </c>
      <c r="R93" s="1">
        <v>28.000000000000011</v>
      </c>
      <c r="S93" s="1" t="s">
        <v>93</v>
      </c>
    </row>
    <row r="94" spans="1:19" x14ac:dyDescent="0.35">
      <c r="A94" s="1" t="s">
        <v>255</v>
      </c>
      <c r="B94" s="3">
        <v>45761</v>
      </c>
      <c r="C94" s="1" t="s">
        <v>20</v>
      </c>
      <c r="D94" s="1">
        <v>4</v>
      </c>
      <c r="E94" s="1" t="s">
        <v>256</v>
      </c>
      <c r="F94" s="1" t="s">
        <v>30</v>
      </c>
      <c r="G94" s="1" t="s">
        <v>23</v>
      </c>
      <c r="H94" s="1" t="s">
        <v>53</v>
      </c>
      <c r="I94" s="1" t="s">
        <v>72</v>
      </c>
      <c r="J94" s="1">
        <v>7</v>
      </c>
      <c r="K94" s="1">
        <v>380.56</v>
      </c>
      <c r="L94" s="1">
        <v>0.25</v>
      </c>
      <c r="M94" s="1">
        <v>2663.92</v>
      </c>
      <c r="N94" s="1">
        <v>665.98</v>
      </c>
      <c r="O94" s="1">
        <v>1997.94</v>
      </c>
      <c r="P94" s="1">
        <v>1158.8052</v>
      </c>
      <c r="Q94" s="1">
        <v>839.13480000000004</v>
      </c>
      <c r="R94" s="1">
        <v>42</v>
      </c>
      <c r="S94" s="1" t="s">
        <v>93</v>
      </c>
    </row>
    <row r="95" spans="1:19" x14ac:dyDescent="0.35">
      <c r="A95" s="1" t="s">
        <v>257</v>
      </c>
      <c r="B95" s="3">
        <v>45946</v>
      </c>
      <c r="C95" s="1" t="s">
        <v>35</v>
      </c>
      <c r="D95" s="1">
        <v>10</v>
      </c>
      <c r="E95" s="1" t="s">
        <v>246</v>
      </c>
      <c r="F95" s="1" t="s">
        <v>43</v>
      </c>
      <c r="G95" s="1" t="s">
        <v>64</v>
      </c>
      <c r="H95" s="1" t="s">
        <v>24</v>
      </c>
      <c r="I95" s="1" t="s">
        <v>139</v>
      </c>
      <c r="J95" s="1">
        <v>6</v>
      </c>
      <c r="K95" s="1">
        <v>5416.41</v>
      </c>
      <c r="L95" s="1">
        <v>0.2</v>
      </c>
      <c r="M95" s="1">
        <v>32498.46</v>
      </c>
      <c r="N95" s="1">
        <v>6499.692</v>
      </c>
      <c r="O95" s="1">
        <v>25998.768</v>
      </c>
      <c r="P95" s="1">
        <v>14299.322399999999</v>
      </c>
      <c r="Q95" s="1">
        <v>11699.445599999999</v>
      </c>
      <c r="R95" s="1">
        <v>44.999999999999993</v>
      </c>
      <c r="S95" s="1" t="s">
        <v>93</v>
      </c>
    </row>
    <row r="96" spans="1:19" x14ac:dyDescent="0.35">
      <c r="A96" s="1" t="s">
        <v>258</v>
      </c>
      <c r="B96" s="3">
        <v>45946</v>
      </c>
      <c r="C96" s="1" t="s">
        <v>35</v>
      </c>
      <c r="D96" s="1">
        <v>10</v>
      </c>
      <c r="E96" s="1" t="s">
        <v>259</v>
      </c>
      <c r="F96" s="1" t="s">
        <v>37</v>
      </c>
      <c r="G96" s="1" t="s">
        <v>64</v>
      </c>
      <c r="H96" s="1" t="s">
        <v>77</v>
      </c>
      <c r="I96" s="1" t="s">
        <v>78</v>
      </c>
      <c r="J96" s="1">
        <v>4</v>
      </c>
      <c r="K96" s="1">
        <v>705.37</v>
      </c>
      <c r="L96" s="1">
        <v>0.2</v>
      </c>
      <c r="M96" s="1">
        <v>2821.48</v>
      </c>
      <c r="N96" s="1">
        <v>564.29600000000005</v>
      </c>
      <c r="O96" s="1">
        <v>2257.1840000000002</v>
      </c>
      <c r="P96" s="1">
        <v>1625.17248</v>
      </c>
      <c r="Q96" s="1">
        <v>632.01152000000002</v>
      </c>
      <c r="R96" s="1">
        <v>28</v>
      </c>
      <c r="S96" s="1" t="s">
        <v>33</v>
      </c>
    </row>
    <row r="97" spans="1:19" x14ac:dyDescent="0.35">
      <c r="A97" s="1" t="s">
        <v>260</v>
      </c>
      <c r="B97" s="3">
        <v>46022</v>
      </c>
      <c r="C97" s="1" t="s">
        <v>67</v>
      </c>
      <c r="D97" s="1">
        <v>12</v>
      </c>
      <c r="E97" s="1" t="s">
        <v>142</v>
      </c>
      <c r="F97" s="1" t="s">
        <v>58</v>
      </c>
      <c r="G97" s="1" t="s">
        <v>64</v>
      </c>
      <c r="H97" s="1" t="s">
        <v>24</v>
      </c>
      <c r="I97" s="1" t="s">
        <v>44</v>
      </c>
      <c r="J97" s="1">
        <v>7</v>
      </c>
      <c r="K97" s="1">
        <v>4885.12</v>
      </c>
      <c r="L97" s="1">
        <v>0.05</v>
      </c>
      <c r="M97" s="1">
        <v>34195.839999999997</v>
      </c>
      <c r="N97" s="1">
        <v>1709.7919999999999</v>
      </c>
      <c r="O97" s="1">
        <v>32486.047999999999</v>
      </c>
      <c r="P97" s="1">
        <v>17867.326400000002</v>
      </c>
      <c r="Q97" s="1">
        <v>14618.721600000001</v>
      </c>
      <c r="R97" s="1">
        <v>44.999999999999993</v>
      </c>
      <c r="S97" s="1" t="s">
        <v>26</v>
      </c>
    </row>
    <row r="98" spans="1:19" x14ac:dyDescent="0.35">
      <c r="A98" s="1" t="s">
        <v>261</v>
      </c>
      <c r="B98" s="3">
        <v>45752</v>
      </c>
      <c r="C98" s="1" t="s">
        <v>20</v>
      </c>
      <c r="D98" s="1">
        <v>4</v>
      </c>
      <c r="E98" s="1" t="s">
        <v>80</v>
      </c>
      <c r="F98" s="1" t="s">
        <v>111</v>
      </c>
      <c r="G98" s="1" t="s">
        <v>38</v>
      </c>
      <c r="H98" s="1" t="s">
        <v>53</v>
      </c>
      <c r="I98" s="1" t="s">
        <v>54</v>
      </c>
      <c r="J98" s="1">
        <v>3</v>
      </c>
      <c r="K98" s="1">
        <v>1457.22</v>
      </c>
      <c r="L98" s="1">
        <v>0.15</v>
      </c>
      <c r="M98" s="1">
        <v>4371.66</v>
      </c>
      <c r="N98" s="1">
        <v>655.74899999999991</v>
      </c>
      <c r="O98" s="1">
        <v>3715.9110000000001</v>
      </c>
      <c r="P98" s="1">
        <v>2155.22838</v>
      </c>
      <c r="Q98" s="1">
        <v>1560.68262</v>
      </c>
      <c r="R98" s="1">
        <v>42</v>
      </c>
      <c r="S98" s="1" t="s">
        <v>73</v>
      </c>
    </row>
    <row r="99" spans="1:19" x14ac:dyDescent="0.35">
      <c r="A99" s="1" t="s">
        <v>262</v>
      </c>
      <c r="B99" s="3">
        <v>45959</v>
      </c>
      <c r="C99" s="1" t="s">
        <v>35</v>
      </c>
      <c r="D99" s="1">
        <v>10</v>
      </c>
      <c r="E99" s="1" t="s">
        <v>263</v>
      </c>
      <c r="F99" s="1" t="s">
        <v>43</v>
      </c>
      <c r="G99" s="1" t="s">
        <v>64</v>
      </c>
      <c r="H99" s="1" t="s">
        <v>53</v>
      </c>
      <c r="I99" s="1" t="s">
        <v>72</v>
      </c>
      <c r="J99" s="1">
        <v>4</v>
      </c>
      <c r="K99" s="1">
        <v>2288.4499999999998</v>
      </c>
      <c r="L99" s="1">
        <v>0.05</v>
      </c>
      <c r="M99" s="1">
        <v>9153.7999999999993</v>
      </c>
      <c r="N99" s="1">
        <v>457.69</v>
      </c>
      <c r="O99" s="1">
        <v>8696.1099999999988</v>
      </c>
      <c r="P99" s="1">
        <v>5043.7437999999993</v>
      </c>
      <c r="Q99" s="1">
        <v>3652.366199999999</v>
      </c>
      <c r="R99" s="1">
        <v>42</v>
      </c>
      <c r="S99" s="1" t="s">
        <v>26</v>
      </c>
    </row>
    <row r="100" spans="1:19" x14ac:dyDescent="0.35">
      <c r="A100" s="1" t="s">
        <v>264</v>
      </c>
      <c r="B100" s="3">
        <v>46013</v>
      </c>
      <c r="C100" s="1" t="s">
        <v>67</v>
      </c>
      <c r="D100" s="1">
        <v>12</v>
      </c>
      <c r="E100" s="1" t="s">
        <v>265</v>
      </c>
      <c r="F100" s="1" t="s">
        <v>76</v>
      </c>
      <c r="G100" s="1" t="s">
        <v>38</v>
      </c>
      <c r="H100" s="1" t="s">
        <v>24</v>
      </c>
      <c r="I100" s="1" t="s">
        <v>44</v>
      </c>
      <c r="J100" s="1">
        <v>5</v>
      </c>
      <c r="K100" s="1">
        <v>5573.75</v>
      </c>
      <c r="L100" s="1">
        <v>0.15</v>
      </c>
      <c r="M100" s="1">
        <v>27868.75</v>
      </c>
      <c r="N100" s="1">
        <v>4180.3125</v>
      </c>
      <c r="O100" s="1">
        <v>23688.4375</v>
      </c>
      <c r="P100" s="1">
        <v>13028.640625</v>
      </c>
      <c r="Q100" s="1">
        <v>10659.796875</v>
      </c>
      <c r="R100" s="1">
        <v>44.999999999999993</v>
      </c>
      <c r="S100" s="1" t="s">
        <v>60</v>
      </c>
    </row>
    <row r="101" spans="1:19" x14ac:dyDescent="0.35">
      <c r="A101" s="1" t="s">
        <v>266</v>
      </c>
      <c r="B101" s="3">
        <v>45708</v>
      </c>
      <c r="C101" s="1" t="s">
        <v>42</v>
      </c>
      <c r="D101" s="1">
        <v>2</v>
      </c>
      <c r="E101" s="1" t="s">
        <v>267</v>
      </c>
      <c r="F101" s="1" t="s">
        <v>111</v>
      </c>
      <c r="G101" s="1" t="s">
        <v>64</v>
      </c>
      <c r="H101" s="1" t="s">
        <v>31</v>
      </c>
      <c r="I101" s="1" t="s">
        <v>32</v>
      </c>
      <c r="J101" s="1">
        <v>6</v>
      </c>
      <c r="K101" s="1">
        <v>3283.41</v>
      </c>
      <c r="L101" s="1">
        <v>0.25</v>
      </c>
      <c r="M101" s="1">
        <v>19700.46</v>
      </c>
      <c r="N101" s="1">
        <v>4925.1149999999998</v>
      </c>
      <c r="O101" s="1">
        <v>14775.344999999999</v>
      </c>
      <c r="P101" s="1">
        <v>7683.1794</v>
      </c>
      <c r="Q101" s="1">
        <v>7092.1655999999994</v>
      </c>
      <c r="R101" s="1">
        <v>48</v>
      </c>
      <c r="S101" s="1" t="s">
        <v>33</v>
      </c>
    </row>
    <row r="102" spans="1:19" x14ac:dyDescent="0.35">
      <c r="A102" s="1" t="s">
        <v>268</v>
      </c>
      <c r="B102" s="3">
        <v>45839</v>
      </c>
      <c r="C102" s="1" t="s">
        <v>62</v>
      </c>
      <c r="D102" s="1">
        <v>7</v>
      </c>
      <c r="E102" s="1" t="s">
        <v>269</v>
      </c>
      <c r="F102" s="1" t="s">
        <v>43</v>
      </c>
      <c r="G102" s="1" t="s">
        <v>64</v>
      </c>
      <c r="H102" s="1" t="s">
        <v>39</v>
      </c>
      <c r="I102" s="1" t="s">
        <v>87</v>
      </c>
      <c r="J102" s="1">
        <v>1</v>
      </c>
      <c r="K102" s="1">
        <v>57584.09</v>
      </c>
      <c r="L102" s="1">
        <v>0.1</v>
      </c>
      <c r="M102" s="1">
        <v>57584.09</v>
      </c>
      <c r="N102" s="1">
        <v>5758.4089999999997</v>
      </c>
      <c r="O102" s="1">
        <v>51825.680999999997</v>
      </c>
      <c r="P102" s="1">
        <v>40424.031179999998</v>
      </c>
      <c r="Q102" s="1">
        <v>11401.649820000001</v>
      </c>
      <c r="R102" s="1">
        <v>22</v>
      </c>
      <c r="S102" s="1" t="s">
        <v>73</v>
      </c>
    </row>
    <row r="103" spans="1:19" x14ac:dyDescent="0.35">
      <c r="A103" s="1" t="s">
        <v>270</v>
      </c>
      <c r="B103" s="3">
        <v>45970</v>
      </c>
      <c r="C103" s="1" t="s">
        <v>56</v>
      </c>
      <c r="D103" s="1">
        <v>11</v>
      </c>
      <c r="E103" s="1" t="s">
        <v>175</v>
      </c>
      <c r="F103" s="1" t="s">
        <v>37</v>
      </c>
      <c r="G103" s="1" t="s">
        <v>38</v>
      </c>
      <c r="H103" s="1" t="s">
        <v>31</v>
      </c>
      <c r="I103" s="1" t="s">
        <v>32</v>
      </c>
      <c r="J103" s="1">
        <v>2</v>
      </c>
      <c r="K103" s="1">
        <v>1300.55</v>
      </c>
      <c r="L103" s="1">
        <v>0.1</v>
      </c>
      <c r="M103" s="1">
        <v>2601.1</v>
      </c>
      <c r="N103" s="1">
        <v>260.11</v>
      </c>
      <c r="O103" s="1">
        <v>2340.9899999999998</v>
      </c>
      <c r="P103" s="1">
        <v>1217.3148000000001</v>
      </c>
      <c r="Q103" s="1">
        <v>1123.6751999999999</v>
      </c>
      <c r="R103" s="1">
        <v>48</v>
      </c>
      <c r="S103" s="1" t="s">
        <v>73</v>
      </c>
    </row>
    <row r="104" spans="1:19" x14ac:dyDescent="0.35">
      <c r="A104" s="1" t="s">
        <v>271</v>
      </c>
      <c r="B104" s="3">
        <v>46004</v>
      </c>
      <c r="C104" s="1" t="s">
        <v>67</v>
      </c>
      <c r="D104" s="1">
        <v>12</v>
      </c>
      <c r="E104" s="1" t="s">
        <v>272</v>
      </c>
      <c r="F104" s="1" t="s">
        <v>30</v>
      </c>
      <c r="G104" s="1" t="s">
        <v>64</v>
      </c>
      <c r="H104" s="1" t="s">
        <v>39</v>
      </c>
      <c r="I104" s="1" t="s">
        <v>234</v>
      </c>
      <c r="J104" s="1">
        <v>3</v>
      </c>
      <c r="K104" s="1">
        <v>9872.26</v>
      </c>
      <c r="L104" s="1">
        <v>0.25</v>
      </c>
      <c r="M104" s="1">
        <v>29616.78</v>
      </c>
      <c r="N104" s="1">
        <v>7404.1949999999997</v>
      </c>
      <c r="O104" s="1">
        <v>22212.584999999999</v>
      </c>
      <c r="P104" s="1">
        <v>17325.816299999999</v>
      </c>
      <c r="Q104" s="1">
        <v>4886.7687000000014</v>
      </c>
      <c r="R104" s="1">
        <v>22</v>
      </c>
      <c r="S104" s="1" t="s">
        <v>93</v>
      </c>
    </row>
    <row r="105" spans="1:19" x14ac:dyDescent="0.35">
      <c r="A105" s="1" t="s">
        <v>273</v>
      </c>
      <c r="B105" s="3">
        <v>46001</v>
      </c>
      <c r="C105" s="1" t="s">
        <v>67</v>
      </c>
      <c r="D105" s="1">
        <v>12</v>
      </c>
      <c r="E105" s="1" t="s">
        <v>274</v>
      </c>
      <c r="F105" s="1" t="s">
        <v>47</v>
      </c>
      <c r="G105" s="1" t="s">
        <v>64</v>
      </c>
      <c r="H105" s="1" t="s">
        <v>39</v>
      </c>
      <c r="I105" s="1" t="s">
        <v>87</v>
      </c>
      <c r="J105" s="1">
        <v>1</v>
      </c>
      <c r="K105" s="1">
        <v>52488.26</v>
      </c>
      <c r="L105" s="1">
        <v>0.05</v>
      </c>
      <c r="M105" s="1">
        <v>52488.26</v>
      </c>
      <c r="N105" s="1">
        <v>2624.413</v>
      </c>
      <c r="O105" s="1">
        <v>49863.847000000002</v>
      </c>
      <c r="P105" s="1">
        <v>38893.800660000001</v>
      </c>
      <c r="Q105" s="1">
        <v>10970.046340000001</v>
      </c>
      <c r="R105" s="1">
        <v>22</v>
      </c>
      <c r="S105" s="1" t="s">
        <v>60</v>
      </c>
    </row>
    <row r="106" spans="1:19" x14ac:dyDescent="0.35">
      <c r="A106" s="1" t="s">
        <v>275</v>
      </c>
      <c r="B106" s="3">
        <v>45741</v>
      </c>
      <c r="C106" s="1" t="s">
        <v>28</v>
      </c>
      <c r="D106" s="1">
        <v>3</v>
      </c>
      <c r="E106" s="1" t="s">
        <v>276</v>
      </c>
      <c r="F106" s="1" t="s">
        <v>30</v>
      </c>
      <c r="G106" s="1" t="s">
        <v>64</v>
      </c>
      <c r="H106" s="1" t="s">
        <v>39</v>
      </c>
      <c r="I106" s="1" t="s">
        <v>87</v>
      </c>
      <c r="J106" s="1">
        <v>1</v>
      </c>
      <c r="K106" s="1">
        <v>39766.410000000003</v>
      </c>
      <c r="L106" s="1">
        <v>0.2</v>
      </c>
      <c r="M106" s="1">
        <v>39766.410000000003</v>
      </c>
      <c r="N106" s="1">
        <v>7953.2820000000011</v>
      </c>
      <c r="O106" s="1">
        <v>31813.128000000001</v>
      </c>
      <c r="P106" s="1">
        <v>24814.239840000009</v>
      </c>
      <c r="Q106" s="1">
        <v>6998.8881599999986</v>
      </c>
      <c r="R106" s="1">
        <v>21.999999999999989</v>
      </c>
      <c r="S106" s="1" t="s">
        <v>93</v>
      </c>
    </row>
    <row r="107" spans="1:19" x14ac:dyDescent="0.35">
      <c r="A107" s="1" t="s">
        <v>277</v>
      </c>
      <c r="B107" s="3">
        <v>45872</v>
      </c>
      <c r="C107" s="1" t="s">
        <v>113</v>
      </c>
      <c r="D107" s="1">
        <v>8</v>
      </c>
      <c r="E107" s="1" t="s">
        <v>278</v>
      </c>
      <c r="F107" s="1" t="s">
        <v>76</v>
      </c>
      <c r="G107" s="1" t="s">
        <v>64</v>
      </c>
      <c r="H107" s="1" t="s">
        <v>53</v>
      </c>
      <c r="I107" s="1" t="s">
        <v>123</v>
      </c>
      <c r="J107" s="1">
        <v>3</v>
      </c>
      <c r="K107" s="1">
        <v>2019.48</v>
      </c>
      <c r="L107" s="1">
        <v>0.1</v>
      </c>
      <c r="M107" s="1">
        <v>6058.4400000000014</v>
      </c>
      <c r="N107" s="1">
        <v>605.84400000000005</v>
      </c>
      <c r="O107" s="1">
        <v>5452.5959999999995</v>
      </c>
      <c r="P107" s="1">
        <v>3162.5056800000002</v>
      </c>
      <c r="Q107" s="1">
        <v>2290.0903199999998</v>
      </c>
      <c r="R107" s="1">
        <v>42</v>
      </c>
      <c r="S107" s="1" t="s">
        <v>26</v>
      </c>
    </row>
    <row r="108" spans="1:19" x14ac:dyDescent="0.35">
      <c r="A108" s="1" t="s">
        <v>279</v>
      </c>
      <c r="B108" s="3">
        <v>45675</v>
      </c>
      <c r="C108" s="1" t="s">
        <v>193</v>
      </c>
      <c r="D108" s="1">
        <v>1</v>
      </c>
      <c r="E108" s="1" t="s">
        <v>225</v>
      </c>
      <c r="F108" s="1" t="s">
        <v>47</v>
      </c>
      <c r="G108" s="1" t="s">
        <v>23</v>
      </c>
      <c r="H108" s="1" t="s">
        <v>39</v>
      </c>
      <c r="I108" s="1" t="s">
        <v>40</v>
      </c>
      <c r="J108" s="1">
        <v>6</v>
      </c>
      <c r="K108" s="1">
        <v>48701.37</v>
      </c>
      <c r="L108" s="1">
        <v>0.1</v>
      </c>
      <c r="M108" s="1">
        <v>292208.21999999997</v>
      </c>
      <c r="N108" s="1">
        <v>29220.822</v>
      </c>
      <c r="O108" s="1">
        <v>262987.39799999999</v>
      </c>
      <c r="P108" s="1">
        <v>205130.17043999999</v>
      </c>
      <c r="Q108" s="1">
        <v>57857.227559999999</v>
      </c>
      <c r="R108" s="1">
        <v>22</v>
      </c>
      <c r="S108" s="1" t="s">
        <v>33</v>
      </c>
    </row>
    <row r="109" spans="1:19" x14ac:dyDescent="0.35">
      <c r="A109" s="1" t="s">
        <v>280</v>
      </c>
      <c r="B109" s="3">
        <v>45921</v>
      </c>
      <c r="C109" s="1" t="s">
        <v>50</v>
      </c>
      <c r="D109" s="1">
        <v>9</v>
      </c>
      <c r="E109" s="1" t="s">
        <v>281</v>
      </c>
      <c r="F109" s="1" t="s">
        <v>76</v>
      </c>
      <c r="G109" s="1" t="s">
        <v>38</v>
      </c>
      <c r="H109" s="1" t="s">
        <v>31</v>
      </c>
      <c r="I109" s="1" t="s">
        <v>59</v>
      </c>
      <c r="J109" s="1">
        <v>7</v>
      </c>
      <c r="K109" s="1">
        <v>3322.18</v>
      </c>
      <c r="L109" s="1">
        <v>0.1</v>
      </c>
      <c r="M109" s="1">
        <v>23255.26</v>
      </c>
      <c r="N109" s="1">
        <v>2325.5259999999998</v>
      </c>
      <c r="O109" s="1">
        <v>20929.734</v>
      </c>
      <c r="P109" s="1">
        <v>10883.46168</v>
      </c>
      <c r="Q109" s="1">
        <v>10046.27232</v>
      </c>
      <c r="R109" s="1">
        <v>48</v>
      </c>
      <c r="S109" s="1" t="s">
        <v>73</v>
      </c>
    </row>
    <row r="110" spans="1:19" x14ac:dyDescent="0.35">
      <c r="A110" s="1" t="s">
        <v>282</v>
      </c>
      <c r="B110" s="3">
        <v>46006</v>
      </c>
      <c r="C110" s="1" t="s">
        <v>67</v>
      </c>
      <c r="D110" s="1">
        <v>12</v>
      </c>
      <c r="E110" s="1" t="s">
        <v>283</v>
      </c>
      <c r="F110" s="1" t="s">
        <v>30</v>
      </c>
      <c r="G110" s="1" t="s">
        <v>23</v>
      </c>
      <c r="H110" s="1" t="s">
        <v>39</v>
      </c>
      <c r="I110" s="1" t="s">
        <v>87</v>
      </c>
      <c r="J110" s="1">
        <v>1</v>
      </c>
      <c r="K110" s="1">
        <v>20652.41</v>
      </c>
      <c r="L110" s="1">
        <v>0.05</v>
      </c>
      <c r="M110" s="1">
        <v>20652.41</v>
      </c>
      <c r="N110" s="1">
        <v>1032.6205</v>
      </c>
      <c r="O110" s="1">
        <v>19619.789499999999</v>
      </c>
      <c r="P110" s="1">
        <v>15303.435810000001</v>
      </c>
      <c r="Q110" s="1">
        <v>4316.3536899999999</v>
      </c>
      <c r="R110" s="1">
        <v>22</v>
      </c>
      <c r="S110" s="1" t="s">
        <v>93</v>
      </c>
    </row>
    <row r="111" spans="1:19" x14ac:dyDescent="0.35">
      <c r="A111" s="1" t="s">
        <v>284</v>
      </c>
      <c r="B111" s="3">
        <v>45724</v>
      </c>
      <c r="C111" s="1" t="s">
        <v>28</v>
      </c>
      <c r="D111" s="1">
        <v>3</v>
      </c>
      <c r="E111" s="1" t="s">
        <v>285</v>
      </c>
      <c r="F111" s="1" t="s">
        <v>30</v>
      </c>
      <c r="G111" s="1" t="s">
        <v>23</v>
      </c>
      <c r="H111" s="1" t="s">
        <v>53</v>
      </c>
      <c r="I111" s="1" t="s">
        <v>128</v>
      </c>
      <c r="J111" s="1">
        <v>1</v>
      </c>
      <c r="K111" s="1">
        <v>1436.13</v>
      </c>
      <c r="L111" s="1">
        <v>0.15</v>
      </c>
      <c r="M111" s="1">
        <v>1436.13</v>
      </c>
      <c r="N111" s="1">
        <v>215.4195</v>
      </c>
      <c r="O111" s="1">
        <v>1220.7104999999999</v>
      </c>
      <c r="P111" s="1">
        <v>708.01209000000006</v>
      </c>
      <c r="Q111" s="1">
        <v>512.69841000000008</v>
      </c>
      <c r="R111" s="1">
        <v>42.000000000000007</v>
      </c>
      <c r="S111" s="1" t="s">
        <v>33</v>
      </c>
    </row>
    <row r="112" spans="1:19" x14ac:dyDescent="0.35">
      <c r="A112" s="1" t="s">
        <v>286</v>
      </c>
      <c r="B112" s="3">
        <v>45822</v>
      </c>
      <c r="C112" s="1" t="s">
        <v>82</v>
      </c>
      <c r="D112" s="1">
        <v>6</v>
      </c>
      <c r="E112" s="1" t="s">
        <v>227</v>
      </c>
      <c r="F112" s="1" t="s">
        <v>37</v>
      </c>
      <c r="G112" s="1" t="s">
        <v>38</v>
      </c>
      <c r="H112" s="1" t="s">
        <v>77</v>
      </c>
      <c r="I112" s="1" t="s">
        <v>148</v>
      </c>
      <c r="J112" s="1">
        <v>5</v>
      </c>
      <c r="K112" s="1">
        <v>517.35</v>
      </c>
      <c r="L112" s="1">
        <v>0.1</v>
      </c>
      <c r="M112" s="1">
        <v>2586.75</v>
      </c>
      <c r="N112" s="1">
        <v>258.67500000000001</v>
      </c>
      <c r="O112" s="1">
        <v>2328.0749999999998</v>
      </c>
      <c r="P112" s="1">
        <v>1676.2139999999999</v>
      </c>
      <c r="Q112" s="1">
        <v>651.8610000000001</v>
      </c>
      <c r="R112" s="1">
        <v>28.000000000000011</v>
      </c>
      <c r="S112" s="1" t="s">
        <v>93</v>
      </c>
    </row>
    <row r="113" spans="1:19" x14ac:dyDescent="0.35">
      <c r="A113" s="1" t="s">
        <v>287</v>
      </c>
      <c r="B113" s="3">
        <v>45804</v>
      </c>
      <c r="C113" s="1" t="s">
        <v>97</v>
      </c>
      <c r="D113" s="1">
        <v>5</v>
      </c>
      <c r="E113" s="1" t="s">
        <v>51</v>
      </c>
      <c r="F113" s="1" t="s">
        <v>76</v>
      </c>
      <c r="G113" s="1" t="s">
        <v>38</v>
      </c>
      <c r="H113" s="1" t="s">
        <v>31</v>
      </c>
      <c r="I113" s="1" t="s">
        <v>65</v>
      </c>
      <c r="J113" s="1">
        <v>3</v>
      </c>
      <c r="K113" s="1">
        <v>2124.04</v>
      </c>
      <c r="L113" s="1">
        <v>0.1</v>
      </c>
      <c r="M113" s="1">
        <v>6372.12</v>
      </c>
      <c r="N113" s="1">
        <v>637.21199999999999</v>
      </c>
      <c r="O113" s="1">
        <v>5734.9079999999994</v>
      </c>
      <c r="P113" s="1">
        <v>2982.1521600000001</v>
      </c>
      <c r="Q113" s="1">
        <v>2752.7558399999998</v>
      </c>
      <c r="R113" s="1">
        <v>48.000000000000007</v>
      </c>
      <c r="S113" s="1" t="s">
        <v>33</v>
      </c>
    </row>
    <row r="114" spans="1:19" x14ac:dyDescent="0.35">
      <c r="A114" s="1" t="s">
        <v>288</v>
      </c>
      <c r="B114" s="3">
        <v>45668</v>
      </c>
      <c r="C114" s="1" t="s">
        <v>193</v>
      </c>
      <c r="D114" s="1">
        <v>1</v>
      </c>
      <c r="E114" s="1" t="s">
        <v>289</v>
      </c>
      <c r="F114" s="1" t="s">
        <v>111</v>
      </c>
      <c r="G114" s="1" t="s">
        <v>64</v>
      </c>
      <c r="H114" s="1" t="s">
        <v>99</v>
      </c>
      <c r="I114" s="1" t="s">
        <v>223</v>
      </c>
      <c r="J114" s="1">
        <v>7</v>
      </c>
      <c r="K114" s="1">
        <v>11043.08</v>
      </c>
      <c r="L114" s="1">
        <v>0.15</v>
      </c>
      <c r="M114" s="1">
        <v>77301.56</v>
      </c>
      <c r="N114" s="1">
        <v>11595.234</v>
      </c>
      <c r="O114" s="1">
        <v>65706.326000000001</v>
      </c>
      <c r="P114" s="1">
        <v>44680.301679999997</v>
      </c>
      <c r="Q114" s="1">
        <v>21026.02432</v>
      </c>
      <c r="R114" s="1">
        <v>32</v>
      </c>
      <c r="S114" s="1" t="s">
        <v>73</v>
      </c>
    </row>
    <row r="115" spans="1:19" x14ac:dyDescent="0.35">
      <c r="A115" s="1" t="s">
        <v>290</v>
      </c>
      <c r="B115" s="3">
        <v>45710</v>
      </c>
      <c r="C115" s="1" t="s">
        <v>42</v>
      </c>
      <c r="D115" s="1">
        <v>2</v>
      </c>
      <c r="E115" s="1" t="s">
        <v>291</v>
      </c>
      <c r="F115" s="1" t="s">
        <v>76</v>
      </c>
      <c r="G115" s="1" t="s">
        <v>23</v>
      </c>
      <c r="H115" s="1" t="s">
        <v>24</v>
      </c>
      <c r="I115" s="1" t="s">
        <v>25</v>
      </c>
      <c r="J115" s="1">
        <v>3</v>
      </c>
      <c r="K115" s="1">
        <v>5716.49</v>
      </c>
      <c r="L115" s="1">
        <v>0.2</v>
      </c>
      <c r="M115" s="1">
        <v>17149.47</v>
      </c>
      <c r="N115" s="1">
        <v>3429.8939999999998</v>
      </c>
      <c r="O115" s="1">
        <v>13719.575999999999</v>
      </c>
      <c r="P115" s="1">
        <v>7545.7668000000012</v>
      </c>
      <c r="Q115" s="1">
        <v>6173.8091999999997</v>
      </c>
      <c r="R115" s="1">
        <v>44.999999999999993</v>
      </c>
      <c r="S115" s="1" t="s">
        <v>60</v>
      </c>
    </row>
    <row r="116" spans="1:19" x14ac:dyDescent="0.35">
      <c r="A116" s="1" t="s">
        <v>292</v>
      </c>
      <c r="B116" s="3">
        <v>45772</v>
      </c>
      <c r="C116" s="1" t="s">
        <v>20</v>
      </c>
      <c r="D116" s="1">
        <v>4</v>
      </c>
      <c r="E116" s="1" t="s">
        <v>293</v>
      </c>
      <c r="F116" s="1" t="s">
        <v>22</v>
      </c>
      <c r="G116" s="1" t="s">
        <v>64</v>
      </c>
      <c r="H116" s="1" t="s">
        <v>39</v>
      </c>
      <c r="I116" s="1" t="s">
        <v>40</v>
      </c>
      <c r="J116" s="1">
        <v>6</v>
      </c>
      <c r="K116" s="1">
        <v>50276.160000000003</v>
      </c>
      <c r="L116" s="1">
        <v>0.15</v>
      </c>
      <c r="M116" s="1">
        <v>301656.96000000002</v>
      </c>
      <c r="N116" s="1">
        <v>45248.544000000002</v>
      </c>
      <c r="O116" s="1">
        <v>256408.416</v>
      </c>
      <c r="P116" s="1">
        <v>199998.56448</v>
      </c>
      <c r="Q116" s="1">
        <v>56409.851519999997</v>
      </c>
      <c r="R116" s="1">
        <v>22</v>
      </c>
      <c r="S116" s="1" t="s">
        <v>33</v>
      </c>
    </row>
    <row r="117" spans="1:19" x14ac:dyDescent="0.35">
      <c r="A117" s="1" t="s">
        <v>294</v>
      </c>
      <c r="B117" s="3">
        <v>45811</v>
      </c>
      <c r="C117" s="1" t="s">
        <v>82</v>
      </c>
      <c r="D117" s="1">
        <v>6</v>
      </c>
      <c r="E117" s="1" t="s">
        <v>295</v>
      </c>
      <c r="F117" s="1" t="s">
        <v>52</v>
      </c>
      <c r="G117" s="1" t="s">
        <v>23</v>
      </c>
      <c r="H117" s="1" t="s">
        <v>99</v>
      </c>
      <c r="I117" s="1" t="s">
        <v>120</v>
      </c>
      <c r="J117" s="1">
        <v>5</v>
      </c>
      <c r="K117" s="1">
        <v>6362.78</v>
      </c>
      <c r="L117" s="1">
        <v>0.05</v>
      </c>
      <c r="M117" s="1">
        <v>31813.9</v>
      </c>
      <c r="N117" s="1">
        <v>1590.6949999999999</v>
      </c>
      <c r="O117" s="1">
        <v>30223.205000000002</v>
      </c>
      <c r="P117" s="1">
        <v>20551.779399999999</v>
      </c>
      <c r="Q117" s="1">
        <v>9671.4255999999987</v>
      </c>
      <c r="R117" s="1">
        <v>32</v>
      </c>
      <c r="S117" s="1" t="s">
        <v>73</v>
      </c>
    </row>
    <row r="118" spans="1:19" x14ac:dyDescent="0.35">
      <c r="A118" s="1" t="s">
        <v>296</v>
      </c>
      <c r="B118" s="3">
        <v>46013</v>
      </c>
      <c r="C118" s="1" t="s">
        <v>67</v>
      </c>
      <c r="D118" s="1">
        <v>12</v>
      </c>
      <c r="E118" s="1" t="s">
        <v>297</v>
      </c>
      <c r="F118" s="1" t="s">
        <v>22</v>
      </c>
      <c r="G118" s="1" t="s">
        <v>64</v>
      </c>
      <c r="H118" s="1" t="s">
        <v>39</v>
      </c>
      <c r="I118" s="1" t="s">
        <v>214</v>
      </c>
      <c r="J118" s="1">
        <v>6</v>
      </c>
      <c r="K118" s="1">
        <v>11829</v>
      </c>
      <c r="L118" s="1">
        <v>0.1</v>
      </c>
      <c r="M118" s="1">
        <v>70974</v>
      </c>
      <c r="N118" s="1">
        <v>7097.4000000000005</v>
      </c>
      <c r="O118" s="1">
        <v>63876.6</v>
      </c>
      <c r="P118" s="1">
        <v>49823.748</v>
      </c>
      <c r="Q118" s="1">
        <v>14052.852000000001</v>
      </c>
      <c r="R118" s="1">
        <v>22</v>
      </c>
      <c r="S118" s="1" t="s">
        <v>93</v>
      </c>
    </row>
    <row r="119" spans="1:19" x14ac:dyDescent="0.35">
      <c r="A119" s="1" t="s">
        <v>298</v>
      </c>
      <c r="B119" s="3">
        <v>45684</v>
      </c>
      <c r="C119" s="1" t="s">
        <v>193</v>
      </c>
      <c r="D119" s="1">
        <v>1</v>
      </c>
      <c r="E119" s="1" t="s">
        <v>299</v>
      </c>
      <c r="F119" s="1" t="s">
        <v>43</v>
      </c>
      <c r="G119" s="1" t="s">
        <v>64</v>
      </c>
      <c r="H119" s="1" t="s">
        <v>39</v>
      </c>
      <c r="I119" s="1" t="s">
        <v>214</v>
      </c>
      <c r="J119" s="1">
        <v>7</v>
      </c>
      <c r="K119" s="1">
        <v>57811.73</v>
      </c>
      <c r="L119" s="1">
        <v>0.15</v>
      </c>
      <c r="M119" s="1">
        <v>404682.11</v>
      </c>
      <c r="N119" s="1">
        <v>60702.316500000001</v>
      </c>
      <c r="O119" s="1">
        <v>343979.79350000003</v>
      </c>
      <c r="P119" s="1">
        <v>268304.23893000011</v>
      </c>
      <c r="Q119" s="1">
        <v>75675.554569999978</v>
      </c>
      <c r="R119" s="1">
        <v>21.999999999999989</v>
      </c>
      <c r="S119" s="1" t="s">
        <v>93</v>
      </c>
    </row>
    <row r="120" spans="1:19" x14ac:dyDescent="0.35">
      <c r="A120" s="1" t="s">
        <v>300</v>
      </c>
      <c r="B120" s="3">
        <v>45847</v>
      </c>
      <c r="C120" s="1" t="s">
        <v>62</v>
      </c>
      <c r="D120" s="1">
        <v>7</v>
      </c>
      <c r="E120" s="1" t="s">
        <v>301</v>
      </c>
      <c r="F120" s="1" t="s">
        <v>69</v>
      </c>
      <c r="G120" s="1" t="s">
        <v>64</v>
      </c>
      <c r="H120" s="1" t="s">
        <v>99</v>
      </c>
      <c r="I120" s="1" t="s">
        <v>108</v>
      </c>
      <c r="J120" s="1">
        <v>6</v>
      </c>
      <c r="K120" s="1">
        <v>3556.73</v>
      </c>
      <c r="L120" s="1">
        <v>0.05</v>
      </c>
      <c r="M120" s="1">
        <v>21340.38</v>
      </c>
      <c r="N120" s="1">
        <v>1067.019</v>
      </c>
      <c r="O120" s="1">
        <v>20273.361000000001</v>
      </c>
      <c r="P120" s="1">
        <v>13785.885480000001</v>
      </c>
      <c r="Q120" s="1">
        <v>6487.47552</v>
      </c>
      <c r="R120" s="1">
        <v>32</v>
      </c>
      <c r="S120" s="1" t="s">
        <v>26</v>
      </c>
    </row>
    <row r="121" spans="1:19" x14ac:dyDescent="0.35">
      <c r="A121" s="1" t="s">
        <v>302</v>
      </c>
      <c r="B121" s="3">
        <v>45939</v>
      </c>
      <c r="C121" s="1" t="s">
        <v>35</v>
      </c>
      <c r="D121" s="1">
        <v>10</v>
      </c>
      <c r="E121" s="1" t="s">
        <v>303</v>
      </c>
      <c r="F121" s="1" t="s">
        <v>76</v>
      </c>
      <c r="G121" s="1" t="s">
        <v>38</v>
      </c>
      <c r="H121" s="1" t="s">
        <v>31</v>
      </c>
      <c r="I121" s="1" t="s">
        <v>190</v>
      </c>
      <c r="J121" s="1">
        <v>5</v>
      </c>
      <c r="K121" s="1">
        <v>2962.36</v>
      </c>
      <c r="L121" s="1">
        <v>0.1</v>
      </c>
      <c r="M121" s="1">
        <v>14811.8</v>
      </c>
      <c r="N121" s="1">
        <v>1481.18</v>
      </c>
      <c r="O121" s="1">
        <v>13330.62</v>
      </c>
      <c r="P121" s="1">
        <v>6931.9224000000004</v>
      </c>
      <c r="Q121" s="1">
        <v>6398.6976000000004</v>
      </c>
      <c r="R121" s="1">
        <v>48</v>
      </c>
      <c r="S121" s="1" t="s">
        <v>73</v>
      </c>
    </row>
    <row r="122" spans="1:19" x14ac:dyDescent="0.35">
      <c r="A122" s="1" t="s">
        <v>304</v>
      </c>
      <c r="B122" s="3">
        <v>45712</v>
      </c>
      <c r="C122" s="1" t="s">
        <v>42</v>
      </c>
      <c r="D122" s="1">
        <v>2</v>
      </c>
      <c r="E122" s="1" t="s">
        <v>136</v>
      </c>
      <c r="F122" s="1" t="s">
        <v>58</v>
      </c>
      <c r="G122" s="1" t="s">
        <v>38</v>
      </c>
      <c r="H122" s="1" t="s">
        <v>77</v>
      </c>
      <c r="I122" s="1" t="s">
        <v>90</v>
      </c>
      <c r="J122" s="1">
        <v>6</v>
      </c>
      <c r="K122" s="1">
        <v>892.46</v>
      </c>
      <c r="L122" s="1">
        <v>0.05</v>
      </c>
      <c r="M122" s="1">
        <v>5354.76</v>
      </c>
      <c r="N122" s="1">
        <v>267.738</v>
      </c>
      <c r="O122" s="1">
        <v>5087.0219999999999</v>
      </c>
      <c r="P122" s="1">
        <v>3662.6558399999999</v>
      </c>
      <c r="Q122" s="1">
        <v>1424.36616</v>
      </c>
      <c r="R122" s="1">
        <v>28</v>
      </c>
      <c r="S122" s="1" t="s">
        <v>33</v>
      </c>
    </row>
    <row r="123" spans="1:19" x14ac:dyDescent="0.35">
      <c r="A123" s="1" t="s">
        <v>305</v>
      </c>
      <c r="B123" s="3">
        <v>45994</v>
      </c>
      <c r="C123" s="1" t="s">
        <v>67</v>
      </c>
      <c r="D123" s="1">
        <v>12</v>
      </c>
      <c r="E123" s="1" t="s">
        <v>274</v>
      </c>
      <c r="F123" s="1" t="s">
        <v>47</v>
      </c>
      <c r="G123" s="1" t="s">
        <v>64</v>
      </c>
      <c r="H123" s="1" t="s">
        <v>77</v>
      </c>
      <c r="I123" s="1" t="s">
        <v>148</v>
      </c>
      <c r="J123" s="1">
        <v>3</v>
      </c>
      <c r="K123" s="1">
        <v>736.37</v>
      </c>
      <c r="L123" s="1">
        <v>0.1</v>
      </c>
      <c r="M123" s="1">
        <v>2209.11</v>
      </c>
      <c r="N123" s="1">
        <v>220.911</v>
      </c>
      <c r="O123" s="1">
        <v>1988.1990000000001</v>
      </c>
      <c r="P123" s="1">
        <v>1431.5032799999999</v>
      </c>
      <c r="Q123" s="1">
        <v>556.69572000000016</v>
      </c>
      <c r="R123" s="1">
        <v>28.000000000000011</v>
      </c>
      <c r="S123" s="1" t="s">
        <v>60</v>
      </c>
    </row>
    <row r="124" spans="1:19" x14ac:dyDescent="0.35">
      <c r="A124" s="1" t="s">
        <v>306</v>
      </c>
      <c r="B124" s="3">
        <v>45953</v>
      </c>
      <c r="C124" s="1" t="s">
        <v>35</v>
      </c>
      <c r="D124" s="1">
        <v>10</v>
      </c>
      <c r="E124" s="1" t="s">
        <v>307</v>
      </c>
      <c r="F124" s="1" t="s">
        <v>43</v>
      </c>
      <c r="G124" s="1" t="s">
        <v>38</v>
      </c>
      <c r="H124" s="1" t="s">
        <v>39</v>
      </c>
      <c r="I124" s="1" t="s">
        <v>40</v>
      </c>
      <c r="J124" s="1">
        <v>1</v>
      </c>
      <c r="K124" s="1">
        <v>36243.01</v>
      </c>
      <c r="L124" s="1">
        <v>0.15</v>
      </c>
      <c r="M124" s="1">
        <v>36243.01</v>
      </c>
      <c r="N124" s="1">
        <v>5436.4515000000001</v>
      </c>
      <c r="O124" s="1">
        <v>30806.558499999999</v>
      </c>
      <c r="P124" s="1">
        <v>24029.11563</v>
      </c>
      <c r="Q124" s="1">
        <v>6777.4428699999989</v>
      </c>
      <c r="R124" s="1">
        <v>21.999999999999989</v>
      </c>
      <c r="S124" s="1" t="s">
        <v>26</v>
      </c>
    </row>
    <row r="125" spans="1:19" x14ac:dyDescent="0.35">
      <c r="A125" s="1" t="s">
        <v>308</v>
      </c>
      <c r="B125" s="3">
        <v>45886</v>
      </c>
      <c r="C125" s="1" t="s">
        <v>113</v>
      </c>
      <c r="D125" s="1">
        <v>8</v>
      </c>
      <c r="E125" s="1" t="s">
        <v>309</v>
      </c>
      <c r="F125" s="1" t="s">
        <v>69</v>
      </c>
      <c r="G125" s="1" t="s">
        <v>64</v>
      </c>
      <c r="H125" s="1" t="s">
        <v>24</v>
      </c>
      <c r="I125" s="1" t="s">
        <v>48</v>
      </c>
      <c r="J125" s="1">
        <v>4</v>
      </c>
      <c r="K125" s="1">
        <v>5822.35</v>
      </c>
      <c r="L125" s="1">
        <v>0</v>
      </c>
      <c r="M125" s="1">
        <v>23289.4</v>
      </c>
      <c r="N125" s="1">
        <v>0</v>
      </c>
      <c r="O125" s="1">
        <v>23289.4</v>
      </c>
      <c r="P125" s="1">
        <v>12809.17</v>
      </c>
      <c r="Q125" s="1">
        <v>10480.23</v>
      </c>
      <c r="R125" s="1">
        <v>44.999999999999993</v>
      </c>
      <c r="S125" s="1" t="s">
        <v>26</v>
      </c>
    </row>
    <row r="126" spans="1:19" x14ac:dyDescent="0.35">
      <c r="A126" s="1" t="s">
        <v>310</v>
      </c>
      <c r="B126" s="3">
        <v>45962</v>
      </c>
      <c r="C126" s="1" t="s">
        <v>56</v>
      </c>
      <c r="D126" s="1">
        <v>11</v>
      </c>
      <c r="E126" s="1" t="s">
        <v>309</v>
      </c>
      <c r="F126" s="1" t="s">
        <v>30</v>
      </c>
      <c r="G126" s="1" t="s">
        <v>38</v>
      </c>
      <c r="H126" s="1" t="s">
        <v>31</v>
      </c>
      <c r="I126" s="1" t="s">
        <v>65</v>
      </c>
      <c r="J126" s="1">
        <v>1</v>
      </c>
      <c r="K126" s="1">
        <v>3335.78</v>
      </c>
      <c r="L126" s="1">
        <v>0.1</v>
      </c>
      <c r="M126" s="1">
        <v>3335.78</v>
      </c>
      <c r="N126" s="1">
        <v>333.57799999999997</v>
      </c>
      <c r="O126" s="1">
        <v>3002.2020000000002</v>
      </c>
      <c r="P126" s="1">
        <v>1561.1450400000001</v>
      </c>
      <c r="Q126" s="1">
        <v>1441.0569599999999</v>
      </c>
      <c r="R126" s="1">
        <v>48</v>
      </c>
      <c r="S126" s="1" t="s">
        <v>60</v>
      </c>
    </row>
    <row r="127" spans="1:19" x14ac:dyDescent="0.35">
      <c r="A127" s="1" t="s">
        <v>311</v>
      </c>
      <c r="B127" s="3">
        <v>45872</v>
      </c>
      <c r="C127" s="1" t="s">
        <v>113</v>
      </c>
      <c r="D127" s="1">
        <v>8</v>
      </c>
      <c r="E127" s="1" t="s">
        <v>312</v>
      </c>
      <c r="F127" s="1" t="s">
        <v>37</v>
      </c>
      <c r="G127" s="1" t="s">
        <v>64</v>
      </c>
      <c r="H127" s="1" t="s">
        <v>31</v>
      </c>
      <c r="I127" s="1" t="s">
        <v>65</v>
      </c>
      <c r="J127" s="1">
        <v>6</v>
      </c>
      <c r="K127" s="1">
        <v>2302.86</v>
      </c>
      <c r="L127" s="1">
        <v>0.3</v>
      </c>
      <c r="M127" s="1">
        <v>13817.16</v>
      </c>
      <c r="N127" s="1">
        <v>4145.1480000000001</v>
      </c>
      <c r="O127" s="1">
        <v>9672.0119999999988</v>
      </c>
      <c r="P127" s="1">
        <v>5029.4462399999993</v>
      </c>
      <c r="Q127" s="1">
        <v>4642.5657599999986</v>
      </c>
      <c r="R127" s="1">
        <v>48</v>
      </c>
      <c r="S127" s="1" t="s">
        <v>73</v>
      </c>
    </row>
    <row r="128" spans="1:19" x14ac:dyDescent="0.35">
      <c r="A128" s="1" t="s">
        <v>313</v>
      </c>
      <c r="B128" s="3">
        <v>45704</v>
      </c>
      <c r="C128" s="1" t="s">
        <v>42</v>
      </c>
      <c r="D128" s="1">
        <v>2</v>
      </c>
      <c r="E128" s="1" t="s">
        <v>152</v>
      </c>
      <c r="F128" s="1" t="s">
        <v>37</v>
      </c>
      <c r="G128" s="1" t="s">
        <v>38</v>
      </c>
      <c r="H128" s="1" t="s">
        <v>99</v>
      </c>
      <c r="I128" s="1" t="s">
        <v>120</v>
      </c>
      <c r="J128" s="1">
        <v>7</v>
      </c>
      <c r="K128" s="1">
        <v>24985.45</v>
      </c>
      <c r="L128" s="1">
        <v>0.15</v>
      </c>
      <c r="M128" s="1">
        <v>174898.15</v>
      </c>
      <c r="N128" s="1">
        <v>26234.7225</v>
      </c>
      <c r="O128" s="1">
        <v>148663.42749999999</v>
      </c>
      <c r="P128" s="1">
        <v>101091.13069999999</v>
      </c>
      <c r="Q128" s="1">
        <v>47572.296799999996</v>
      </c>
      <c r="R128" s="1">
        <v>32</v>
      </c>
      <c r="S128" s="1" t="s">
        <v>60</v>
      </c>
    </row>
    <row r="129" spans="1:19" x14ac:dyDescent="0.35">
      <c r="A129" s="1" t="s">
        <v>314</v>
      </c>
      <c r="B129" s="3">
        <v>45833</v>
      </c>
      <c r="C129" s="1" t="s">
        <v>82</v>
      </c>
      <c r="D129" s="1">
        <v>6</v>
      </c>
      <c r="E129" s="1" t="s">
        <v>210</v>
      </c>
      <c r="F129" s="1" t="s">
        <v>76</v>
      </c>
      <c r="G129" s="1" t="s">
        <v>23</v>
      </c>
      <c r="H129" s="1" t="s">
        <v>99</v>
      </c>
      <c r="I129" s="1" t="s">
        <v>100</v>
      </c>
      <c r="J129" s="1">
        <v>3</v>
      </c>
      <c r="K129" s="1">
        <v>23746</v>
      </c>
      <c r="L129" s="1">
        <v>0.1</v>
      </c>
      <c r="M129" s="1">
        <v>71238</v>
      </c>
      <c r="N129" s="1">
        <v>7123.8</v>
      </c>
      <c r="O129" s="1">
        <v>64114.2</v>
      </c>
      <c r="P129" s="1">
        <v>43597.656000000003</v>
      </c>
      <c r="Q129" s="1">
        <v>20516.543999999991</v>
      </c>
      <c r="R129" s="1">
        <v>32</v>
      </c>
      <c r="S129" s="1" t="s">
        <v>33</v>
      </c>
    </row>
    <row r="130" spans="1:19" x14ac:dyDescent="0.35">
      <c r="A130" s="1" t="s">
        <v>315</v>
      </c>
      <c r="B130" s="3">
        <v>45845</v>
      </c>
      <c r="C130" s="1" t="s">
        <v>62</v>
      </c>
      <c r="D130" s="1">
        <v>7</v>
      </c>
      <c r="E130" s="1" t="s">
        <v>316</v>
      </c>
      <c r="F130" s="1" t="s">
        <v>22</v>
      </c>
      <c r="G130" s="1" t="s">
        <v>38</v>
      </c>
      <c r="H130" s="1" t="s">
        <v>31</v>
      </c>
      <c r="I130" s="1" t="s">
        <v>167</v>
      </c>
      <c r="J130" s="1">
        <v>2</v>
      </c>
      <c r="K130" s="1">
        <v>3120.49</v>
      </c>
      <c r="L130" s="1">
        <v>0.1</v>
      </c>
      <c r="M130" s="1">
        <v>6240.98</v>
      </c>
      <c r="N130" s="1">
        <v>624.09799999999996</v>
      </c>
      <c r="O130" s="1">
        <v>5616.8819999999996</v>
      </c>
      <c r="P130" s="1">
        <v>2920.77864</v>
      </c>
      <c r="Q130" s="1">
        <v>2696.1033600000001</v>
      </c>
      <c r="R130" s="1">
        <v>48</v>
      </c>
      <c r="S130" s="1" t="s">
        <v>33</v>
      </c>
    </row>
    <row r="131" spans="1:19" x14ac:dyDescent="0.35">
      <c r="A131" s="1" t="s">
        <v>317</v>
      </c>
      <c r="B131" s="3">
        <v>46006</v>
      </c>
      <c r="C131" s="1" t="s">
        <v>67</v>
      </c>
      <c r="D131" s="1">
        <v>12</v>
      </c>
      <c r="E131" s="1" t="s">
        <v>318</v>
      </c>
      <c r="F131" s="1" t="s">
        <v>47</v>
      </c>
      <c r="G131" s="1" t="s">
        <v>38</v>
      </c>
      <c r="H131" s="1" t="s">
        <v>77</v>
      </c>
      <c r="I131" s="1" t="s">
        <v>90</v>
      </c>
      <c r="J131" s="1">
        <v>1</v>
      </c>
      <c r="K131" s="1">
        <v>898.53</v>
      </c>
      <c r="L131" s="1">
        <v>0.1</v>
      </c>
      <c r="M131" s="1">
        <v>898.53</v>
      </c>
      <c r="N131" s="1">
        <v>89.853000000000009</v>
      </c>
      <c r="O131" s="1">
        <v>808.67699999999991</v>
      </c>
      <c r="P131" s="1">
        <v>582.24743999999987</v>
      </c>
      <c r="Q131" s="1">
        <v>226.42956000000001</v>
      </c>
      <c r="R131" s="1">
        <v>28.000000000000011</v>
      </c>
      <c r="S131" s="1" t="s">
        <v>73</v>
      </c>
    </row>
    <row r="132" spans="1:19" x14ac:dyDescent="0.35">
      <c r="A132" s="1" t="s">
        <v>319</v>
      </c>
      <c r="B132" s="3">
        <v>45691</v>
      </c>
      <c r="C132" s="1" t="s">
        <v>42</v>
      </c>
      <c r="D132" s="1">
        <v>2</v>
      </c>
      <c r="E132" s="1" t="s">
        <v>169</v>
      </c>
      <c r="F132" s="1" t="s">
        <v>69</v>
      </c>
      <c r="G132" s="1" t="s">
        <v>38</v>
      </c>
      <c r="H132" s="1" t="s">
        <v>77</v>
      </c>
      <c r="I132" s="1" t="s">
        <v>103</v>
      </c>
      <c r="J132" s="1">
        <v>3</v>
      </c>
      <c r="K132" s="1">
        <v>1055.9100000000001</v>
      </c>
      <c r="L132" s="1">
        <v>0.1</v>
      </c>
      <c r="M132" s="1">
        <v>3167.73</v>
      </c>
      <c r="N132" s="1">
        <v>316.77300000000008</v>
      </c>
      <c r="O132" s="1">
        <v>2850.9569999999999</v>
      </c>
      <c r="P132" s="1">
        <v>2052.6890400000002</v>
      </c>
      <c r="Q132" s="1">
        <v>798.26796000000013</v>
      </c>
      <c r="R132" s="1">
        <v>28</v>
      </c>
      <c r="S132" s="1" t="s">
        <v>93</v>
      </c>
    </row>
    <row r="133" spans="1:19" x14ac:dyDescent="0.35">
      <c r="A133" s="1" t="s">
        <v>320</v>
      </c>
      <c r="B133" s="3">
        <v>45975</v>
      </c>
      <c r="C133" s="1" t="s">
        <v>56</v>
      </c>
      <c r="D133" s="1">
        <v>11</v>
      </c>
      <c r="E133" s="1" t="s">
        <v>321</v>
      </c>
      <c r="F133" s="1" t="s">
        <v>43</v>
      </c>
      <c r="G133" s="1" t="s">
        <v>23</v>
      </c>
      <c r="H133" s="1" t="s">
        <v>31</v>
      </c>
      <c r="I133" s="1" t="s">
        <v>167</v>
      </c>
      <c r="J133" s="1">
        <v>4</v>
      </c>
      <c r="K133" s="1">
        <v>2270.77</v>
      </c>
      <c r="L133" s="1">
        <v>0.25</v>
      </c>
      <c r="M133" s="1">
        <v>9083.08</v>
      </c>
      <c r="N133" s="1">
        <v>2270.77</v>
      </c>
      <c r="O133" s="1">
        <v>6812.3099999999986</v>
      </c>
      <c r="P133" s="1">
        <v>3542.4011999999998</v>
      </c>
      <c r="Q133" s="1">
        <v>3269.9088000000002</v>
      </c>
      <c r="R133" s="1">
        <v>48</v>
      </c>
      <c r="S133" s="1" t="s">
        <v>33</v>
      </c>
    </row>
    <row r="134" spans="1:19" x14ac:dyDescent="0.35">
      <c r="A134" s="1" t="s">
        <v>322</v>
      </c>
      <c r="B134" s="3">
        <v>45722</v>
      </c>
      <c r="C134" s="1" t="s">
        <v>28</v>
      </c>
      <c r="D134" s="1">
        <v>3</v>
      </c>
      <c r="E134" s="1" t="s">
        <v>278</v>
      </c>
      <c r="F134" s="1" t="s">
        <v>47</v>
      </c>
      <c r="G134" s="1" t="s">
        <v>23</v>
      </c>
      <c r="H134" s="1" t="s">
        <v>77</v>
      </c>
      <c r="I134" s="1" t="s">
        <v>78</v>
      </c>
      <c r="J134" s="1">
        <v>1</v>
      </c>
      <c r="K134" s="1">
        <v>177.05</v>
      </c>
      <c r="L134" s="1">
        <v>0.1</v>
      </c>
      <c r="M134" s="1">
        <v>177.05</v>
      </c>
      <c r="N134" s="1">
        <v>17.704999999999998</v>
      </c>
      <c r="O134" s="1">
        <v>159.345</v>
      </c>
      <c r="P134" s="1">
        <v>114.72839999999999</v>
      </c>
      <c r="Q134" s="1">
        <v>44.616600000000012</v>
      </c>
      <c r="R134" s="1">
        <v>28</v>
      </c>
      <c r="S134" s="1" t="s">
        <v>60</v>
      </c>
    </row>
    <row r="135" spans="1:19" x14ac:dyDescent="0.35">
      <c r="A135" s="1" t="s">
        <v>323</v>
      </c>
      <c r="B135" s="3">
        <v>45850</v>
      </c>
      <c r="C135" s="1" t="s">
        <v>62</v>
      </c>
      <c r="D135" s="1">
        <v>7</v>
      </c>
      <c r="E135" s="1" t="s">
        <v>324</v>
      </c>
      <c r="F135" s="1" t="s">
        <v>37</v>
      </c>
      <c r="G135" s="1" t="s">
        <v>64</v>
      </c>
      <c r="H135" s="1" t="s">
        <v>31</v>
      </c>
      <c r="I135" s="1" t="s">
        <v>65</v>
      </c>
      <c r="J135" s="1">
        <v>6</v>
      </c>
      <c r="K135" s="1">
        <v>348.83</v>
      </c>
      <c r="L135" s="1">
        <v>0</v>
      </c>
      <c r="M135" s="1">
        <v>2092.98</v>
      </c>
      <c r="N135" s="1">
        <v>0</v>
      </c>
      <c r="O135" s="1">
        <v>2092.98</v>
      </c>
      <c r="P135" s="1">
        <v>1088.3496</v>
      </c>
      <c r="Q135" s="1">
        <v>1004.6304</v>
      </c>
      <c r="R135" s="1">
        <v>48</v>
      </c>
      <c r="S135" s="1" t="s">
        <v>93</v>
      </c>
    </row>
    <row r="136" spans="1:19" x14ac:dyDescent="0.35">
      <c r="A136" s="1" t="s">
        <v>325</v>
      </c>
      <c r="B136" s="3">
        <v>45855</v>
      </c>
      <c r="C136" s="1" t="s">
        <v>62</v>
      </c>
      <c r="D136" s="1">
        <v>7</v>
      </c>
      <c r="E136" s="1" t="s">
        <v>326</v>
      </c>
      <c r="F136" s="1" t="s">
        <v>58</v>
      </c>
      <c r="G136" s="1" t="s">
        <v>38</v>
      </c>
      <c r="H136" s="1" t="s">
        <v>77</v>
      </c>
      <c r="I136" s="1" t="s">
        <v>103</v>
      </c>
      <c r="J136" s="1">
        <v>3</v>
      </c>
      <c r="K136" s="1">
        <v>1089.28</v>
      </c>
      <c r="L136" s="1">
        <v>0.3</v>
      </c>
      <c r="M136" s="1">
        <v>3267.84</v>
      </c>
      <c r="N136" s="1">
        <v>980.35199999999998</v>
      </c>
      <c r="O136" s="1">
        <v>2287.4879999999998</v>
      </c>
      <c r="P136" s="1">
        <v>1646.99136</v>
      </c>
      <c r="Q136" s="1">
        <v>640.49664000000007</v>
      </c>
      <c r="R136" s="1">
        <v>28</v>
      </c>
      <c r="S136" s="1" t="s">
        <v>93</v>
      </c>
    </row>
    <row r="137" spans="1:19" x14ac:dyDescent="0.35">
      <c r="A137" s="1" t="s">
        <v>327</v>
      </c>
      <c r="B137" s="3">
        <v>45720</v>
      </c>
      <c r="C137" s="1" t="s">
        <v>28</v>
      </c>
      <c r="D137" s="1">
        <v>3</v>
      </c>
      <c r="E137" s="1" t="s">
        <v>328</v>
      </c>
      <c r="F137" s="1" t="s">
        <v>47</v>
      </c>
      <c r="G137" s="1" t="s">
        <v>64</v>
      </c>
      <c r="H137" s="1" t="s">
        <v>77</v>
      </c>
      <c r="I137" s="1" t="s">
        <v>201</v>
      </c>
      <c r="J137" s="1">
        <v>5</v>
      </c>
      <c r="K137" s="1">
        <v>1005.24</v>
      </c>
      <c r="L137" s="1">
        <v>0.05</v>
      </c>
      <c r="M137" s="1">
        <v>5026.2</v>
      </c>
      <c r="N137" s="1">
        <v>251.31</v>
      </c>
      <c r="O137" s="1">
        <v>4774.8899999999994</v>
      </c>
      <c r="P137" s="1">
        <v>3437.920799999999</v>
      </c>
      <c r="Q137" s="1">
        <v>1336.9692</v>
      </c>
      <c r="R137" s="1">
        <v>28</v>
      </c>
      <c r="S137" s="1" t="s">
        <v>60</v>
      </c>
    </row>
    <row r="138" spans="1:19" x14ac:dyDescent="0.35">
      <c r="A138" s="1" t="s">
        <v>329</v>
      </c>
      <c r="B138" s="3">
        <v>45898</v>
      </c>
      <c r="C138" s="1" t="s">
        <v>113</v>
      </c>
      <c r="D138" s="1">
        <v>8</v>
      </c>
      <c r="E138" s="1" t="s">
        <v>95</v>
      </c>
      <c r="F138" s="1" t="s">
        <v>22</v>
      </c>
      <c r="G138" s="1" t="s">
        <v>64</v>
      </c>
      <c r="H138" s="1" t="s">
        <v>99</v>
      </c>
      <c r="I138" s="1" t="s">
        <v>223</v>
      </c>
      <c r="J138" s="1">
        <v>3</v>
      </c>
      <c r="K138" s="1">
        <v>21089.63</v>
      </c>
      <c r="L138" s="1">
        <v>0.2</v>
      </c>
      <c r="M138" s="1">
        <v>63268.89</v>
      </c>
      <c r="N138" s="1">
        <v>12653.778</v>
      </c>
      <c r="O138" s="1">
        <v>50615.112000000001</v>
      </c>
      <c r="P138" s="1">
        <v>34418.276160000001</v>
      </c>
      <c r="Q138" s="1">
        <v>16196.83584</v>
      </c>
      <c r="R138" s="1">
        <v>32</v>
      </c>
      <c r="S138" s="1" t="s">
        <v>26</v>
      </c>
    </row>
    <row r="139" spans="1:19" x14ac:dyDescent="0.35">
      <c r="A139" s="1" t="s">
        <v>330</v>
      </c>
      <c r="B139" s="3">
        <v>45677</v>
      </c>
      <c r="C139" s="1" t="s">
        <v>193</v>
      </c>
      <c r="D139" s="1">
        <v>1</v>
      </c>
      <c r="E139" s="1" t="s">
        <v>331</v>
      </c>
      <c r="F139" s="1" t="s">
        <v>47</v>
      </c>
      <c r="G139" s="1" t="s">
        <v>23</v>
      </c>
      <c r="H139" s="1" t="s">
        <v>99</v>
      </c>
      <c r="I139" s="1" t="s">
        <v>223</v>
      </c>
      <c r="J139" s="1">
        <v>1</v>
      </c>
      <c r="K139" s="1">
        <v>6412.64</v>
      </c>
      <c r="L139" s="1">
        <v>0.1</v>
      </c>
      <c r="M139" s="1">
        <v>6412.64</v>
      </c>
      <c r="N139" s="1">
        <v>641.26400000000012</v>
      </c>
      <c r="O139" s="1">
        <v>5771.3760000000002</v>
      </c>
      <c r="P139" s="1">
        <v>3924.53568</v>
      </c>
      <c r="Q139" s="1">
        <v>1846.84032</v>
      </c>
      <c r="R139" s="1">
        <v>32</v>
      </c>
      <c r="S139" s="1" t="s">
        <v>26</v>
      </c>
    </row>
    <row r="140" spans="1:19" x14ac:dyDescent="0.35">
      <c r="A140" s="1" t="s">
        <v>332</v>
      </c>
      <c r="B140" s="3">
        <v>45817</v>
      </c>
      <c r="C140" s="1" t="s">
        <v>82</v>
      </c>
      <c r="D140" s="1">
        <v>6</v>
      </c>
      <c r="E140" s="1" t="s">
        <v>312</v>
      </c>
      <c r="F140" s="1" t="s">
        <v>43</v>
      </c>
      <c r="G140" s="1" t="s">
        <v>23</v>
      </c>
      <c r="H140" s="1" t="s">
        <v>53</v>
      </c>
      <c r="I140" s="1" t="s">
        <v>123</v>
      </c>
      <c r="J140" s="1">
        <v>6</v>
      </c>
      <c r="K140" s="1">
        <v>1595.05</v>
      </c>
      <c r="L140" s="1">
        <v>0.15</v>
      </c>
      <c r="M140" s="1">
        <v>9570.2999999999993</v>
      </c>
      <c r="N140" s="1">
        <v>1435.5450000000001</v>
      </c>
      <c r="O140" s="1">
        <v>8134.7549999999992</v>
      </c>
      <c r="P140" s="1">
        <v>4718.1578999999992</v>
      </c>
      <c r="Q140" s="1">
        <v>3416.5971</v>
      </c>
      <c r="R140" s="1">
        <v>42.000000000000007</v>
      </c>
      <c r="S140" s="1" t="s">
        <v>73</v>
      </c>
    </row>
    <row r="141" spans="1:19" x14ac:dyDescent="0.35">
      <c r="A141" s="1" t="s">
        <v>333</v>
      </c>
      <c r="B141" s="3">
        <v>45924</v>
      </c>
      <c r="C141" s="1" t="s">
        <v>50</v>
      </c>
      <c r="D141" s="1">
        <v>9</v>
      </c>
      <c r="E141" s="1" t="s">
        <v>334</v>
      </c>
      <c r="F141" s="1" t="s">
        <v>43</v>
      </c>
      <c r="G141" s="1" t="s">
        <v>23</v>
      </c>
      <c r="H141" s="1" t="s">
        <v>39</v>
      </c>
      <c r="I141" s="1" t="s">
        <v>234</v>
      </c>
      <c r="J141" s="1">
        <v>3</v>
      </c>
      <c r="K141" s="1">
        <v>23558.68</v>
      </c>
      <c r="L141" s="1">
        <v>0.1</v>
      </c>
      <c r="M141" s="1">
        <v>70676.040000000008</v>
      </c>
      <c r="N141" s="1">
        <v>7067.6040000000012</v>
      </c>
      <c r="O141" s="1">
        <v>63608.436000000009</v>
      </c>
      <c r="P141" s="1">
        <v>49614.580080000007</v>
      </c>
      <c r="Q141" s="1">
        <v>13993.85592</v>
      </c>
      <c r="R141" s="1">
        <v>22</v>
      </c>
      <c r="S141" s="1" t="s">
        <v>73</v>
      </c>
    </row>
    <row r="142" spans="1:19" x14ac:dyDescent="0.35">
      <c r="A142" s="1" t="s">
        <v>335</v>
      </c>
      <c r="B142" s="3">
        <v>45666</v>
      </c>
      <c r="C142" s="1" t="s">
        <v>193</v>
      </c>
      <c r="D142" s="1">
        <v>1</v>
      </c>
      <c r="E142" s="1" t="s">
        <v>336</v>
      </c>
      <c r="F142" s="1" t="s">
        <v>52</v>
      </c>
      <c r="G142" s="1" t="s">
        <v>38</v>
      </c>
      <c r="H142" s="1" t="s">
        <v>39</v>
      </c>
      <c r="I142" s="1" t="s">
        <v>155</v>
      </c>
      <c r="J142" s="1">
        <v>5</v>
      </c>
      <c r="K142" s="1">
        <v>49907.12</v>
      </c>
      <c r="L142" s="1">
        <v>0.05</v>
      </c>
      <c r="M142" s="1">
        <v>249535.6</v>
      </c>
      <c r="N142" s="1">
        <v>12476.78</v>
      </c>
      <c r="O142" s="1">
        <v>237058.82</v>
      </c>
      <c r="P142" s="1">
        <v>184905.87959999999</v>
      </c>
      <c r="Q142" s="1">
        <v>52152.940399999992</v>
      </c>
      <c r="R142" s="1">
        <v>22</v>
      </c>
      <c r="S142" s="1" t="s">
        <v>73</v>
      </c>
    </row>
    <row r="143" spans="1:19" x14ac:dyDescent="0.35">
      <c r="A143" s="1" t="s">
        <v>337</v>
      </c>
      <c r="B143" s="3">
        <v>45694</v>
      </c>
      <c r="C143" s="1" t="s">
        <v>42</v>
      </c>
      <c r="D143" s="1">
        <v>2</v>
      </c>
      <c r="E143" s="1" t="s">
        <v>338</v>
      </c>
      <c r="F143" s="1" t="s">
        <v>30</v>
      </c>
      <c r="G143" s="1" t="s">
        <v>64</v>
      </c>
      <c r="H143" s="1" t="s">
        <v>24</v>
      </c>
      <c r="I143" s="1" t="s">
        <v>139</v>
      </c>
      <c r="J143" s="1">
        <v>5</v>
      </c>
      <c r="K143" s="1">
        <v>5419.64</v>
      </c>
      <c r="L143" s="1">
        <v>0.3</v>
      </c>
      <c r="M143" s="1">
        <v>27098.2</v>
      </c>
      <c r="N143" s="1">
        <v>8129.46</v>
      </c>
      <c r="O143" s="1">
        <v>18968.740000000002</v>
      </c>
      <c r="P143" s="1">
        <v>10432.807000000001</v>
      </c>
      <c r="Q143" s="1">
        <v>8535.9329999999991</v>
      </c>
      <c r="R143" s="1">
        <v>44.999999999999993</v>
      </c>
      <c r="S143" s="1" t="s">
        <v>26</v>
      </c>
    </row>
    <row r="144" spans="1:19" x14ac:dyDescent="0.35">
      <c r="A144" s="1" t="s">
        <v>339</v>
      </c>
      <c r="B144" s="3">
        <v>45843</v>
      </c>
      <c r="C144" s="1" t="s">
        <v>62</v>
      </c>
      <c r="D144" s="1">
        <v>7</v>
      </c>
      <c r="E144" s="1" t="s">
        <v>200</v>
      </c>
      <c r="F144" s="1" t="s">
        <v>52</v>
      </c>
      <c r="G144" s="1" t="s">
        <v>38</v>
      </c>
      <c r="H144" s="1" t="s">
        <v>53</v>
      </c>
      <c r="I144" s="1" t="s">
        <v>72</v>
      </c>
      <c r="J144" s="1">
        <v>2</v>
      </c>
      <c r="K144" s="1">
        <v>1405.07</v>
      </c>
      <c r="L144" s="1">
        <v>0.2</v>
      </c>
      <c r="M144" s="1">
        <v>2810.14</v>
      </c>
      <c r="N144" s="1">
        <v>562.02800000000002</v>
      </c>
      <c r="O144" s="1">
        <v>2248.1120000000001</v>
      </c>
      <c r="P144" s="1">
        <v>1303.9049600000001</v>
      </c>
      <c r="Q144" s="1">
        <v>944.20704000000023</v>
      </c>
      <c r="R144" s="1">
        <v>42.000000000000007</v>
      </c>
      <c r="S144" s="1" t="s">
        <v>60</v>
      </c>
    </row>
    <row r="145" spans="1:19" x14ac:dyDescent="0.35">
      <c r="A145" s="1" t="s">
        <v>340</v>
      </c>
      <c r="B145" s="3">
        <v>45716</v>
      </c>
      <c r="C145" s="1" t="s">
        <v>42</v>
      </c>
      <c r="D145" s="1">
        <v>2</v>
      </c>
      <c r="E145" s="1" t="s">
        <v>341</v>
      </c>
      <c r="F145" s="1" t="s">
        <v>37</v>
      </c>
      <c r="G145" s="1" t="s">
        <v>38</v>
      </c>
      <c r="H145" s="1" t="s">
        <v>53</v>
      </c>
      <c r="I145" s="1" t="s">
        <v>128</v>
      </c>
      <c r="J145" s="1">
        <v>1</v>
      </c>
      <c r="K145" s="1">
        <v>901.62</v>
      </c>
      <c r="L145" s="1">
        <v>0.05</v>
      </c>
      <c r="M145" s="1">
        <v>901.62</v>
      </c>
      <c r="N145" s="1">
        <v>45.081000000000003</v>
      </c>
      <c r="O145" s="1">
        <v>856.53899999999999</v>
      </c>
      <c r="P145" s="1">
        <v>496.79261999999989</v>
      </c>
      <c r="Q145" s="1">
        <v>359.74637999999999</v>
      </c>
      <c r="R145" s="1">
        <v>42.000000000000007</v>
      </c>
      <c r="S145" s="1" t="s">
        <v>33</v>
      </c>
    </row>
    <row r="146" spans="1:19" x14ac:dyDescent="0.35">
      <c r="A146" s="1" t="s">
        <v>342</v>
      </c>
      <c r="B146" s="3">
        <v>45664</v>
      </c>
      <c r="C146" s="1" t="s">
        <v>193</v>
      </c>
      <c r="D146" s="1">
        <v>1</v>
      </c>
      <c r="E146" s="1" t="s">
        <v>343</v>
      </c>
      <c r="F146" s="1" t="s">
        <v>22</v>
      </c>
      <c r="G146" s="1" t="s">
        <v>23</v>
      </c>
      <c r="H146" s="1" t="s">
        <v>31</v>
      </c>
      <c r="I146" s="1" t="s">
        <v>32</v>
      </c>
      <c r="J146" s="1">
        <v>3</v>
      </c>
      <c r="K146" s="1">
        <v>3372.34</v>
      </c>
      <c r="L146" s="1">
        <v>0.1</v>
      </c>
      <c r="M146" s="1">
        <v>10117.02</v>
      </c>
      <c r="N146" s="1">
        <v>1011.702</v>
      </c>
      <c r="O146" s="1">
        <v>9105.3180000000011</v>
      </c>
      <c r="P146" s="1">
        <v>4734.7653600000003</v>
      </c>
      <c r="Q146" s="1">
        <v>4370.5526400000008</v>
      </c>
      <c r="R146" s="1">
        <v>48.000000000000007</v>
      </c>
      <c r="S146" s="1" t="s">
        <v>26</v>
      </c>
    </row>
    <row r="147" spans="1:19" x14ac:dyDescent="0.35">
      <c r="A147" s="1" t="s">
        <v>344</v>
      </c>
      <c r="B147" s="3">
        <v>45815</v>
      </c>
      <c r="C147" s="1" t="s">
        <v>82</v>
      </c>
      <c r="D147" s="1">
        <v>6</v>
      </c>
      <c r="E147" s="1" t="s">
        <v>309</v>
      </c>
      <c r="F147" s="1" t="s">
        <v>22</v>
      </c>
      <c r="G147" s="1" t="s">
        <v>23</v>
      </c>
      <c r="H147" s="1" t="s">
        <v>99</v>
      </c>
      <c r="I147" s="1" t="s">
        <v>120</v>
      </c>
      <c r="J147" s="1">
        <v>4</v>
      </c>
      <c r="K147" s="1">
        <v>15014.09</v>
      </c>
      <c r="L147" s="1">
        <v>0.2</v>
      </c>
      <c r="M147" s="1">
        <v>60056.36</v>
      </c>
      <c r="N147" s="1">
        <v>12011.272000000001</v>
      </c>
      <c r="O147" s="1">
        <v>48045.088000000003</v>
      </c>
      <c r="P147" s="1">
        <v>32670.65984</v>
      </c>
      <c r="Q147" s="1">
        <v>15374.428159999999</v>
      </c>
      <c r="R147" s="1">
        <v>32</v>
      </c>
      <c r="S147" s="1" t="s">
        <v>26</v>
      </c>
    </row>
    <row r="148" spans="1:19" x14ac:dyDescent="0.35">
      <c r="A148" s="1" t="s">
        <v>345</v>
      </c>
      <c r="B148" s="3">
        <v>45770</v>
      </c>
      <c r="C148" s="1" t="s">
        <v>20</v>
      </c>
      <c r="D148" s="1">
        <v>4</v>
      </c>
      <c r="E148" s="1" t="s">
        <v>346</v>
      </c>
      <c r="F148" s="1" t="s">
        <v>52</v>
      </c>
      <c r="G148" s="1" t="s">
        <v>38</v>
      </c>
      <c r="H148" s="1" t="s">
        <v>39</v>
      </c>
      <c r="I148" s="1" t="s">
        <v>214</v>
      </c>
      <c r="J148" s="1">
        <v>1</v>
      </c>
      <c r="K148" s="1">
        <v>14603.1</v>
      </c>
      <c r="L148" s="1">
        <v>0.1</v>
      </c>
      <c r="M148" s="1">
        <v>14603.1</v>
      </c>
      <c r="N148" s="1">
        <v>1460.31</v>
      </c>
      <c r="O148" s="1">
        <v>13142.79</v>
      </c>
      <c r="P148" s="1">
        <v>10251.376200000001</v>
      </c>
      <c r="Q148" s="1">
        <v>2891.4137999999998</v>
      </c>
      <c r="R148" s="1">
        <v>22</v>
      </c>
      <c r="S148" s="1" t="s">
        <v>60</v>
      </c>
    </row>
    <row r="149" spans="1:19" x14ac:dyDescent="0.35">
      <c r="A149" s="1" t="s">
        <v>347</v>
      </c>
      <c r="B149" s="3">
        <v>45881</v>
      </c>
      <c r="C149" s="1" t="s">
        <v>113</v>
      </c>
      <c r="D149" s="1">
        <v>8</v>
      </c>
      <c r="E149" s="1" t="s">
        <v>348</v>
      </c>
      <c r="F149" s="1" t="s">
        <v>52</v>
      </c>
      <c r="G149" s="1" t="s">
        <v>23</v>
      </c>
      <c r="H149" s="1" t="s">
        <v>99</v>
      </c>
      <c r="I149" s="1" t="s">
        <v>108</v>
      </c>
      <c r="J149" s="1">
        <v>7</v>
      </c>
      <c r="K149" s="1">
        <v>11323.4</v>
      </c>
      <c r="L149" s="1">
        <v>0.05</v>
      </c>
      <c r="M149" s="1">
        <v>79263.8</v>
      </c>
      <c r="N149" s="1">
        <v>3963.190000000001</v>
      </c>
      <c r="O149" s="1">
        <v>75300.61</v>
      </c>
      <c r="P149" s="1">
        <v>51204.414800000013</v>
      </c>
      <c r="Q149" s="1">
        <v>24096.195199999991</v>
      </c>
      <c r="R149" s="1">
        <v>32</v>
      </c>
      <c r="S149" s="1" t="s">
        <v>26</v>
      </c>
    </row>
    <row r="150" spans="1:19" x14ac:dyDescent="0.35">
      <c r="A150" s="1" t="s">
        <v>349</v>
      </c>
      <c r="B150" s="3">
        <v>45849</v>
      </c>
      <c r="C150" s="1" t="s">
        <v>62</v>
      </c>
      <c r="D150" s="1">
        <v>7</v>
      </c>
      <c r="E150" s="1" t="s">
        <v>301</v>
      </c>
      <c r="F150" s="1" t="s">
        <v>52</v>
      </c>
      <c r="G150" s="1" t="s">
        <v>23</v>
      </c>
      <c r="H150" s="1" t="s">
        <v>39</v>
      </c>
      <c r="I150" s="1" t="s">
        <v>40</v>
      </c>
      <c r="J150" s="1">
        <v>4</v>
      </c>
      <c r="K150" s="1">
        <v>11838.98</v>
      </c>
      <c r="L150" s="1">
        <v>0.15</v>
      </c>
      <c r="M150" s="1">
        <v>47355.92</v>
      </c>
      <c r="N150" s="1">
        <v>7103.3879999999999</v>
      </c>
      <c r="O150" s="1">
        <v>40252.531999999999</v>
      </c>
      <c r="P150" s="1">
        <v>31396.97496</v>
      </c>
      <c r="Q150" s="1">
        <v>8855.5570399999997</v>
      </c>
      <c r="R150" s="1">
        <v>22</v>
      </c>
      <c r="S150" s="1" t="s">
        <v>73</v>
      </c>
    </row>
    <row r="151" spans="1:19" x14ac:dyDescent="0.35">
      <c r="A151" s="1" t="s">
        <v>350</v>
      </c>
      <c r="B151" s="3">
        <v>45963</v>
      </c>
      <c r="C151" s="1" t="s">
        <v>56</v>
      </c>
      <c r="D151" s="1">
        <v>11</v>
      </c>
      <c r="E151" s="1" t="s">
        <v>351</v>
      </c>
      <c r="F151" s="1" t="s">
        <v>58</v>
      </c>
      <c r="G151" s="1" t="s">
        <v>64</v>
      </c>
      <c r="H151" s="1" t="s">
        <v>77</v>
      </c>
      <c r="I151" s="1" t="s">
        <v>103</v>
      </c>
      <c r="J151" s="1">
        <v>7</v>
      </c>
      <c r="K151" s="1">
        <v>1164.21</v>
      </c>
      <c r="L151" s="1">
        <v>0.15</v>
      </c>
      <c r="M151" s="1">
        <v>8149.47</v>
      </c>
      <c r="N151" s="1">
        <v>1222.4204999999999</v>
      </c>
      <c r="O151" s="1">
        <v>6927.0495000000001</v>
      </c>
      <c r="P151" s="1">
        <v>4987.4756399999997</v>
      </c>
      <c r="Q151" s="1">
        <v>1939.57386</v>
      </c>
      <c r="R151" s="1">
        <v>28.000000000000011</v>
      </c>
      <c r="S151" s="1" t="s">
        <v>93</v>
      </c>
    </row>
    <row r="152" spans="1:19" x14ac:dyDescent="0.35">
      <c r="A152" s="1" t="s">
        <v>352</v>
      </c>
      <c r="B152" s="3">
        <v>45690</v>
      </c>
      <c r="C152" s="1" t="s">
        <v>42</v>
      </c>
      <c r="D152" s="1">
        <v>2</v>
      </c>
      <c r="E152" s="1" t="s">
        <v>132</v>
      </c>
      <c r="F152" s="1" t="s">
        <v>22</v>
      </c>
      <c r="G152" s="1" t="s">
        <v>23</v>
      </c>
      <c r="H152" s="1" t="s">
        <v>77</v>
      </c>
      <c r="I152" s="1" t="s">
        <v>201</v>
      </c>
      <c r="J152" s="1">
        <v>7</v>
      </c>
      <c r="K152" s="1">
        <v>611.94000000000005</v>
      </c>
      <c r="L152" s="1">
        <v>0.2</v>
      </c>
      <c r="M152" s="1">
        <v>4283.58</v>
      </c>
      <c r="N152" s="1">
        <v>856.71600000000001</v>
      </c>
      <c r="O152" s="1">
        <v>3426.864</v>
      </c>
      <c r="P152" s="1">
        <v>2467.3420799999999</v>
      </c>
      <c r="Q152" s="1">
        <v>959.52192000000014</v>
      </c>
      <c r="R152" s="1">
        <v>28</v>
      </c>
      <c r="S152" s="1" t="s">
        <v>73</v>
      </c>
    </row>
    <row r="153" spans="1:19" x14ac:dyDescent="0.35">
      <c r="A153" s="1" t="s">
        <v>353</v>
      </c>
      <c r="B153" s="3">
        <v>45942</v>
      </c>
      <c r="C153" s="1" t="s">
        <v>35</v>
      </c>
      <c r="D153" s="1">
        <v>10</v>
      </c>
      <c r="E153" s="1" t="s">
        <v>354</v>
      </c>
      <c r="F153" s="1" t="s">
        <v>22</v>
      </c>
      <c r="G153" s="1" t="s">
        <v>64</v>
      </c>
      <c r="H153" s="1" t="s">
        <v>24</v>
      </c>
      <c r="I153" s="1" t="s">
        <v>139</v>
      </c>
      <c r="J153" s="1">
        <v>1</v>
      </c>
      <c r="K153" s="1">
        <v>1062.06</v>
      </c>
      <c r="L153" s="1">
        <v>0.2</v>
      </c>
      <c r="M153" s="1">
        <v>1062.06</v>
      </c>
      <c r="N153" s="1">
        <v>212.41200000000001</v>
      </c>
      <c r="O153" s="1">
        <v>849.64799999999991</v>
      </c>
      <c r="P153" s="1">
        <v>467.3064</v>
      </c>
      <c r="Q153" s="1">
        <v>382.34159999999991</v>
      </c>
      <c r="R153" s="1">
        <v>44.999999999999993</v>
      </c>
      <c r="S153" s="1" t="s">
        <v>26</v>
      </c>
    </row>
    <row r="154" spans="1:19" x14ac:dyDescent="0.35">
      <c r="A154" s="1" t="s">
        <v>355</v>
      </c>
      <c r="B154" s="3">
        <v>45945</v>
      </c>
      <c r="C154" s="1" t="s">
        <v>35</v>
      </c>
      <c r="D154" s="1">
        <v>10</v>
      </c>
      <c r="E154" s="1" t="s">
        <v>356</v>
      </c>
      <c r="F154" s="1" t="s">
        <v>69</v>
      </c>
      <c r="G154" s="1" t="s">
        <v>64</v>
      </c>
      <c r="H154" s="1" t="s">
        <v>99</v>
      </c>
      <c r="I154" s="1" t="s">
        <v>108</v>
      </c>
      <c r="J154" s="1">
        <v>7</v>
      </c>
      <c r="K154" s="1">
        <v>17811.23</v>
      </c>
      <c r="L154" s="1">
        <v>0.15</v>
      </c>
      <c r="M154" s="1">
        <v>124678.61</v>
      </c>
      <c r="N154" s="1">
        <v>18701.791499999999</v>
      </c>
      <c r="O154" s="1">
        <v>105976.81849999999</v>
      </c>
      <c r="P154" s="1">
        <v>72064.236579999997</v>
      </c>
      <c r="Q154" s="1">
        <v>33912.581919999997</v>
      </c>
      <c r="R154" s="1">
        <v>32</v>
      </c>
      <c r="S154" s="1" t="s">
        <v>33</v>
      </c>
    </row>
    <row r="155" spans="1:19" x14ac:dyDescent="0.35">
      <c r="A155" s="1" t="s">
        <v>357</v>
      </c>
      <c r="B155" s="3">
        <v>45678</v>
      </c>
      <c r="C155" s="1" t="s">
        <v>193</v>
      </c>
      <c r="D155" s="1">
        <v>1</v>
      </c>
      <c r="E155" s="1" t="s">
        <v>267</v>
      </c>
      <c r="F155" s="1" t="s">
        <v>37</v>
      </c>
      <c r="G155" s="1" t="s">
        <v>23</v>
      </c>
      <c r="H155" s="1" t="s">
        <v>31</v>
      </c>
      <c r="I155" s="1" t="s">
        <v>32</v>
      </c>
      <c r="J155" s="1">
        <v>3</v>
      </c>
      <c r="K155" s="1">
        <v>3382.92</v>
      </c>
      <c r="L155" s="1">
        <v>0.2</v>
      </c>
      <c r="M155" s="1">
        <v>10148.76</v>
      </c>
      <c r="N155" s="1">
        <v>2029.752</v>
      </c>
      <c r="O155" s="1">
        <v>8119.0079999999998</v>
      </c>
      <c r="P155" s="1">
        <v>4221.8841599999996</v>
      </c>
      <c r="Q155" s="1">
        <v>3897.1238400000002</v>
      </c>
      <c r="R155" s="1">
        <v>48.000000000000007</v>
      </c>
      <c r="S155" s="1" t="s">
        <v>93</v>
      </c>
    </row>
    <row r="156" spans="1:19" x14ac:dyDescent="0.35">
      <c r="A156" s="1" t="s">
        <v>358</v>
      </c>
      <c r="B156" s="3">
        <v>45820</v>
      </c>
      <c r="C156" s="1" t="s">
        <v>82</v>
      </c>
      <c r="D156" s="1">
        <v>6</v>
      </c>
      <c r="E156" s="1" t="s">
        <v>359</v>
      </c>
      <c r="F156" s="1" t="s">
        <v>30</v>
      </c>
      <c r="G156" s="1" t="s">
        <v>23</v>
      </c>
      <c r="H156" s="1" t="s">
        <v>39</v>
      </c>
      <c r="I156" s="1" t="s">
        <v>87</v>
      </c>
      <c r="J156" s="1">
        <v>1</v>
      </c>
      <c r="K156" s="1">
        <v>48750.67</v>
      </c>
      <c r="L156" s="1">
        <v>0.15</v>
      </c>
      <c r="M156" s="1">
        <v>48750.67</v>
      </c>
      <c r="N156" s="1">
        <v>7312.6004999999996</v>
      </c>
      <c r="O156" s="1">
        <v>41438.069499999998</v>
      </c>
      <c r="P156" s="1">
        <v>32321.694210000001</v>
      </c>
      <c r="Q156" s="1">
        <v>9116.3752899999999</v>
      </c>
      <c r="R156" s="1">
        <v>22</v>
      </c>
      <c r="S156" s="1" t="s">
        <v>60</v>
      </c>
    </row>
    <row r="157" spans="1:19" x14ac:dyDescent="0.35">
      <c r="A157" s="1" t="s">
        <v>360</v>
      </c>
      <c r="B157" s="3">
        <v>45750</v>
      </c>
      <c r="C157" s="1" t="s">
        <v>20</v>
      </c>
      <c r="D157" s="1">
        <v>4</v>
      </c>
      <c r="E157" s="1" t="s">
        <v>326</v>
      </c>
      <c r="F157" s="1" t="s">
        <v>69</v>
      </c>
      <c r="G157" s="1" t="s">
        <v>64</v>
      </c>
      <c r="H157" s="1" t="s">
        <v>31</v>
      </c>
      <c r="I157" s="1" t="s">
        <v>59</v>
      </c>
      <c r="J157" s="1">
        <v>7</v>
      </c>
      <c r="K157" s="1">
        <v>1697.19</v>
      </c>
      <c r="L157" s="1">
        <v>0.1</v>
      </c>
      <c r="M157" s="1">
        <v>11880.33</v>
      </c>
      <c r="N157" s="1">
        <v>1188.0329999999999</v>
      </c>
      <c r="O157" s="1">
        <v>10692.297</v>
      </c>
      <c r="P157" s="1">
        <v>5559.9944400000004</v>
      </c>
      <c r="Q157" s="1">
        <v>5132.3025600000001</v>
      </c>
      <c r="R157" s="1">
        <v>48</v>
      </c>
      <c r="S157" s="1" t="s">
        <v>93</v>
      </c>
    </row>
    <row r="158" spans="1:19" x14ac:dyDescent="0.35">
      <c r="A158" s="1" t="s">
        <v>361</v>
      </c>
      <c r="B158" s="3">
        <v>45681</v>
      </c>
      <c r="C158" s="1" t="s">
        <v>193</v>
      </c>
      <c r="D158" s="1">
        <v>1</v>
      </c>
      <c r="E158" s="1" t="s">
        <v>254</v>
      </c>
      <c r="F158" s="1" t="s">
        <v>22</v>
      </c>
      <c r="G158" s="1" t="s">
        <v>64</v>
      </c>
      <c r="H158" s="1" t="s">
        <v>24</v>
      </c>
      <c r="I158" s="1" t="s">
        <v>48</v>
      </c>
      <c r="J158" s="1">
        <v>2</v>
      </c>
      <c r="K158" s="1">
        <v>3891.58</v>
      </c>
      <c r="L158" s="1">
        <v>0.2</v>
      </c>
      <c r="M158" s="1">
        <v>7783.16</v>
      </c>
      <c r="N158" s="1">
        <v>1556.6320000000001</v>
      </c>
      <c r="O158" s="1">
        <v>6226.5280000000002</v>
      </c>
      <c r="P158" s="1">
        <v>3424.5904</v>
      </c>
      <c r="Q158" s="1">
        <v>2801.9376000000002</v>
      </c>
      <c r="R158" s="1">
        <v>44.999999999999993</v>
      </c>
      <c r="S158" s="1" t="s">
        <v>33</v>
      </c>
    </row>
    <row r="159" spans="1:19" x14ac:dyDescent="0.35">
      <c r="A159" s="1" t="s">
        <v>362</v>
      </c>
      <c r="B159" s="3">
        <v>45885</v>
      </c>
      <c r="C159" s="1" t="s">
        <v>113</v>
      </c>
      <c r="D159" s="1">
        <v>8</v>
      </c>
      <c r="E159" s="1" t="s">
        <v>363</v>
      </c>
      <c r="F159" s="1" t="s">
        <v>52</v>
      </c>
      <c r="G159" s="1" t="s">
        <v>64</v>
      </c>
      <c r="H159" s="1" t="s">
        <v>39</v>
      </c>
      <c r="I159" s="1" t="s">
        <v>155</v>
      </c>
      <c r="J159" s="1">
        <v>6</v>
      </c>
      <c r="K159" s="1">
        <v>20855.79</v>
      </c>
      <c r="L159" s="1">
        <v>0.05</v>
      </c>
      <c r="M159" s="1">
        <v>125134.74</v>
      </c>
      <c r="N159" s="1">
        <v>6256.737000000001</v>
      </c>
      <c r="O159" s="1">
        <v>118878.003</v>
      </c>
      <c r="P159" s="1">
        <v>92724.842340000003</v>
      </c>
      <c r="Q159" s="1">
        <v>26153.16065999999</v>
      </c>
      <c r="R159" s="1">
        <v>21.999999999999989</v>
      </c>
      <c r="S159" s="1" t="s">
        <v>73</v>
      </c>
    </row>
    <row r="160" spans="1:19" x14ac:dyDescent="0.35">
      <c r="A160" s="1" t="s">
        <v>364</v>
      </c>
      <c r="B160" s="3">
        <v>46001</v>
      </c>
      <c r="C160" s="1" t="s">
        <v>67</v>
      </c>
      <c r="D160" s="1">
        <v>12</v>
      </c>
      <c r="E160" s="1" t="s">
        <v>365</v>
      </c>
      <c r="F160" s="1" t="s">
        <v>52</v>
      </c>
      <c r="G160" s="1" t="s">
        <v>38</v>
      </c>
      <c r="H160" s="1" t="s">
        <v>53</v>
      </c>
      <c r="I160" s="1" t="s">
        <v>123</v>
      </c>
      <c r="J160" s="1">
        <v>5</v>
      </c>
      <c r="K160" s="1">
        <v>458.99</v>
      </c>
      <c r="L160" s="1">
        <v>0.1</v>
      </c>
      <c r="M160" s="1">
        <v>2294.9499999999998</v>
      </c>
      <c r="N160" s="1">
        <v>229.495</v>
      </c>
      <c r="O160" s="1">
        <v>2065.4549999999999</v>
      </c>
      <c r="P160" s="1">
        <v>1197.9639</v>
      </c>
      <c r="Q160" s="1">
        <v>867.49109999999996</v>
      </c>
      <c r="R160" s="1">
        <v>42</v>
      </c>
      <c r="S160" s="1" t="s">
        <v>60</v>
      </c>
    </row>
    <row r="161" spans="1:19" x14ac:dyDescent="0.35">
      <c r="A161" s="1" t="s">
        <v>366</v>
      </c>
      <c r="B161" s="3">
        <v>45946</v>
      </c>
      <c r="C161" s="1" t="s">
        <v>35</v>
      </c>
      <c r="D161" s="1">
        <v>10</v>
      </c>
      <c r="E161" s="1" t="s">
        <v>256</v>
      </c>
      <c r="F161" s="1" t="s">
        <v>30</v>
      </c>
      <c r="G161" s="1" t="s">
        <v>64</v>
      </c>
      <c r="H161" s="1" t="s">
        <v>24</v>
      </c>
      <c r="I161" s="1" t="s">
        <v>117</v>
      </c>
      <c r="J161" s="1">
        <v>6</v>
      </c>
      <c r="K161" s="1">
        <v>5493</v>
      </c>
      <c r="L161" s="1">
        <v>0.15</v>
      </c>
      <c r="M161" s="1">
        <v>32958</v>
      </c>
      <c r="N161" s="1">
        <v>4943.7</v>
      </c>
      <c r="O161" s="1">
        <v>28014.3</v>
      </c>
      <c r="P161" s="1">
        <v>15407.865</v>
      </c>
      <c r="Q161" s="1">
        <v>12606.434999999999</v>
      </c>
      <c r="R161" s="1">
        <v>44.999999999999993</v>
      </c>
      <c r="S161" s="1" t="s">
        <v>33</v>
      </c>
    </row>
    <row r="162" spans="1:19" x14ac:dyDescent="0.35">
      <c r="A162" s="1" t="s">
        <v>367</v>
      </c>
      <c r="B162" s="3">
        <v>45703</v>
      </c>
      <c r="C162" s="1" t="s">
        <v>42</v>
      </c>
      <c r="D162" s="1">
        <v>2</v>
      </c>
      <c r="E162" s="1" t="s">
        <v>184</v>
      </c>
      <c r="F162" s="1" t="s">
        <v>76</v>
      </c>
      <c r="G162" s="1" t="s">
        <v>23</v>
      </c>
      <c r="H162" s="1" t="s">
        <v>77</v>
      </c>
      <c r="I162" s="1" t="s">
        <v>148</v>
      </c>
      <c r="J162" s="1">
        <v>6</v>
      </c>
      <c r="K162" s="1">
        <v>291.89999999999998</v>
      </c>
      <c r="L162" s="1">
        <v>0.1</v>
      </c>
      <c r="M162" s="1">
        <v>1751.4</v>
      </c>
      <c r="N162" s="1">
        <v>175.14</v>
      </c>
      <c r="O162" s="1">
        <v>1576.26</v>
      </c>
      <c r="P162" s="1">
        <v>1134.9072000000001</v>
      </c>
      <c r="Q162" s="1">
        <v>441.35279999999989</v>
      </c>
      <c r="R162" s="1">
        <v>28</v>
      </c>
      <c r="S162" s="1" t="s">
        <v>60</v>
      </c>
    </row>
    <row r="163" spans="1:19" x14ac:dyDescent="0.35">
      <c r="A163" s="1" t="s">
        <v>368</v>
      </c>
      <c r="B163" s="3">
        <v>45890</v>
      </c>
      <c r="C163" s="1" t="s">
        <v>113</v>
      </c>
      <c r="D163" s="1">
        <v>8</v>
      </c>
      <c r="E163" s="1" t="s">
        <v>210</v>
      </c>
      <c r="F163" s="1" t="s">
        <v>47</v>
      </c>
      <c r="G163" s="1" t="s">
        <v>23</v>
      </c>
      <c r="H163" s="1" t="s">
        <v>31</v>
      </c>
      <c r="I163" s="1" t="s">
        <v>32</v>
      </c>
      <c r="J163" s="1">
        <v>6</v>
      </c>
      <c r="K163" s="1">
        <v>309.57</v>
      </c>
      <c r="L163" s="1">
        <v>0</v>
      </c>
      <c r="M163" s="1">
        <v>1857.42</v>
      </c>
      <c r="N163" s="1">
        <v>0</v>
      </c>
      <c r="O163" s="1">
        <v>1857.42</v>
      </c>
      <c r="P163" s="1">
        <v>965.85840000000007</v>
      </c>
      <c r="Q163" s="1">
        <v>891.5616</v>
      </c>
      <c r="R163" s="1">
        <v>48</v>
      </c>
      <c r="S163" s="1" t="s">
        <v>73</v>
      </c>
    </row>
    <row r="164" spans="1:19" x14ac:dyDescent="0.35">
      <c r="A164" s="1" t="s">
        <v>369</v>
      </c>
      <c r="B164" s="3">
        <v>45800</v>
      </c>
      <c r="C164" s="1" t="s">
        <v>97</v>
      </c>
      <c r="D164" s="1">
        <v>5</v>
      </c>
      <c r="E164" s="1" t="s">
        <v>259</v>
      </c>
      <c r="F164" s="1" t="s">
        <v>52</v>
      </c>
      <c r="G164" s="1" t="s">
        <v>64</v>
      </c>
      <c r="H164" s="1" t="s">
        <v>99</v>
      </c>
      <c r="I164" s="1" t="s">
        <v>223</v>
      </c>
      <c r="J164" s="1">
        <v>2</v>
      </c>
      <c r="K164" s="1">
        <v>6268.36</v>
      </c>
      <c r="L164" s="1">
        <v>0</v>
      </c>
      <c r="M164" s="1">
        <v>12536.72</v>
      </c>
      <c r="N164" s="1">
        <v>0</v>
      </c>
      <c r="O164" s="1">
        <v>12536.72</v>
      </c>
      <c r="P164" s="1">
        <v>8524.9696000000004</v>
      </c>
      <c r="Q164" s="1">
        <v>4011.750399999999</v>
      </c>
      <c r="R164" s="1">
        <v>32</v>
      </c>
      <c r="S164" s="1" t="s">
        <v>60</v>
      </c>
    </row>
    <row r="165" spans="1:19" x14ac:dyDescent="0.35">
      <c r="A165" s="1" t="s">
        <v>370</v>
      </c>
      <c r="B165" s="3">
        <v>45861</v>
      </c>
      <c r="C165" s="1" t="s">
        <v>62</v>
      </c>
      <c r="D165" s="1">
        <v>7</v>
      </c>
      <c r="E165" s="1" t="s">
        <v>371</v>
      </c>
      <c r="F165" s="1" t="s">
        <v>22</v>
      </c>
      <c r="G165" s="1" t="s">
        <v>38</v>
      </c>
      <c r="H165" s="1" t="s">
        <v>99</v>
      </c>
      <c r="I165" s="1" t="s">
        <v>108</v>
      </c>
      <c r="J165" s="1">
        <v>4</v>
      </c>
      <c r="K165" s="1">
        <v>20538.88</v>
      </c>
      <c r="L165" s="1">
        <v>0.1</v>
      </c>
      <c r="M165" s="1">
        <v>82155.520000000004</v>
      </c>
      <c r="N165" s="1">
        <v>8215.5520000000015</v>
      </c>
      <c r="O165" s="1">
        <v>73939.968000000008</v>
      </c>
      <c r="P165" s="1">
        <v>50279.178240000008</v>
      </c>
      <c r="Q165" s="1">
        <v>23660.78976</v>
      </c>
      <c r="R165" s="1">
        <v>32</v>
      </c>
      <c r="S165" s="1" t="s">
        <v>33</v>
      </c>
    </row>
    <row r="166" spans="1:19" x14ac:dyDescent="0.35">
      <c r="A166" s="1" t="s">
        <v>372</v>
      </c>
      <c r="B166" s="3">
        <v>45971</v>
      </c>
      <c r="C166" s="1" t="s">
        <v>56</v>
      </c>
      <c r="D166" s="1">
        <v>11</v>
      </c>
      <c r="E166" s="1" t="s">
        <v>373</v>
      </c>
      <c r="F166" s="1" t="s">
        <v>37</v>
      </c>
      <c r="G166" s="1" t="s">
        <v>23</v>
      </c>
      <c r="H166" s="1" t="s">
        <v>77</v>
      </c>
      <c r="I166" s="1" t="s">
        <v>90</v>
      </c>
      <c r="J166" s="1">
        <v>2</v>
      </c>
      <c r="K166" s="1">
        <v>603.04</v>
      </c>
      <c r="L166" s="1">
        <v>0</v>
      </c>
      <c r="M166" s="1">
        <v>1206.08</v>
      </c>
      <c r="N166" s="1">
        <v>0</v>
      </c>
      <c r="O166" s="1">
        <v>1206.08</v>
      </c>
      <c r="P166" s="1">
        <v>868.37759999999992</v>
      </c>
      <c r="Q166" s="1">
        <v>337.70240000000001</v>
      </c>
      <c r="R166" s="1">
        <v>28</v>
      </c>
      <c r="S166" s="1" t="s">
        <v>73</v>
      </c>
    </row>
    <row r="167" spans="1:19" x14ac:dyDescent="0.35">
      <c r="A167" s="1" t="s">
        <v>374</v>
      </c>
      <c r="B167" s="3">
        <v>45669</v>
      </c>
      <c r="C167" s="1" t="s">
        <v>193</v>
      </c>
      <c r="D167" s="1">
        <v>1</v>
      </c>
      <c r="E167" s="1" t="s">
        <v>105</v>
      </c>
      <c r="F167" s="1" t="s">
        <v>22</v>
      </c>
      <c r="G167" s="1" t="s">
        <v>23</v>
      </c>
      <c r="H167" s="1" t="s">
        <v>24</v>
      </c>
      <c r="I167" s="1" t="s">
        <v>48</v>
      </c>
      <c r="J167" s="1">
        <v>5</v>
      </c>
      <c r="K167" s="1">
        <v>3136.03</v>
      </c>
      <c r="L167" s="1">
        <v>0.15</v>
      </c>
      <c r="M167" s="1">
        <v>15680.15</v>
      </c>
      <c r="N167" s="1">
        <v>2352.0225</v>
      </c>
      <c r="O167" s="1">
        <v>13328.127500000001</v>
      </c>
      <c r="P167" s="1">
        <v>7330.4701250000016</v>
      </c>
      <c r="Q167" s="1">
        <v>5997.6573750000007</v>
      </c>
      <c r="R167" s="1">
        <v>44.999999999999993</v>
      </c>
      <c r="S167" s="1" t="s">
        <v>93</v>
      </c>
    </row>
    <row r="168" spans="1:19" x14ac:dyDescent="0.35">
      <c r="A168" s="1" t="s">
        <v>375</v>
      </c>
      <c r="B168" s="3">
        <v>45878</v>
      </c>
      <c r="C168" s="1" t="s">
        <v>113</v>
      </c>
      <c r="D168" s="1">
        <v>8</v>
      </c>
      <c r="E168" s="1" t="s">
        <v>376</v>
      </c>
      <c r="F168" s="1" t="s">
        <v>52</v>
      </c>
      <c r="G168" s="1" t="s">
        <v>64</v>
      </c>
      <c r="H168" s="1" t="s">
        <v>31</v>
      </c>
      <c r="I168" s="1" t="s">
        <v>167</v>
      </c>
      <c r="J168" s="1">
        <v>7</v>
      </c>
      <c r="K168" s="1">
        <v>344.08</v>
      </c>
      <c r="L168" s="1">
        <v>0.05</v>
      </c>
      <c r="M168" s="1">
        <v>2408.56</v>
      </c>
      <c r="N168" s="1">
        <v>120.428</v>
      </c>
      <c r="O168" s="1">
        <v>2288.1320000000001</v>
      </c>
      <c r="P168" s="1">
        <v>1189.82864</v>
      </c>
      <c r="Q168" s="1">
        <v>1098.3033600000001</v>
      </c>
      <c r="R168" s="1">
        <v>47.999999999999993</v>
      </c>
      <c r="S168" s="1" t="s">
        <v>26</v>
      </c>
    </row>
    <row r="169" spans="1:19" x14ac:dyDescent="0.35">
      <c r="A169" s="1" t="s">
        <v>377</v>
      </c>
      <c r="B169" s="3">
        <v>45788</v>
      </c>
      <c r="C169" s="1" t="s">
        <v>97</v>
      </c>
      <c r="D169" s="1">
        <v>5</v>
      </c>
      <c r="E169" s="1" t="s">
        <v>378</v>
      </c>
      <c r="F169" s="1" t="s">
        <v>76</v>
      </c>
      <c r="G169" s="1" t="s">
        <v>38</v>
      </c>
      <c r="H169" s="1" t="s">
        <v>24</v>
      </c>
      <c r="I169" s="1" t="s">
        <v>48</v>
      </c>
      <c r="J169" s="1">
        <v>2</v>
      </c>
      <c r="K169" s="1">
        <v>2717.94</v>
      </c>
      <c r="L169" s="1">
        <v>0.05</v>
      </c>
      <c r="M169" s="1">
        <v>5435.88</v>
      </c>
      <c r="N169" s="1">
        <v>271.79399999999998</v>
      </c>
      <c r="O169" s="1">
        <v>5164.0860000000002</v>
      </c>
      <c r="P169" s="1">
        <v>2840.2473</v>
      </c>
      <c r="Q169" s="1">
        <v>2323.8386999999998</v>
      </c>
      <c r="R169" s="1">
        <v>44.999999999999993</v>
      </c>
      <c r="S169" s="1" t="s">
        <v>60</v>
      </c>
    </row>
    <row r="170" spans="1:19" x14ac:dyDescent="0.35">
      <c r="A170" s="1" t="s">
        <v>379</v>
      </c>
      <c r="B170" s="3">
        <v>46007</v>
      </c>
      <c r="C170" s="1" t="s">
        <v>67</v>
      </c>
      <c r="D170" s="1">
        <v>12</v>
      </c>
      <c r="E170" s="1" t="s">
        <v>380</v>
      </c>
      <c r="F170" s="1" t="s">
        <v>58</v>
      </c>
      <c r="G170" s="1" t="s">
        <v>23</v>
      </c>
      <c r="H170" s="1" t="s">
        <v>31</v>
      </c>
      <c r="I170" s="1" t="s">
        <v>59</v>
      </c>
      <c r="J170" s="1">
        <v>7</v>
      </c>
      <c r="K170" s="1">
        <v>1572.49</v>
      </c>
      <c r="L170" s="1">
        <v>0.2</v>
      </c>
      <c r="M170" s="1">
        <v>11007.43</v>
      </c>
      <c r="N170" s="1">
        <v>2201.4859999999999</v>
      </c>
      <c r="O170" s="1">
        <v>8805.9439999999995</v>
      </c>
      <c r="P170" s="1">
        <v>4579.0908799999997</v>
      </c>
      <c r="Q170" s="1">
        <v>4226.8531199999998</v>
      </c>
      <c r="R170" s="1">
        <v>48</v>
      </c>
      <c r="S170" s="1" t="s">
        <v>33</v>
      </c>
    </row>
    <row r="171" spans="1:19" x14ac:dyDescent="0.35">
      <c r="A171" s="1" t="s">
        <v>381</v>
      </c>
      <c r="B171" s="3">
        <v>45809</v>
      </c>
      <c r="C171" s="1" t="s">
        <v>82</v>
      </c>
      <c r="D171" s="1">
        <v>6</v>
      </c>
      <c r="E171" s="1" t="s">
        <v>382</v>
      </c>
      <c r="F171" s="1" t="s">
        <v>111</v>
      </c>
      <c r="G171" s="1" t="s">
        <v>23</v>
      </c>
      <c r="H171" s="1" t="s">
        <v>99</v>
      </c>
      <c r="I171" s="1" t="s">
        <v>108</v>
      </c>
      <c r="J171" s="1">
        <v>1</v>
      </c>
      <c r="K171" s="1">
        <v>14064.91</v>
      </c>
      <c r="L171" s="1">
        <v>0.15</v>
      </c>
      <c r="M171" s="1">
        <v>14064.91</v>
      </c>
      <c r="N171" s="1">
        <v>2109.7365</v>
      </c>
      <c r="O171" s="1">
        <v>11955.173500000001</v>
      </c>
      <c r="P171" s="1">
        <v>8129.5179800000014</v>
      </c>
      <c r="Q171" s="1">
        <v>3825.6555199999989</v>
      </c>
      <c r="R171" s="1">
        <v>32</v>
      </c>
      <c r="S171" s="1" t="s">
        <v>73</v>
      </c>
    </row>
    <row r="172" spans="1:19" x14ac:dyDescent="0.35">
      <c r="A172" s="1" t="s">
        <v>383</v>
      </c>
      <c r="B172" s="3">
        <v>45992</v>
      </c>
      <c r="C172" s="1" t="s">
        <v>67</v>
      </c>
      <c r="D172" s="1">
        <v>12</v>
      </c>
      <c r="E172" s="1" t="s">
        <v>384</v>
      </c>
      <c r="F172" s="1" t="s">
        <v>52</v>
      </c>
      <c r="G172" s="1" t="s">
        <v>64</v>
      </c>
      <c r="H172" s="1" t="s">
        <v>99</v>
      </c>
      <c r="I172" s="1" t="s">
        <v>108</v>
      </c>
      <c r="J172" s="1">
        <v>4</v>
      </c>
      <c r="K172" s="1">
        <v>11988.72</v>
      </c>
      <c r="L172" s="1">
        <v>0.05</v>
      </c>
      <c r="M172" s="1">
        <v>47954.879999999997</v>
      </c>
      <c r="N172" s="1">
        <v>2397.7440000000001</v>
      </c>
      <c r="O172" s="1">
        <v>45557.135999999999</v>
      </c>
      <c r="P172" s="1">
        <v>30978.852480000001</v>
      </c>
      <c r="Q172" s="1">
        <v>14578.283520000001</v>
      </c>
      <c r="R172" s="1">
        <v>32</v>
      </c>
      <c r="S172" s="1" t="s">
        <v>26</v>
      </c>
    </row>
    <row r="173" spans="1:19" x14ac:dyDescent="0.35">
      <c r="A173" s="1" t="s">
        <v>385</v>
      </c>
      <c r="B173" s="3">
        <v>45894</v>
      </c>
      <c r="C173" s="1" t="s">
        <v>113</v>
      </c>
      <c r="D173" s="1">
        <v>8</v>
      </c>
      <c r="E173" s="1" t="s">
        <v>194</v>
      </c>
      <c r="F173" s="1" t="s">
        <v>58</v>
      </c>
      <c r="G173" s="1" t="s">
        <v>23</v>
      </c>
      <c r="H173" s="1" t="s">
        <v>99</v>
      </c>
      <c r="I173" s="1" t="s">
        <v>145</v>
      </c>
      <c r="J173" s="1">
        <v>5</v>
      </c>
      <c r="K173" s="1">
        <v>18995.04</v>
      </c>
      <c r="L173" s="1">
        <v>0.05</v>
      </c>
      <c r="M173" s="1">
        <v>94975.200000000012</v>
      </c>
      <c r="N173" s="1">
        <v>4748.7600000000011</v>
      </c>
      <c r="O173" s="1">
        <v>90226.440000000017</v>
      </c>
      <c r="P173" s="1">
        <v>61353.979200000023</v>
      </c>
      <c r="Q173" s="1">
        <v>28872.460800000001</v>
      </c>
      <c r="R173" s="1">
        <v>32</v>
      </c>
      <c r="S173" s="1" t="s">
        <v>33</v>
      </c>
    </row>
    <row r="174" spans="1:19" x14ac:dyDescent="0.35">
      <c r="A174" s="1" t="s">
        <v>386</v>
      </c>
      <c r="B174" s="3">
        <v>45671</v>
      </c>
      <c r="C174" s="1" t="s">
        <v>193</v>
      </c>
      <c r="D174" s="1">
        <v>1</v>
      </c>
      <c r="E174" s="1" t="s">
        <v>387</v>
      </c>
      <c r="F174" s="1" t="s">
        <v>52</v>
      </c>
      <c r="G174" s="1" t="s">
        <v>64</v>
      </c>
      <c r="H174" s="1" t="s">
        <v>77</v>
      </c>
      <c r="I174" s="1" t="s">
        <v>148</v>
      </c>
      <c r="J174" s="1">
        <v>2</v>
      </c>
      <c r="K174" s="1">
        <v>258.12</v>
      </c>
      <c r="L174" s="1">
        <v>0.2</v>
      </c>
      <c r="M174" s="1">
        <v>516.24</v>
      </c>
      <c r="N174" s="1">
        <v>103.248</v>
      </c>
      <c r="O174" s="1">
        <v>412.99200000000002</v>
      </c>
      <c r="P174" s="1">
        <v>297.35424</v>
      </c>
      <c r="Q174" s="1">
        <v>115.63776</v>
      </c>
      <c r="R174" s="1">
        <v>28</v>
      </c>
      <c r="S174" s="1" t="s">
        <v>33</v>
      </c>
    </row>
    <row r="175" spans="1:19" x14ac:dyDescent="0.35">
      <c r="A175" s="1" t="s">
        <v>388</v>
      </c>
      <c r="B175" s="3">
        <v>45787</v>
      </c>
      <c r="C175" s="1" t="s">
        <v>97</v>
      </c>
      <c r="D175" s="1">
        <v>5</v>
      </c>
      <c r="E175" s="1" t="s">
        <v>389</v>
      </c>
      <c r="F175" s="1" t="s">
        <v>69</v>
      </c>
      <c r="G175" s="1" t="s">
        <v>64</v>
      </c>
      <c r="H175" s="1" t="s">
        <v>77</v>
      </c>
      <c r="I175" s="1" t="s">
        <v>78</v>
      </c>
      <c r="J175" s="1">
        <v>1</v>
      </c>
      <c r="K175" s="1">
        <v>499.74</v>
      </c>
      <c r="L175" s="1">
        <v>0.3</v>
      </c>
      <c r="M175" s="1">
        <v>499.74</v>
      </c>
      <c r="N175" s="1">
        <v>149.922</v>
      </c>
      <c r="O175" s="1">
        <v>349.81799999999998</v>
      </c>
      <c r="P175" s="1">
        <v>251.86895999999999</v>
      </c>
      <c r="Q175" s="1">
        <v>97.949039999999997</v>
      </c>
      <c r="R175" s="1">
        <v>28</v>
      </c>
      <c r="S175" s="1" t="s">
        <v>60</v>
      </c>
    </row>
    <row r="176" spans="1:19" x14ac:dyDescent="0.35">
      <c r="A176" s="1" t="s">
        <v>390</v>
      </c>
      <c r="B176" s="3">
        <v>45821</v>
      </c>
      <c r="C176" s="1" t="s">
        <v>82</v>
      </c>
      <c r="D176" s="1">
        <v>6</v>
      </c>
      <c r="E176" s="1" t="s">
        <v>334</v>
      </c>
      <c r="F176" s="1" t="s">
        <v>52</v>
      </c>
      <c r="G176" s="1" t="s">
        <v>23</v>
      </c>
      <c r="H176" s="1" t="s">
        <v>31</v>
      </c>
      <c r="I176" s="1" t="s">
        <v>32</v>
      </c>
      <c r="J176" s="1">
        <v>7</v>
      </c>
      <c r="K176" s="1">
        <v>1697.51</v>
      </c>
      <c r="L176" s="1">
        <v>0.05</v>
      </c>
      <c r="M176" s="1">
        <v>11882.57</v>
      </c>
      <c r="N176" s="1">
        <v>594.12850000000003</v>
      </c>
      <c r="O176" s="1">
        <v>11288.441500000001</v>
      </c>
      <c r="P176" s="1">
        <v>5869.9895799999986</v>
      </c>
      <c r="Q176" s="1">
        <v>5418.4519200000004</v>
      </c>
      <c r="R176" s="1">
        <v>48</v>
      </c>
      <c r="S176" s="1" t="s">
        <v>93</v>
      </c>
    </row>
    <row r="177" spans="1:19" x14ac:dyDescent="0.35">
      <c r="A177" s="1" t="s">
        <v>391</v>
      </c>
      <c r="B177" s="3">
        <v>45923</v>
      </c>
      <c r="C177" s="1" t="s">
        <v>50</v>
      </c>
      <c r="D177" s="1">
        <v>9</v>
      </c>
      <c r="E177" s="1" t="s">
        <v>392</v>
      </c>
      <c r="F177" s="1" t="s">
        <v>76</v>
      </c>
      <c r="G177" s="1" t="s">
        <v>64</v>
      </c>
      <c r="H177" s="1" t="s">
        <v>24</v>
      </c>
      <c r="I177" s="1" t="s">
        <v>48</v>
      </c>
      <c r="J177" s="1">
        <v>6</v>
      </c>
      <c r="K177" s="1">
        <v>1301.6600000000001</v>
      </c>
      <c r="L177" s="1">
        <v>0.1</v>
      </c>
      <c r="M177" s="1">
        <v>7809.9600000000009</v>
      </c>
      <c r="N177" s="1">
        <v>780.99600000000009</v>
      </c>
      <c r="O177" s="1">
        <v>7028.9640000000009</v>
      </c>
      <c r="P177" s="1">
        <v>3865.9302000000012</v>
      </c>
      <c r="Q177" s="1">
        <v>3163.0338000000002</v>
      </c>
      <c r="R177" s="1">
        <v>44.999999999999993</v>
      </c>
      <c r="S177" s="1" t="s">
        <v>33</v>
      </c>
    </row>
    <row r="178" spans="1:19" x14ac:dyDescent="0.35">
      <c r="A178" s="1" t="s">
        <v>393</v>
      </c>
      <c r="B178" s="3">
        <v>45778</v>
      </c>
      <c r="C178" s="1" t="s">
        <v>97</v>
      </c>
      <c r="D178" s="1">
        <v>5</v>
      </c>
      <c r="E178" s="1" t="s">
        <v>394</v>
      </c>
      <c r="F178" s="1" t="s">
        <v>30</v>
      </c>
      <c r="G178" s="1" t="s">
        <v>38</v>
      </c>
      <c r="H178" s="1" t="s">
        <v>53</v>
      </c>
      <c r="I178" s="1" t="s">
        <v>72</v>
      </c>
      <c r="J178" s="1">
        <v>5</v>
      </c>
      <c r="K178" s="1">
        <v>956.16</v>
      </c>
      <c r="L178" s="1">
        <v>0.1</v>
      </c>
      <c r="M178" s="1">
        <v>4780.8</v>
      </c>
      <c r="N178" s="1">
        <v>478.08</v>
      </c>
      <c r="O178" s="1">
        <v>4302.72</v>
      </c>
      <c r="P178" s="1">
        <v>2495.5776000000001</v>
      </c>
      <c r="Q178" s="1">
        <v>1807.1424</v>
      </c>
      <c r="R178" s="1">
        <v>42.000000000000007</v>
      </c>
      <c r="S178" s="1" t="s">
        <v>26</v>
      </c>
    </row>
    <row r="179" spans="1:19" x14ac:dyDescent="0.35">
      <c r="A179" s="1" t="s">
        <v>395</v>
      </c>
      <c r="B179" s="3">
        <v>45991</v>
      </c>
      <c r="C179" s="1" t="s">
        <v>56</v>
      </c>
      <c r="D179" s="1">
        <v>11</v>
      </c>
      <c r="E179" s="1" t="s">
        <v>396</v>
      </c>
      <c r="F179" s="1" t="s">
        <v>76</v>
      </c>
      <c r="G179" s="1" t="s">
        <v>38</v>
      </c>
      <c r="H179" s="1" t="s">
        <v>99</v>
      </c>
      <c r="I179" s="1" t="s">
        <v>100</v>
      </c>
      <c r="J179" s="1">
        <v>1</v>
      </c>
      <c r="K179" s="1">
        <v>14451.31</v>
      </c>
      <c r="L179" s="1">
        <v>0.25</v>
      </c>
      <c r="M179" s="1">
        <v>14451.31</v>
      </c>
      <c r="N179" s="1">
        <v>3612.8274999999999</v>
      </c>
      <c r="O179" s="1">
        <v>10838.4825</v>
      </c>
      <c r="P179" s="1">
        <v>7370.1681000000008</v>
      </c>
      <c r="Q179" s="1">
        <v>3468.3143999999988</v>
      </c>
      <c r="R179" s="1">
        <v>32</v>
      </c>
      <c r="S179" s="1" t="s">
        <v>93</v>
      </c>
    </row>
    <row r="180" spans="1:19" x14ac:dyDescent="0.35">
      <c r="A180" s="1" t="s">
        <v>397</v>
      </c>
      <c r="B180" s="3">
        <v>45902</v>
      </c>
      <c r="C180" s="1" t="s">
        <v>50</v>
      </c>
      <c r="D180" s="1">
        <v>9</v>
      </c>
      <c r="E180" s="1" t="s">
        <v>309</v>
      </c>
      <c r="F180" s="1" t="s">
        <v>37</v>
      </c>
      <c r="G180" s="1" t="s">
        <v>64</v>
      </c>
      <c r="H180" s="1" t="s">
        <v>53</v>
      </c>
      <c r="I180" s="1" t="s">
        <v>54</v>
      </c>
      <c r="J180" s="1">
        <v>5</v>
      </c>
      <c r="K180" s="1">
        <v>347.94</v>
      </c>
      <c r="L180" s="1">
        <v>0.15</v>
      </c>
      <c r="M180" s="1">
        <v>1739.7</v>
      </c>
      <c r="N180" s="1">
        <v>260.95499999999998</v>
      </c>
      <c r="O180" s="1">
        <v>1478.7449999999999</v>
      </c>
      <c r="P180" s="1">
        <v>857.6721</v>
      </c>
      <c r="Q180" s="1">
        <v>621.07290000000012</v>
      </c>
      <c r="R180" s="1">
        <v>42.000000000000007</v>
      </c>
      <c r="S180" s="1" t="s">
        <v>26</v>
      </c>
    </row>
    <row r="181" spans="1:19" x14ac:dyDescent="0.35">
      <c r="A181" s="1" t="s">
        <v>398</v>
      </c>
      <c r="B181" s="3">
        <v>45956</v>
      </c>
      <c r="C181" s="1" t="s">
        <v>35</v>
      </c>
      <c r="D181" s="1">
        <v>10</v>
      </c>
      <c r="E181" s="1" t="s">
        <v>399</v>
      </c>
      <c r="F181" s="1" t="s">
        <v>30</v>
      </c>
      <c r="G181" s="1" t="s">
        <v>38</v>
      </c>
      <c r="H181" s="1" t="s">
        <v>77</v>
      </c>
      <c r="I181" s="1" t="s">
        <v>90</v>
      </c>
      <c r="J181" s="1">
        <v>2</v>
      </c>
      <c r="K181" s="1">
        <v>421.6</v>
      </c>
      <c r="L181" s="1">
        <v>0.3</v>
      </c>
      <c r="M181" s="1">
        <v>843.2</v>
      </c>
      <c r="N181" s="1">
        <v>252.96</v>
      </c>
      <c r="O181" s="1">
        <v>590.24</v>
      </c>
      <c r="P181" s="1">
        <v>424.97280000000001</v>
      </c>
      <c r="Q181" s="1">
        <v>165.2672</v>
      </c>
      <c r="R181" s="1">
        <v>28</v>
      </c>
      <c r="S181" s="1" t="s">
        <v>73</v>
      </c>
    </row>
    <row r="182" spans="1:19" x14ac:dyDescent="0.35">
      <c r="A182" s="1" t="s">
        <v>400</v>
      </c>
      <c r="B182" s="3">
        <v>45951</v>
      </c>
      <c r="C182" s="1" t="s">
        <v>35</v>
      </c>
      <c r="D182" s="1">
        <v>10</v>
      </c>
      <c r="E182" s="1" t="s">
        <v>89</v>
      </c>
      <c r="F182" s="1" t="s">
        <v>22</v>
      </c>
      <c r="G182" s="1" t="s">
        <v>23</v>
      </c>
      <c r="H182" s="1" t="s">
        <v>24</v>
      </c>
      <c r="I182" s="1" t="s">
        <v>139</v>
      </c>
      <c r="J182" s="1">
        <v>7</v>
      </c>
      <c r="K182" s="1">
        <v>664.85</v>
      </c>
      <c r="L182" s="1">
        <v>0.1</v>
      </c>
      <c r="M182" s="1">
        <v>4653.95</v>
      </c>
      <c r="N182" s="1">
        <v>465.39499999999998</v>
      </c>
      <c r="O182" s="1">
        <v>4188.5550000000003</v>
      </c>
      <c r="P182" s="1">
        <v>2303.70525</v>
      </c>
      <c r="Q182" s="1">
        <v>1884.8497500000001</v>
      </c>
      <c r="R182" s="1">
        <v>44.999999999999993</v>
      </c>
      <c r="S182" s="1" t="s">
        <v>60</v>
      </c>
    </row>
    <row r="183" spans="1:19" x14ac:dyDescent="0.35">
      <c r="A183" s="1" t="s">
        <v>401</v>
      </c>
      <c r="B183" s="3">
        <v>45921</v>
      </c>
      <c r="C183" s="1" t="s">
        <v>50</v>
      </c>
      <c r="D183" s="1">
        <v>9</v>
      </c>
      <c r="E183" s="1" t="s">
        <v>402</v>
      </c>
      <c r="F183" s="1" t="s">
        <v>76</v>
      </c>
      <c r="G183" s="1" t="s">
        <v>38</v>
      </c>
      <c r="H183" s="1" t="s">
        <v>31</v>
      </c>
      <c r="I183" s="1" t="s">
        <v>32</v>
      </c>
      <c r="J183" s="1">
        <v>6</v>
      </c>
      <c r="K183" s="1">
        <v>3064.87</v>
      </c>
      <c r="L183" s="1">
        <v>0.05</v>
      </c>
      <c r="M183" s="1">
        <v>18389.22</v>
      </c>
      <c r="N183" s="1">
        <v>919.46100000000013</v>
      </c>
      <c r="O183" s="1">
        <v>17469.758999999998</v>
      </c>
      <c r="P183" s="1">
        <v>9084.2746800000004</v>
      </c>
      <c r="Q183" s="1">
        <v>8385.4843200000014</v>
      </c>
      <c r="R183" s="1">
        <v>48.000000000000007</v>
      </c>
      <c r="S183" s="1" t="s">
        <v>26</v>
      </c>
    </row>
    <row r="184" spans="1:19" x14ac:dyDescent="0.35">
      <c r="A184" s="1" t="s">
        <v>403</v>
      </c>
      <c r="B184" s="3">
        <v>45771</v>
      </c>
      <c r="C184" s="1" t="s">
        <v>20</v>
      </c>
      <c r="D184" s="1">
        <v>4</v>
      </c>
      <c r="E184" s="1" t="s">
        <v>297</v>
      </c>
      <c r="F184" s="1" t="s">
        <v>30</v>
      </c>
      <c r="G184" s="1" t="s">
        <v>64</v>
      </c>
      <c r="H184" s="1" t="s">
        <v>99</v>
      </c>
      <c r="I184" s="1" t="s">
        <v>108</v>
      </c>
      <c r="J184" s="1">
        <v>1</v>
      </c>
      <c r="K184" s="1">
        <v>21194.74</v>
      </c>
      <c r="L184" s="1">
        <v>0.2</v>
      </c>
      <c r="M184" s="1">
        <v>21194.74</v>
      </c>
      <c r="N184" s="1">
        <v>4238.9480000000003</v>
      </c>
      <c r="O184" s="1">
        <v>16955.792000000001</v>
      </c>
      <c r="P184" s="1">
        <v>11529.938560000001</v>
      </c>
      <c r="Q184" s="1">
        <v>5425.853439999999</v>
      </c>
      <c r="R184" s="1">
        <v>31.999999999999989</v>
      </c>
      <c r="S184" s="1" t="s">
        <v>60</v>
      </c>
    </row>
    <row r="185" spans="1:19" x14ac:dyDescent="0.35">
      <c r="A185" s="1" t="s">
        <v>404</v>
      </c>
      <c r="B185" s="3">
        <v>45658</v>
      </c>
      <c r="C185" s="1" t="s">
        <v>193</v>
      </c>
      <c r="D185" s="1">
        <v>1</v>
      </c>
      <c r="E185" s="1" t="s">
        <v>405</v>
      </c>
      <c r="F185" s="1" t="s">
        <v>43</v>
      </c>
      <c r="G185" s="1" t="s">
        <v>23</v>
      </c>
      <c r="H185" s="1" t="s">
        <v>53</v>
      </c>
      <c r="I185" s="1" t="s">
        <v>72</v>
      </c>
      <c r="J185" s="1">
        <v>7</v>
      </c>
      <c r="K185" s="1">
        <v>1681.33</v>
      </c>
      <c r="L185" s="1">
        <v>0.1</v>
      </c>
      <c r="M185" s="1">
        <v>11769.31</v>
      </c>
      <c r="N185" s="1">
        <v>1176.931</v>
      </c>
      <c r="O185" s="1">
        <v>10592.379000000001</v>
      </c>
      <c r="P185" s="1">
        <v>6143.579819999999</v>
      </c>
      <c r="Q185" s="1">
        <v>4448.79918</v>
      </c>
      <c r="R185" s="1">
        <v>42.000000000000007</v>
      </c>
      <c r="S185" s="1" t="s">
        <v>73</v>
      </c>
    </row>
    <row r="186" spans="1:19" x14ac:dyDescent="0.35">
      <c r="A186" s="1" t="s">
        <v>406</v>
      </c>
      <c r="B186" s="3">
        <v>45849</v>
      </c>
      <c r="C186" s="1" t="s">
        <v>62</v>
      </c>
      <c r="D186" s="1">
        <v>7</v>
      </c>
      <c r="E186" s="1" t="s">
        <v>407</v>
      </c>
      <c r="F186" s="1" t="s">
        <v>43</v>
      </c>
      <c r="G186" s="1" t="s">
        <v>64</v>
      </c>
      <c r="H186" s="1" t="s">
        <v>77</v>
      </c>
      <c r="I186" s="1" t="s">
        <v>78</v>
      </c>
      <c r="J186" s="1">
        <v>7</v>
      </c>
      <c r="K186" s="1">
        <v>1173.75</v>
      </c>
      <c r="L186" s="1">
        <v>0.1</v>
      </c>
      <c r="M186" s="1">
        <v>8216.25</v>
      </c>
      <c r="N186" s="1">
        <v>821.625</v>
      </c>
      <c r="O186" s="1">
        <v>7394.625</v>
      </c>
      <c r="P186" s="1">
        <v>5324.13</v>
      </c>
      <c r="Q186" s="1">
        <v>2070.4949999999999</v>
      </c>
      <c r="R186" s="1">
        <v>28</v>
      </c>
      <c r="S186" s="1" t="s">
        <v>60</v>
      </c>
    </row>
    <row r="187" spans="1:19" x14ac:dyDescent="0.35">
      <c r="A187" s="1" t="s">
        <v>408</v>
      </c>
      <c r="B187" s="3">
        <v>45981</v>
      </c>
      <c r="C187" s="1" t="s">
        <v>56</v>
      </c>
      <c r="D187" s="1">
        <v>11</v>
      </c>
      <c r="E187" s="1" t="s">
        <v>409</v>
      </c>
      <c r="F187" s="1" t="s">
        <v>52</v>
      </c>
      <c r="G187" s="1" t="s">
        <v>23</v>
      </c>
      <c r="H187" s="1" t="s">
        <v>99</v>
      </c>
      <c r="I187" s="1" t="s">
        <v>145</v>
      </c>
      <c r="J187" s="1">
        <v>5</v>
      </c>
      <c r="K187" s="1">
        <v>19716.79</v>
      </c>
      <c r="L187" s="1">
        <v>0.25</v>
      </c>
      <c r="M187" s="1">
        <v>98583.950000000012</v>
      </c>
      <c r="N187" s="1">
        <v>24645.987499999999</v>
      </c>
      <c r="O187" s="1">
        <v>73937.962500000009</v>
      </c>
      <c r="P187" s="1">
        <v>50277.814500000008</v>
      </c>
      <c r="Q187" s="1">
        <v>23660.148000000001</v>
      </c>
      <c r="R187" s="1">
        <v>32</v>
      </c>
      <c r="S187" s="1" t="s">
        <v>93</v>
      </c>
    </row>
    <row r="188" spans="1:19" x14ac:dyDescent="0.35">
      <c r="A188" s="1" t="s">
        <v>410</v>
      </c>
      <c r="B188" s="3">
        <v>45936</v>
      </c>
      <c r="C188" s="1" t="s">
        <v>35</v>
      </c>
      <c r="D188" s="1">
        <v>10</v>
      </c>
      <c r="E188" s="1" t="s">
        <v>312</v>
      </c>
      <c r="F188" s="1" t="s">
        <v>111</v>
      </c>
      <c r="G188" s="1" t="s">
        <v>38</v>
      </c>
      <c r="H188" s="1" t="s">
        <v>53</v>
      </c>
      <c r="I188" s="1" t="s">
        <v>185</v>
      </c>
      <c r="J188" s="1">
        <v>5</v>
      </c>
      <c r="K188" s="1">
        <v>2062.8000000000002</v>
      </c>
      <c r="L188" s="1">
        <v>0.05</v>
      </c>
      <c r="M188" s="1">
        <v>10314</v>
      </c>
      <c r="N188" s="1">
        <v>515.70000000000005</v>
      </c>
      <c r="O188" s="1">
        <v>9798.2999999999993</v>
      </c>
      <c r="P188" s="1">
        <v>5683.0139999999992</v>
      </c>
      <c r="Q188" s="1">
        <v>4115.2860000000001</v>
      </c>
      <c r="R188" s="1">
        <v>42.000000000000007</v>
      </c>
      <c r="S188" s="1" t="s">
        <v>33</v>
      </c>
    </row>
    <row r="189" spans="1:19" x14ac:dyDescent="0.35">
      <c r="A189" s="1" t="s">
        <v>411</v>
      </c>
      <c r="B189" s="3">
        <v>45856</v>
      </c>
      <c r="C189" s="1" t="s">
        <v>62</v>
      </c>
      <c r="D189" s="1">
        <v>7</v>
      </c>
      <c r="E189" s="1" t="s">
        <v>412</v>
      </c>
      <c r="F189" s="1" t="s">
        <v>76</v>
      </c>
      <c r="G189" s="1" t="s">
        <v>38</v>
      </c>
      <c r="H189" s="1" t="s">
        <v>31</v>
      </c>
      <c r="I189" s="1" t="s">
        <v>59</v>
      </c>
      <c r="J189" s="1">
        <v>3</v>
      </c>
      <c r="K189" s="1">
        <v>1482.24</v>
      </c>
      <c r="L189" s="1">
        <v>0.1</v>
      </c>
      <c r="M189" s="1">
        <v>4446.72</v>
      </c>
      <c r="N189" s="1">
        <v>444.67200000000003</v>
      </c>
      <c r="O189" s="1">
        <v>4002.0479999999998</v>
      </c>
      <c r="P189" s="1">
        <v>2081.0649600000002</v>
      </c>
      <c r="Q189" s="1">
        <v>1920.9830400000001</v>
      </c>
      <c r="R189" s="1">
        <v>48</v>
      </c>
      <c r="S189" s="1" t="s">
        <v>73</v>
      </c>
    </row>
    <row r="190" spans="1:19" x14ac:dyDescent="0.35">
      <c r="A190" s="1" t="s">
        <v>413</v>
      </c>
      <c r="B190" s="3">
        <v>45924</v>
      </c>
      <c r="C190" s="1" t="s">
        <v>50</v>
      </c>
      <c r="D190" s="1">
        <v>9</v>
      </c>
      <c r="E190" s="1" t="s">
        <v>414</v>
      </c>
      <c r="F190" s="1" t="s">
        <v>69</v>
      </c>
      <c r="G190" s="1" t="s">
        <v>64</v>
      </c>
      <c r="H190" s="1" t="s">
        <v>53</v>
      </c>
      <c r="I190" s="1" t="s">
        <v>54</v>
      </c>
      <c r="J190" s="1">
        <v>6</v>
      </c>
      <c r="K190" s="1">
        <v>1642.18</v>
      </c>
      <c r="L190" s="1">
        <v>0.2</v>
      </c>
      <c r="M190" s="1">
        <v>9853.08</v>
      </c>
      <c r="N190" s="1">
        <v>1970.616</v>
      </c>
      <c r="O190" s="1">
        <v>7882.4639999999999</v>
      </c>
      <c r="P190" s="1">
        <v>4571.8291199999994</v>
      </c>
      <c r="Q190" s="1">
        <v>3310.634880000001</v>
      </c>
      <c r="R190" s="1">
        <v>42.000000000000007</v>
      </c>
      <c r="S190" s="1" t="s">
        <v>73</v>
      </c>
    </row>
    <row r="191" spans="1:19" x14ac:dyDescent="0.35">
      <c r="A191" s="1" t="s">
        <v>415</v>
      </c>
      <c r="B191" s="3">
        <v>45774</v>
      </c>
      <c r="C191" s="1" t="s">
        <v>20</v>
      </c>
      <c r="D191" s="1">
        <v>4</v>
      </c>
      <c r="E191" s="1" t="s">
        <v>380</v>
      </c>
      <c r="F191" s="1" t="s">
        <v>58</v>
      </c>
      <c r="G191" s="1" t="s">
        <v>38</v>
      </c>
      <c r="H191" s="1" t="s">
        <v>31</v>
      </c>
      <c r="I191" s="1" t="s">
        <v>190</v>
      </c>
      <c r="J191" s="1">
        <v>2</v>
      </c>
      <c r="K191" s="1">
        <v>559.42999999999995</v>
      </c>
      <c r="L191" s="1">
        <v>0.05</v>
      </c>
      <c r="M191" s="1">
        <v>1118.8599999999999</v>
      </c>
      <c r="N191" s="1">
        <v>55.942999999999998</v>
      </c>
      <c r="O191" s="1">
        <v>1062.9169999999999</v>
      </c>
      <c r="P191" s="1">
        <v>552.71683999999993</v>
      </c>
      <c r="Q191" s="1">
        <v>510.20015999999998</v>
      </c>
      <c r="R191" s="1">
        <v>48.000000000000007</v>
      </c>
      <c r="S191" s="1" t="s">
        <v>73</v>
      </c>
    </row>
    <row r="192" spans="1:19" x14ac:dyDescent="0.35">
      <c r="A192" s="1" t="s">
        <v>416</v>
      </c>
      <c r="B192" s="3">
        <v>46021</v>
      </c>
      <c r="C192" s="1" t="s">
        <v>67</v>
      </c>
      <c r="D192" s="1">
        <v>12</v>
      </c>
      <c r="E192" s="1" t="s">
        <v>187</v>
      </c>
      <c r="F192" s="1" t="s">
        <v>43</v>
      </c>
      <c r="G192" s="1" t="s">
        <v>38</v>
      </c>
      <c r="H192" s="1" t="s">
        <v>53</v>
      </c>
      <c r="I192" s="1" t="s">
        <v>128</v>
      </c>
      <c r="J192" s="1">
        <v>3</v>
      </c>
      <c r="K192" s="1">
        <v>143.76</v>
      </c>
      <c r="L192" s="1">
        <v>0.05</v>
      </c>
      <c r="M192" s="1">
        <v>431.28</v>
      </c>
      <c r="N192" s="1">
        <v>21.564</v>
      </c>
      <c r="O192" s="1">
        <v>409.71600000000001</v>
      </c>
      <c r="P192" s="1">
        <v>237.63527999999999</v>
      </c>
      <c r="Q192" s="1">
        <v>172.08072000000001</v>
      </c>
      <c r="R192" s="1">
        <v>42.000000000000007</v>
      </c>
      <c r="S192" s="1" t="s">
        <v>33</v>
      </c>
    </row>
    <row r="193" spans="1:19" x14ac:dyDescent="0.35">
      <c r="A193" s="1" t="s">
        <v>417</v>
      </c>
      <c r="B193" s="3">
        <v>45934</v>
      </c>
      <c r="C193" s="1" t="s">
        <v>35</v>
      </c>
      <c r="D193" s="1">
        <v>10</v>
      </c>
      <c r="E193" s="1" t="s">
        <v>418</v>
      </c>
      <c r="F193" s="1" t="s">
        <v>69</v>
      </c>
      <c r="G193" s="1" t="s">
        <v>23</v>
      </c>
      <c r="H193" s="1" t="s">
        <v>31</v>
      </c>
      <c r="I193" s="1" t="s">
        <v>59</v>
      </c>
      <c r="J193" s="1">
        <v>6</v>
      </c>
      <c r="K193" s="1">
        <v>842.04</v>
      </c>
      <c r="L193" s="1">
        <v>0.05</v>
      </c>
      <c r="M193" s="1">
        <v>5052.24</v>
      </c>
      <c r="N193" s="1">
        <v>252.61199999999999</v>
      </c>
      <c r="O193" s="1">
        <v>4799.6279999999997</v>
      </c>
      <c r="P193" s="1">
        <v>2495.80656</v>
      </c>
      <c r="Q193" s="1">
        <v>2303.8214400000002</v>
      </c>
      <c r="R193" s="1">
        <v>48</v>
      </c>
      <c r="S193" s="1" t="s">
        <v>73</v>
      </c>
    </row>
    <row r="194" spans="1:19" x14ac:dyDescent="0.35">
      <c r="A194" s="1" t="s">
        <v>419</v>
      </c>
      <c r="B194" s="3">
        <v>45659</v>
      </c>
      <c r="C194" s="1" t="s">
        <v>193</v>
      </c>
      <c r="D194" s="1">
        <v>1</v>
      </c>
      <c r="E194" s="1" t="s">
        <v>420</v>
      </c>
      <c r="F194" s="1" t="s">
        <v>37</v>
      </c>
      <c r="G194" s="1" t="s">
        <v>38</v>
      </c>
      <c r="H194" s="1" t="s">
        <v>39</v>
      </c>
      <c r="I194" s="1" t="s">
        <v>155</v>
      </c>
      <c r="J194" s="1">
        <v>5</v>
      </c>
      <c r="K194" s="1">
        <v>31572.3</v>
      </c>
      <c r="L194" s="1">
        <v>0.05</v>
      </c>
      <c r="M194" s="1">
        <v>157861.5</v>
      </c>
      <c r="N194" s="1">
        <v>7893.0750000000007</v>
      </c>
      <c r="O194" s="1">
        <v>149968.42499999999</v>
      </c>
      <c r="P194" s="1">
        <v>116975.37149999999</v>
      </c>
      <c r="Q194" s="1">
        <v>32993.053499999987</v>
      </c>
      <c r="R194" s="1">
        <v>22</v>
      </c>
      <c r="S194" s="1" t="s">
        <v>60</v>
      </c>
    </row>
    <row r="195" spans="1:19" x14ac:dyDescent="0.35">
      <c r="A195" s="1" t="s">
        <v>421</v>
      </c>
      <c r="B195" s="3">
        <v>45955</v>
      </c>
      <c r="C195" s="1" t="s">
        <v>35</v>
      </c>
      <c r="D195" s="1">
        <v>10</v>
      </c>
      <c r="E195" s="1" t="s">
        <v>422</v>
      </c>
      <c r="F195" s="1" t="s">
        <v>30</v>
      </c>
      <c r="G195" s="1" t="s">
        <v>64</v>
      </c>
      <c r="H195" s="1" t="s">
        <v>24</v>
      </c>
      <c r="I195" s="1" t="s">
        <v>44</v>
      </c>
      <c r="J195" s="1">
        <v>4</v>
      </c>
      <c r="K195" s="1">
        <v>3159.5</v>
      </c>
      <c r="L195" s="1">
        <v>0.2</v>
      </c>
      <c r="M195" s="1">
        <v>12638</v>
      </c>
      <c r="N195" s="1">
        <v>2527.6</v>
      </c>
      <c r="O195" s="1">
        <v>10110.4</v>
      </c>
      <c r="P195" s="1">
        <v>5560.72</v>
      </c>
      <c r="Q195" s="1">
        <v>4549.6799999999994</v>
      </c>
      <c r="R195" s="1">
        <v>44.999999999999993</v>
      </c>
      <c r="S195" s="1" t="s">
        <v>26</v>
      </c>
    </row>
    <row r="196" spans="1:19" x14ac:dyDescent="0.35">
      <c r="A196" s="1" t="s">
        <v>423</v>
      </c>
      <c r="B196" s="3">
        <v>45798</v>
      </c>
      <c r="C196" s="1" t="s">
        <v>97</v>
      </c>
      <c r="D196" s="1">
        <v>5</v>
      </c>
      <c r="E196" s="1" t="s">
        <v>424</v>
      </c>
      <c r="F196" s="1" t="s">
        <v>43</v>
      </c>
      <c r="G196" s="1" t="s">
        <v>38</v>
      </c>
      <c r="H196" s="1" t="s">
        <v>77</v>
      </c>
      <c r="I196" s="1" t="s">
        <v>201</v>
      </c>
      <c r="J196" s="1">
        <v>6</v>
      </c>
      <c r="K196" s="1">
        <v>642.45000000000005</v>
      </c>
      <c r="L196" s="1">
        <v>0.15</v>
      </c>
      <c r="M196" s="1">
        <v>3854.7</v>
      </c>
      <c r="N196" s="1">
        <v>578.20500000000004</v>
      </c>
      <c r="O196" s="1">
        <v>3276.4949999999999</v>
      </c>
      <c r="P196" s="1">
        <v>2359.0763999999999</v>
      </c>
      <c r="Q196" s="1">
        <v>917.41859999999997</v>
      </c>
      <c r="R196" s="1">
        <v>28</v>
      </c>
      <c r="S196" s="1" t="s">
        <v>73</v>
      </c>
    </row>
    <row r="197" spans="1:19" x14ac:dyDescent="0.35">
      <c r="A197" s="1" t="s">
        <v>425</v>
      </c>
      <c r="B197" s="3">
        <v>45778</v>
      </c>
      <c r="C197" s="1" t="s">
        <v>97</v>
      </c>
      <c r="D197" s="1">
        <v>5</v>
      </c>
      <c r="E197" s="1" t="s">
        <v>274</v>
      </c>
      <c r="F197" s="1" t="s">
        <v>111</v>
      </c>
      <c r="G197" s="1" t="s">
        <v>23</v>
      </c>
      <c r="H197" s="1" t="s">
        <v>31</v>
      </c>
      <c r="I197" s="1" t="s">
        <v>190</v>
      </c>
      <c r="J197" s="1">
        <v>2</v>
      </c>
      <c r="K197" s="1">
        <v>3170.08</v>
      </c>
      <c r="L197" s="1">
        <v>0.1</v>
      </c>
      <c r="M197" s="1">
        <v>6340.16</v>
      </c>
      <c r="N197" s="1">
        <v>634.01600000000008</v>
      </c>
      <c r="O197" s="1">
        <v>5706.1440000000002</v>
      </c>
      <c r="P197" s="1">
        <v>2967.19488</v>
      </c>
      <c r="Q197" s="1">
        <v>2738.9491200000002</v>
      </c>
      <c r="R197" s="1">
        <v>48.000000000000007</v>
      </c>
      <c r="S197" s="1" t="s">
        <v>33</v>
      </c>
    </row>
    <row r="198" spans="1:19" x14ac:dyDescent="0.35">
      <c r="A198" s="1" t="s">
        <v>426</v>
      </c>
      <c r="B198" s="3">
        <v>45717</v>
      </c>
      <c r="C198" s="1" t="s">
        <v>28</v>
      </c>
      <c r="D198" s="1">
        <v>3</v>
      </c>
      <c r="E198" s="1" t="s">
        <v>184</v>
      </c>
      <c r="F198" s="1" t="s">
        <v>111</v>
      </c>
      <c r="G198" s="1" t="s">
        <v>38</v>
      </c>
      <c r="H198" s="1" t="s">
        <v>99</v>
      </c>
      <c r="I198" s="1" t="s">
        <v>223</v>
      </c>
      <c r="J198" s="1">
        <v>1</v>
      </c>
      <c r="K198" s="1">
        <v>4649.54</v>
      </c>
      <c r="L198" s="1">
        <v>0.15</v>
      </c>
      <c r="M198" s="1">
        <v>4649.54</v>
      </c>
      <c r="N198" s="1">
        <v>697.43099999999993</v>
      </c>
      <c r="O198" s="1">
        <v>3952.1089999999999</v>
      </c>
      <c r="P198" s="1">
        <v>2687.4341199999999</v>
      </c>
      <c r="Q198" s="1">
        <v>1264.67488</v>
      </c>
      <c r="R198" s="1">
        <v>31.999999999999989</v>
      </c>
      <c r="S198" s="1" t="s">
        <v>26</v>
      </c>
    </row>
    <row r="199" spans="1:19" x14ac:dyDescent="0.35">
      <c r="A199" s="1" t="s">
        <v>427</v>
      </c>
      <c r="B199" s="3">
        <v>45765</v>
      </c>
      <c r="C199" s="1" t="s">
        <v>20</v>
      </c>
      <c r="D199" s="1">
        <v>4</v>
      </c>
      <c r="E199" s="1" t="s">
        <v>380</v>
      </c>
      <c r="F199" s="1" t="s">
        <v>69</v>
      </c>
      <c r="G199" s="1" t="s">
        <v>38</v>
      </c>
      <c r="H199" s="1" t="s">
        <v>99</v>
      </c>
      <c r="I199" s="1" t="s">
        <v>100</v>
      </c>
      <c r="J199" s="1">
        <v>1</v>
      </c>
      <c r="K199" s="1">
        <v>7376.65</v>
      </c>
      <c r="L199" s="1">
        <v>0</v>
      </c>
      <c r="M199" s="1">
        <v>7376.65</v>
      </c>
      <c r="N199" s="1">
        <v>0</v>
      </c>
      <c r="O199" s="1">
        <v>7376.65</v>
      </c>
      <c r="P199" s="1">
        <v>5016.1220000000003</v>
      </c>
      <c r="Q199" s="1">
        <v>2360.5279999999989</v>
      </c>
      <c r="R199" s="1">
        <v>32</v>
      </c>
      <c r="S199" s="1" t="s">
        <v>73</v>
      </c>
    </row>
    <row r="200" spans="1:19" x14ac:dyDescent="0.35">
      <c r="A200" s="1" t="s">
        <v>428</v>
      </c>
      <c r="B200" s="3">
        <v>45735</v>
      </c>
      <c r="C200" s="1" t="s">
        <v>28</v>
      </c>
      <c r="D200" s="1">
        <v>3</v>
      </c>
      <c r="E200" s="1" t="s">
        <v>285</v>
      </c>
      <c r="F200" s="1" t="s">
        <v>22</v>
      </c>
      <c r="G200" s="1" t="s">
        <v>64</v>
      </c>
      <c r="H200" s="1" t="s">
        <v>31</v>
      </c>
      <c r="I200" s="1" t="s">
        <v>32</v>
      </c>
      <c r="J200" s="1">
        <v>5</v>
      </c>
      <c r="K200" s="1">
        <v>392.9</v>
      </c>
      <c r="L200" s="1">
        <v>0.05</v>
      </c>
      <c r="M200" s="1">
        <v>1964.5</v>
      </c>
      <c r="N200" s="1">
        <v>98.225000000000009</v>
      </c>
      <c r="O200" s="1">
        <v>1866.2750000000001</v>
      </c>
      <c r="P200" s="1">
        <v>970.46300000000008</v>
      </c>
      <c r="Q200" s="1">
        <v>895.81200000000001</v>
      </c>
      <c r="R200" s="1">
        <v>48</v>
      </c>
      <c r="S200" s="1" t="s">
        <v>26</v>
      </c>
    </row>
    <row r="201" spans="1:19" x14ac:dyDescent="0.35">
      <c r="A201" s="1" t="s">
        <v>429</v>
      </c>
      <c r="B201" s="3">
        <v>45699</v>
      </c>
      <c r="C201" s="1" t="s">
        <v>42</v>
      </c>
      <c r="D201" s="1">
        <v>2</v>
      </c>
      <c r="E201" s="1" t="s">
        <v>291</v>
      </c>
      <c r="F201" s="1" t="s">
        <v>69</v>
      </c>
      <c r="G201" s="1" t="s">
        <v>23</v>
      </c>
      <c r="H201" s="1" t="s">
        <v>77</v>
      </c>
      <c r="I201" s="1" t="s">
        <v>201</v>
      </c>
      <c r="J201" s="1">
        <v>5</v>
      </c>
      <c r="K201" s="1">
        <v>875.24</v>
      </c>
      <c r="L201" s="1">
        <v>0.15</v>
      </c>
      <c r="M201" s="1">
        <v>4376.2</v>
      </c>
      <c r="N201" s="1">
        <v>656.43</v>
      </c>
      <c r="O201" s="1">
        <v>3719.77</v>
      </c>
      <c r="P201" s="1">
        <v>2678.2343999999998</v>
      </c>
      <c r="Q201" s="1">
        <v>1041.5355999999999</v>
      </c>
      <c r="R201" s="1">
        <v>28</v>
      </c>
      <c r="S201" s="1" t="s">
        <v>93</v>
      </c>
    </row>
    <row r="202" spans="1:19" x14ac:dyDescent="0.35">
      <c r="A202" s="1" t="s">
        <v>430</v>
      </c>
      <c r="B202" s="3">
        <v>45693</v>
      </c>
      <c r="C202" s="1" t="s">
        <v>42</v>
      </c>
      <c r="D202" s="1">
        <v>2</v>
      </c>
      <c r="E202" s="1" t="s">
        <v>431</v>
      </c>
      <c r="F202" s="1" t="s">
        <v>43</v>
      </c>
      <c r="G202" s="1" t="s">
        <v>38</v>
      </c>
      <c r="H202" s="1" t="s">
        <v>31</v>
      </c>
      <c r="I202" s="1" t="s">
        <v>59</v>
      </c>
      <c r="J202" s="1">
        <v>1</v>
      </c>
      <c r="K202" s="1">
        <v>2165.98</v>
      </c>
      <c r="L202" s="1">
        <v>0.1</v>
      </c>
      <c r="M202" s="1">
        <v>2165.98</v>
      </c>
      <c r="N202" s="1">
        <v>216.59800000000001</v>
      </c>
      <c r="O202" s="1">
        <v>1949.3820000000001</v>
      </c>
      <c r="P202" s="1">
        <v>1013.67864</v>
      </c>
      <c r="Q202" s="1">
        <v>935.70335999999998</v>
      </c>
      <c r="R202" s="1">
        <v>48</v>
      </c>
      <c r="S202" s="1" t="s">
        <v>93</v>
      </c>
    </row>
    <row r="203" spans="1:19" x14ac:dyDescent="0.35">
      <c r="A203" s="1" t="s">
        <v>432</v>
      </c>
      <c r="B203" s="3">
        <v>45706</v>
      </c>
      <c r="C203" s="1" t="s">
        <v>42</v>
      </c>
      <c r="D203" s="1">
        <v>2</v>
      </c>
      <c r="E203" s="1" t="s">
        <v>433</v>
      </c>
      <c r="F203" s="1" t="s">
        <v>111</v>
      </c>
      <c r="G203" s="1" t="s">
        <v>23</v>
      </c>
      <c r="H203" s="1" t="s">
        <v>24</v>
      </c>
      <c r="I203" s="1" t="s">
        <v>44</v>
      </c>
      <c r="J203" s="1">
        <v>2</v>
      </c>
      <c r="K203" s="1">
        <v>4182.8100000000004</v>
      </c>
      <c r="L203" s="1">
        <v>0</v>
      </c>
      <c r="M203" s="1">
        <v>8365.6200000000008</v>
      </c>
      <c r="N203" s="1">
        <v>0</v>
      </c>
      <c r="O203" s="1">
        <v>8365.6200000000008</v>
      </c>
      <c r="P203" s="1">
        <v>4601.0910000000013</v>
      </c>
      <c r="Q203" s="1">
        <v>3764.529</v>
      </c>
      <c r="R203" s="1">
        <v>44.999999999999993</v>
      </c>
      <c r="S203" s="1" t="s">
        <v>26</v>
      </c>
    </row>
    <row r="204" spans="1:19" x14ac:dyDescent="0.35">
      <c r="A204" s="1" t="s">
        <v>434</v>
      </c>
      <c r="B204" s="3">
        <v>45957</v>
      </c>
      <c r="C204" s="1" t="s">
        <v>35</v>
      </c>
      <c r="D204" s="1">
        <v>10</v>
      </c>
      <c r="E204" s="1" t="s">
        <v>435</v>
      </c>
      <c r="F204" s="1" t="s">
        <v>47</v>
      </c>
      <c r="G204" s="1" t="s">
        <v>23</v>
      </c>
      <c r="H204" s="1" t="s">
        <v>31</v>
      </c>
      <c r="I204" s="1" t="s">
        <v>167</v>
      </c>
      <c r="J204" s="1">
        <v>2</v>
      </c>
      <c r="K204" s="1">
        <v>1298.9100000000001</v>
      </c>
      <c r="L204" s="1">
        <v>0.15</v>
      </c>
      <c r="M204" s="1">
        <v>2597.8200000000002</v>
      </c>
      <c r="N204" s="1">
        <v>389.673</v>
      </c>
      <c r="O204" s="1">
        <v>2208.1469999999999</v>
      </c>
      <c r="P204" s="1">
        <v>1148.2364399999999</v>
      </c>
      <c r="Q204" s="1">
        <v>1059.91056</v>
      </c>
      <c r="R204" s="1">
        <v>48.000000000000007</v>
      </c>
      <c r="S204" s="1" t="s">
        <v>26</v>
      </c>
    </row>
    <row r="205" spans="1:19" x14ac:dyDescent="0.35">
      <c r="A205" s="1" t="s">
        <v>436</v>
      </c>
      <c r="B205" s="3">
        <v>46011</v>
      </c>
      <c r="C205" s="1" t="s">
        <v>67</v>
      </c>
      <c r="D205" s="1">
        <v>12</v>
      </c>
      <c r="E205" s="1" t="s">
        <v>136</v>
      </c>
      <c r="F205" s="1" t="s">
        <v>111</v>
      </c>
      <c r="G205" s="1" t="s">
        <v>64</v>
      </c>
      <c r="H205" s="1" t="s">
        <v>77</v>
      </c>
      <c r="I205" s="1" t="s">
        <v>78</v>
      </c>
      <c r="J205" s="1">
        <v>4</v>
      </c>
      <c r="K205" s="1">
        <v>119.16</v>
      </c>
      <c r="L205" s="1">
        <v>0.15</v>
      </c>
      <c r="M205" s="1">
        <v>476.64</v>
      </c>
      <c r="N205" s="1">
        <v>71.495999999999995</v>
      </c>
      <c r="O205" s="1">
        <v>405.14400000000001</v>
      </c>
      <c r="P205" s="1">
        <v>291.70368000000002</v>
      </c>
      <c r="Q205" s="1">
        <v>113.44032</v>
      </c>
      <c r="R205" s="1">
        <v>28</v>
      </c>
      <c r="S205" s="1" t="s">
        <v>60</v>
      </c>
    </row>
    <row r="206" spans="1:19" x14ac:dyDescent="0.35">
      <c r="A206" s="1" t="s">
        <v>437</v>
      </c>
      <c r="B206" s="3">
        <v>45968</v>
      </c>
      <c r="C206" s="1" t="s">
        <v>56</v>
      </c>
      <c r="D206" s="1">
        <v>11</v>
      </c>
      <c r="E206" s="1" t="s">
        <v>309</v>
      </c>
      <c r="F206" s="1" t="s">
        <v>76</v>
      </c>
      <c r="G206" s="1" t="s">
        <v>38</v>
      </c>
      <c r="H206" s="1" t="s">
        <v>99</v>
      </c>
      <c r="I206" s="1" t="s">
        <v>120</v>
      </c>
      <c r="J206" s="1">
        <v>6</v>
      </c>
      <c r="K206" s="1">
        <v>12010.51</v>
      </c>
      <c r="L206" s="1">
        <v>0.2</v>
      </c>
      <c r="M206" s="1">
        <v>72063.06</v>
      </c>
      <c r="N206" s="1">
        <v>14412.611999999999</v>
      </c>
      <c r="O206" s="1">
        <v>57650.447999999997</v>
      </c>
      <c r="P206" s="1">
        <v>39202.304640000002</v>
      </c>
      <c r="Q206" s="1">
        <v>18448.143359999991</v>
      </c>
      <c r="R206" s="1">
        <v>32</v>
      </c>
      <c r="S206" s="1" t="s">
        <v>33</v>
      </c>
    </row>
    <row r="207" spans="1:19" x14ac:dyDescent="0.35">
      <c r="A207" s="1" t="s">
        <v>438</v>
      </c>
      <c r="B207" s="3">
        <v>45772</v>
      </c>
      <c r="C207" s="1" t="s">
        <v>20</v>
      </c>
      <c r="D207" s="1">
        <v>4</v>
      </c>
      <c r="E207" s="1" t="s">
        <v>439</v>
      </c>
      <c r="F207" s="1" t="s">
        <v>111</v>
      </c>
      <c r="G207" s="1" t="s">
        <v>23</v>
      </c>
      <c r="H207" s="1" t="s">
        <v>77</v>
      </c>
      <c r="I207" s="1" t="s">
        <v>201</v>
      </c>
      <c r="J207" s="1">
        <v>5</v>
      </c>
      <c r="K207" s="1">
        <v>897.76</v>
      </c>
      <c r="L207" s="1">
        <v>0.2</v>
      </c>
      <c r="M207" s="1">
        <v>4488.8</v>
      </c>
      <c r="N207" s="1">
        <v>897.7600000000001</v>
      </c>
      <c r="O207" s="1">
        <v>3591.04</v>
      </c>
      <c r="P207" s="1">
        <v>2585.5488</v>
      </c>
      <c r="Q207" s="1">
        <v>1005.4912</v>
      </c>
      <c r="R207" s="1">
        <v>28</v>
      </c>
      <c r="S207" s="1" t="s">
        <v>60</v>
      </c>
    </row>
    <row r="208" spans="1:19" x14ac:dyDescent="0.35">
      <c r="A208" s="1" t="s">
        <v>440</v>
      </c>
      <c r="B208" s="3">
        <v>45929</v>
      </c>
      <c r="C208" s="1" t="s">
        <v>50</v>
      </c>
      <c r="D208" s="1">
        <v>9</v>
      </c>
      <c r="E208" s="1" t="s">
        <v>441</v>
      </c>
      <c r="F208" s="1" t="s">
        <v>76</v>
      </c>
      <c r="G208" s="1" t="s">
        <v>38</v>
      </c>
      <c r="H208" s="1" t="s">
        <v>24</v>
      </c>
      <c r="I208" s="1" t="s">
        <v>44</v>
      </c>
      <c r="J208" s="1">
        <v>6</v>
      </c>
      <c r="K208" s="1">
        <v>1376.17</v>
      </c>
      <c r="L208" s="1">
        <v>0</v>
      </c>
      <c r="M208" s="1">
        <v>8257.02</v>
      </c>
      <c r="N208" s="1">
        <v>0</v>
      </c>
      <c r="O208" s="1">
        <v>8257.02</v>
      </c>
      <c r="P208" s="1">
        <v>4541.3610000000008</v>
      </c>
      <c r="Q208" s="1">
        <v>3715.6590000000001</v>
      </c>
      <c r="R208" s="1">
        <v>44.999999999999993</v>
      </c>
      <c r="S208" s="1" t="s">
        <v>93</v>
      </c>
    </row>
    <row r="209" spans="1:19" x14ac:dyDescent="0.35">
      <c r="A209" s="1" t="s">
        <v>442</v>
      </c>
      <c r="B209" s="3">
        <v>45723</v>
      </c>
      <c r="C209" s="1" t="s">
        <v>28</v>
      </c>
      <c r="D209" s="1">
        <v>3</v>
      </c>
      <c r="E209" s="1" t="s">
        <v>443</v>
      </c>
      <c r="F209" s="1" t="s">
        <v>22</v>
      </c>
      <c r="G209" s="1" t="s">
        <v>23</v>
      </c>
      <c r="H209" s="1" t="s">
        <v>39</v>
      </c>
      <c r="I209" s="1" t="s">
        <v>234</v>
      </c>
      <c r="J209" s="1">
        <v>5</v>
      </c>
      <c r="K209" s="1">
        <v>27740.34</v>
      </c>
      <c r="L209" s="1">
        <v>0.05</v>
      </c>
      <c r="M209" s="1">
        <v>138701.70000000001</v>
      </c>
      <c r="N209" s="1">
        <v>6935.0850000000009</v>
      </c>
      <c r="O209" s="1">
        <v>131766.61499999999</v>
      </c>
      <c r="P209" s="1">
        <v>102777.95970000001</v>
      </c>
      <c r="Q209" s="1">
        <v>28988.655299999999</v>
      </c>
      <c r="R209" s="1">
        <v>21.999999999999989</v>
      </c>
      <c r="S209" s="1" t="s">
        <v>73</v>
      </c>
    </row>
    <row r="210" spans="1:19" x14ac:dyDescent="0.35">
      <c r="A210" s="1" t="s">
        <v>444</v>
      </c>
      <c r="B210" s="3">
        <v>45968</v>
      </c>
      <c r="C210" s="1" t="s">
        <v>56</v>
      </c>
      <c r="D210" s="1">
        <v>11</v>
      </c>
      <c r="E210" s="1" t="s">
        <v>445</v>
      </c>
      <c r="F210" s="1" t="s">
        <v>58</v>
      </c>
      <c r="G210" s="1" t="s">
        <v>23</v>
      </c>
      <c r="H210" s="1" t="s">
        <v>77</v>
      </c>
      <c r="I210" s="1" t="s">
        <v>103</v>
      </c>
      <c r="J210" s="1">
        <v>3</v>
      </c>
      <c r="K210" s="1">
        <v>954.22</v>
      </c>
      <c r="L210" s="1">
        <v>0.15</v>
      </c>
      <c r="M210" s="1">
        <v>2862.66</v>
      </c>
      <c r="N210" s="1">
        <v>429.39899999999989</v>
      </c>
      <c r="O210" s="1">
        <v>2433.261</v>
      </c>
      <c r="P210" s="1">
        <v>1751.9479200000001</v>
      </c>
      <c r="Q210" s="1">
        <v>681.31308000000013</v>
      </c>
      <c r="R210" s="1">
        <v>28.000000000000011</v>
      </c>
      <c r="S210" s="1" t="s">
        <v>60</v>
      </c>
    </row>
    <row r="211" spans="1:19" x14ac:dyDescent="0.35">
      <c r="A211" s="1" t="s">
        <v>446</v>
      </c>
      <c r="B211" s="3">
        <v>45699</v>
      </c>
      <c r="C211" s="1" t="s">
        <v>42</v>
      </c>
      <c r="D211" s="1">
        <v>2</v>
      </c>
      <c r="E211" s="1" t="s">
        <v>278</v>
      </c>
      <c r="F211" s="1" t="s">
        <v>52</v>
      </c>
      <c r="G211" s="1" t="s">
        <v>38</v>
      </c>
      <c r="H211" s="1" t="s">
        <v>77</v>
      </c>
      <c r="I211" s="1" t="s">
        <v>103</v>
      </c>
      <c r="J211" s="1">
        <v>2</v>
      </c>
      <c r="K211" s="1">
        <v>772.14</v>
      </c>
      <c r="L211" s="1">
        <v>0.15</v>
      </c>
      <c r="M211" s="1">
        <v>1544.28</v>
      </c>
      <c r="N211" s="1">
        <v>231.642</v>
      </c>
      <c r="O211" s="1">
        <v>1312.6379999999999</v>
      </c>
      <c r="P211" s="1">
        <v>945.09935999999993</v>
      </c>
      <c r="Q211" s="1">
        <v>367.53863999999999</v>
      </c>
      <c r="R211" s="1">
        <v>28</v>
      </c>
      <c r="S211" s="1" t="s">
        <v>60</v>
      </c>
    </row>
    <row r="212" spans="1:19" x14ac:dyDescent="0.35">
      <c r="A212" s="1" t="s">
        <v>447</v>
      </c>
      <c r="B212" s="3">
        <v>45820</v>
      </c>
      <c r="C212" s="1" t="s">
        <v>82</v>
      </c>
      <c r="D212" s="1">
        <v>6</v>
      </c>
      <c r="E212" s="1" t="s">
        <v>448</v>
      </c>
      <c r="F212" s="1" t="s">
        <v>47</v>
      </c>
      <c r="G212" s="1" t="s">
        <v>23</v>
      </c>
      <c r="H212" s="1" t="s">
        <v>99</v>
      </c>
      <c r="I212" s="1" t="s">
        <v>223</v>
      </c>
      <c r="J212" s="1">
        <v>3</v>
      </c>
      <c r="K212" s="1">
        <v>18136.400000000001</v>
      </c>
      <c r="L212" s="1">
        <v>0.1</v>
      </c>
      <c r="M212" s="1">
        <v>54409.2</v>
      </c>
      <c r="N212" s="1">
        <v>5440.920000000001</v>
      </c>
      <c r="O212" s="1">
        <v>48968.280000000013</v>
      </c>
      <c r="P212" s="1">
        <v>33298.430399999997</v>
      </c>
      <c r="Q212" s="1">
        <v>15669.8496</v>
      </c>
      <c r="R212" s="1">
        <v>32</v>
      </c>
      <c r="S212" s="1" t="s">
        <v>73</v>
      </c>
    </row>
    <row r="213" spans="1:19" x14ac:dyDescent="0.35">
      <c r="A213" s="1" t="s">
        <v>449</v>
      </c>
      <c r="B213" s="3">
        <v>45938</v>
      </c>
      <c r="C213" s="1" t="s">
        <v>35</v>
      </c>
      <c r="D213" s="1">
        <v>10</v>
      </c>
      <c r="E213" s="1" t="s">
        <v>450</v>
      </c>
      <c r="F213" s="1" t="s">
        <v>52</v>
      </c>
      <c r="G213" s="1" t="s">
        <v>23</v>
      </c>
      <c r="H213" s="1" t="s">
        <v>31</v>
      </c>
      <c r="I213" s="1" t="s">
        <v>65</v>
      </c>
      <c r="J213" s="1">
        <v>6</v>
      </c>
      <c r="K213" s="1">
        <v>1235.3</v>
      </c>
      <c r="L213" s="1">
        <v>0.15</v>
      </c>
      <c r="M213" s="1">
        <v>7411.7999999999993</v>
      </c>
      <c r="N213" s="1">
        <v>1111.77</v>
      </c>
      <c r="O213" s="1">
        <v>6300.03</v>
      </c>
      <c r="P213" s="1">
        <v>3276.0156000000002</v>
      </c>
      <c r="Q213" s="1">
        <v>3024.0144</v>
      </c>
      <c r="R213" s="1">
        <v>47.999999999999993</v>
      </c>
      <c r="S213" s="1" t="s">
        <v>33</v>
      </c>
    </row>
    <row r="214" spans="1:19" x14ac:dyDescent="0.35">
      <c r="A214" s="1" t="s">
        <v>451</v>
      </c>
      <c r="B214" s="3">
        <v>45682</v>
      </c>
      <c r="C214" s="1" t="s">
        <v>193</v>
      </c>
      <c r="D214" s="1">
        <v>1</v>
      </c>
      <c r="E214" s="1" t="s">
        <v>175</v>
      </c>
      <c r="F214" s="1" t="s">
        <v>58</v>
      </c>
      <c r="G214" s="1" t="s">
        <v>64</v>
      </c>
      <c r="H214" s="1" t="s">
        <v>31</v>
      </c>
      <c r="I214" s="1" t="s">
        <v>59</v>
      </c>
      <c r="J214" s="1">
        <v>5</v>
      </c>
      <c r="K214" s="1">
        <v>601.80999999999995</v>
      </c>
      <c r="L214" s="1">
        <v>0.1</v>
      </c>
      <c r="M214" s="1">
        <v>3009.05</v>
      </c>
      <c r="N214" s="1">
        <v>300.90499999999997</v>
      </c>
      <c r="O214" s="1">
        <v>2708.145</v>
      </c>
      <c r="P214" s="1">
        <v>1408.2354</v>
      </c>
      <c r="Q214" s="1">
        <v>1299.9096</v>
      </c>
      <c r="R214" s="1">
        <v>48</v>
      </c>
      <c r="S214" s="1" t="s">
        <v>33</v>
      </c>
    </row>
    <row r="215" spans="1:19" x14ac:dyDescent="0.35">
      <c r="A215" s="1" t="s">
        <v>452</v>
      </c>
      <c r="B215" s="3">
        <v>45945</v>
      </c>
      <c r="C215" s="1" t="s">
        <v>35</v>
      </c>
      <c r="D215" s="1">
        <v>10</v>
      </c>
      <c r="E215" s="1" t="s">
        <v>433</v>
      </c>
      <c r="F215" s="1" t="s">
        <v>47</v>
      </c>
      <c r="G215" s="1" t="s">
        <v>38</v>
      </c>
      <c r="H215" s="1" t="s">
        <v>24</v>
      </c>
      <c r="I215" s="1" t="s">
        <v>25</v>
      </c>
      <c r="J215" s="1">
        <v>5</v>
      </c>
      <c r="K215" s="1">
        <v>5650.47</v>
      </c>
      <c r="L215" s="1">
        <v>0.25</v>
      </c>
      <c r="M215" s="1">
        <v>28252.35</v>
      </c>
      <c r="N215" s="1">
        <v>7063.0875000000005</v>
      </c>
      <c r="O215" s="1">
        <v>21189.262500000001</v>
      </c>
      <c r="P215" s="1">
        <v>11654.094375000001</v>
      </c>
      <c r="Q215" s="1">
        <v>9535.1681250000001</v>
      </c>
      <c r="R215" s="1">
        <v>45</v>
      </c>
      <c r="S215" s="1" t="s">
        <v>26</v>
      </c>
    </row>
    <row r="216" spans="1:19" x14ac:dyDescent="0.35">
      <c r="A216" s="1" t="s">
        <v>453</v>
      </c>
      <c r="B216" s="3">
        <v>45662</v>
      </c>
      <c r="C216" s="1" t="s">
        <v>193</v>
      </c>
      <c r="D216" s="1">
        <v>1</v>
      </c>
      <c r="E216" s="1" t="s">
        <v>454</v>
      </c>
      <c r="F216" s="1" t="s">
        <v>47</v>
      </c>
      <c r="G216" s="1" t="s">
        <v>64</v>
      </c>
      <c r="H216" s="1" t="s">
        <v>53</v>
      </c>
      <c r="I216" s="1" t="s">
        <v>185</v>
      </c>
      <c r="J216" s="1">
        <v>2</v>
      </c>
      <c r="K216" s="1">
        <v>1203.52</v>
      </c>
      <c r="L216" s="1">
        <v>0</v>
      </c>
      <c r="M216" s="1">
        <v>2407.04</v>
      </c>
      <c r="N216" s="1">
        <v>0</v>
      </c>
      <c r="O216" s="1">
        <v>2407.04</v>
      </c>
      <c r="P216" s="1">
        <v>1396.0832</v>
      </c>
      <c r="Q216" s="1">
        <v>1010.9568</v>
      </c>
      <c r="R216" s="1">
        <v>42.000000000000007</v>
      </c>
      <c r="S216" s="1" t="s">
        <v>26</v>
      </c>
    </row>
    <row r="217" spans="1:19" x14ac:dyDescent="0.35">
      <c r="A217" s="1" t="s">
        <v>455</v>
      </c>
      <c r="B217" s="3">
        <v>45756</v>
      </c>
      <c r="C217" s="1" t="s">
        <v>20</v>
      </c>
      <c r="D217" s="1">
        <v>4</v>
      </c>
      <c r="E217" s="1" t="s">
        <v>420</v>
      </c>
      <c r="F217" s="1" t="s">
        <v>76</v>
      </c>
      <c r="G217" s="1" t="s">
        <v>38</v>
      </c>
      <c r="H217" s="1" t="s">
        <v>31</v>
      </c>
      <c r="I217" s="1" t="s">
        <v>167</v>
      </c>
      <c r="J217" s="1">
        <v>1</v>
      </c>
      <c r="K217" s="1">
        <v>2782.9</v>
      </c>
      <c r="L217" s="1">
        <v>0.05</v>
      </c>
      <c r="M217" s="1">
        <v>2782.9</v>
      </c>
      <c r="N217" s="1">
        <v>139.14500000000001</v>
      </c>
      <c r="O217" s="1">
        <v>2643.7550000000001</v>
      </c>
      <c r="P217" s="1">
        <v>1374.7526</v>
      </c>
      <c r="Q217" s="1">
        <v>1269.0024000000001</v>
      </c>
      <c r="R217" s="1">
        <v>48.000000000000007</v>
      </c>
      <c r="S217" s="1" t="s">
        <v>93</v>
      </c>
    </row>
    <row r="218" spans="1:19" x14ac:dyDescent="0.35">
      <c r="A218" s="1" t="s">
        <v>456</v>
      </c>
      <c r="B218" s="3">
        <v>46016</v>
      </c>
      <c r="C218" s="1" t="s">
        <v>67</v>
      </c>
      <c r="D218" s="1">
        <v>12</v>
      </c>
      <c r="E218" s="1" t="s">
        <v>83</v>
      </c>
      <c r="F218" s="1" t="s">
        <v>47</v>
      </c>
      <c r="G218" s="1" t="s">
        <v>38</v>
      </c>
      <c r="H218" s="1" t="s">
        <v>24</v>
      </c>
      <c r="I218" s="1" t="s">
        <v>139</v>
      </c>
      <c r="J218" s="1">
        <v>4</v>
      </c>
      <c r="K218" s="1">
        <v>1455.64</v>
      </c>
      <c r="L218" s="1">
        <v>0.15</v>
      </c>
      <c r="M218" s="1">
        <v>5822.56</v>
      </c>
      <c r="N218" s="1">
        <v>873.38400000000001</v>
      </c>
      <c r="O218" s="1">
        <v>4949.1760000000004</v>
      </c>
      <c r="P218" s="1">
        <v>2722.046800000001</v>
      </c>
      <c r="Q218" s="1">
        <v>2227.1291999999999</v>
      </c>
      <c r="R218" s="1">
        <v>44.999999999999993</v>
      </c>
      <c r="S218" s="1" t="s">
        <v>33</v>
      </c>
    </row>
    <row r="219" spans="1:19" x14ac:dyDescent="0.35">
      <c r="A219" s="1" t="s">
        <v>457</v>
      </c>
      <c r="B219" s="3">
        <v>45848</v>
      </c>
      <c r="C219" s="1" t="s">
        <v>62</v>
      </c>
      <c r="D219" s="1">
        <v>7</v>
      </c>
      <c r="E219" s="1" t="s">
        <v>458</v>
      </c>
      <c r="F219" s="1" t="s">
        <v>22</v>
      </c>
      <c r="G219" s="1" t="s">
        <v>64</v>
      </c>
      <c r="H219" s="1" t="s">
        <v>77</v>
      </c>
      <c r="I219" s="1" t="s">
        <v>78</v>
      </c>
      <c r="J219" s="1">
        <v>5</v>
      </c>
      <c r="K219" s="1">
        <v>457.37</v>
      </c>
      <c r="L219" s="1">
        <v>0.1</v>
      </c>
      <c r="M219" s="1">
        <v>2286.85</v>
      </c>
      <c r="N219" s="1">
        <v>228.685</v>
      </c>
      <c r="O219" s="1">
        <v>2058.165</v>
      </c>
      <c r="P219" s="1">
        <v>1481.8788</v>
      </c>
      <c r="Q219" s="1">
        <v>576.28620000000001</v>
      </c>
      <c r="R219" s="1">
        <v>28</v>
      </c>
      <c r="S219" s="1" t="s">
        <v>93</v>
      </c>
    </row>
    <row r="220" spans="1:19" x14ac:dyDescent="0.35">
      <c r="A220" s="1" t="s">
        <v>459</v>
      </c>
      <c r="B220" s="3">
        <v>45840</v>
      </c>
      <c r="C220" s="1" t="s">
        <v>62</v>
      </c>
      <c r="D220" s="1">
        <v>7</v>
      </c>
      <c r="E220" s="1" t="s">
        <v>460</v>
      </c>
      <c r="F220" s="1" t="s">
        <v>111</v>
      </c>
      <c r="G220" s="1" t="s">
        <v>23</v>
      </c>
      <c r="H220" s="1" t="s">
        <v>99</v>
      </c>
      <c r="I220" s="1" t="s">
        <v>145</v>
      </c>
      <c r="J220" s="1">
        <v>6</v>
      </c>
      <c r="K220" s="1">
        <v>13330.24</v>
      </c>
      <c r="L220" s="1">
        <v>0</v>
      </c>
      <c r="M220" s="1">
        <v>79981.440000000002</v>
      </c>
      <c r="N220" s="1">
        <v>0</v>
      </c>
      <c r="O220" s="1">
        <v>79981.440000000002</v>
      </c>
      <c r="P220" s="1">
        <v>54387.379200000003</v>
      </c>
      <c r="Q220" s="1">
        <v>25594.060799999999</v>
      </c>
      <c r="R220" s="1">
        <v>32</v>
      </c>
      <c r="S220" s="1" t="s">
        <v>93</v>
      </c>
    </row>
    <row r="221" spans="1:19" x14ac:dyDescent="0.35">
      <c r="A221" s="1" t="s">
        <v>461</v>
      </c>
      <c r="B221" s="3">
        <v>45722</v>
      </c>
      <c r="C221" s="1" t="s">
        <v>28</v>
      </c>
      <c r="D221" s="1">
        <v>3</v>
      </c>
      <c r="E221" s="1" t="s">
        <v>341</v>
      </c>
      <c r="F221" s="1" t="s">
        <v>47</v>
      </c>
      <c r="G221" s="1" t="s">
        <v>64</v>
      </c>
      <c r="H221" s="1" t="s">
        <v>31</v>
      </c>
      <c r="I221" s="1" t="s">
        <v>65</v>
      </c>
      <c r="J221" s="1">
        <v>5</v>
      </c>
      <c r="K221" s="1">
        <v>2953.2</v>
      </c>
      <c r="L221" s="1">
        <v>0.15</v>
      </c>
      <c r="M221" s="1">
        <v>14766</v>
      </c>
      <c r="N221" s="1">
        <v>2214.9</v>
      </c>
      <c r="O221" s="1">
        <v>12551.1</v>
      </c>
      <c r="P221" s="1">
        <v>6526.5720000000001</v>
      </c>
      <c r="Q221" s="1">
        <v>6024.5280000000002</v>
      </c>
      <c r="R221" s="1">
        <v>48</v>
      </c>
      <c r="S221" s="1" t="s">
        <v>33</v>
      </c>
    </row>
    <row r="222" spans="1:19" x14ac:dyDescent="0.35">
      <c r="A222" s="1" t="s">
        <v>462</v>
      </c>
      <c r="B222" s="3">
        <v>45845</v>
      </c>
      <c r="C222" s="1" t="s">
        <v>62</v>
      </c>
      <c r="D222" s="1">
        <v>7</v>
      </c>
      <c r="E222" s="1" t="s">
        <v>187</v>
      </c>
      <c r="F222" s="1" t="s">
        <v>37</v>
      </c>
      <c r="G222" s="1" t="s">
        <v>23</v>
      </c>
      <c r="H222" s="1" t="s">
        <v>53</v>
      </c>
      <c r="I222" s="1" t="s">
        <v>72</v>
      </c>
      <c r="J222" s="1">
        <v>7</v>
      </c>
      <c r="K222" s="1">
        <v>1298.4000000000001</v>
      </c>
      <c r="L222" s="1">
        <v>0.05</v>
      </c>
      <c r="M222" s="1">
        <v>9088.8000000000011</v>
      </c>
      <c r="N222" s="1">
        <v>454.44000000000011</v>
      </c>
      <c r="O222" s="1">
        <v>8634.36</v>
      </c>
      <c r="P222" s="1">
        <v>5007.9287999999997</v>
      </c>
      <c r="Q222" s="1">
        <v>3626.4312000000009</v>
      </c>
      <c r="R222" s="1">
        <v>42.000000000000007</v>
      </c>
      <c r="S222" s="1" t="s">
        <v>73</v>
      </c>
    </row>
    <row r="223" spans="1:19" x14ac:dyDescent="0.35">
      <c r="A223" s="1" t="s">
        <v>463</v>
      </c>
      <c r="B223" s="3">
        <v>45709</v>
      </c>
      <c r="C223" s="1" t="s">
        <v>42</v>
      </c>
      <c r="D223" s="1">
        <v>2</v>
      </c>
      <c r="E223" s="1" t="s">
        <v>307</v>
      </c>
      <c r="F223" s="1" t="s">
        <v>111</v>
      </c>
      <c r="G223" s="1" t="s">
        <v>23</v>
      </c>
      <c r="H223" s="1" t="s">
        <v>24</v>
      </c>
      <c r="I223" s="1" t="s">
        <v>139</v>
      </c>
      <c r="J223" s="1">
        <v>2</v>
      </c>
      <c r="K223" s="1">
        <v>3118.1</v>
      </c>
      <c r="L223" s="1">
        <v>0.1</v>
      </c>
      <c r="M223" s="1">
        <v>6236.2</v>
      </c>
      <c r="N223" s="1">
        <v>623.62</v>
      </c>
      <c r="O223" s="1">
        <v>5612.58</v>
      </c>
      <c r="P223" s="1">
        <v>3086.9189999999999</v>
      </c>
      <c r="Q223" s="1">
        <v>2525.6610000000001</v>
      </c>
      <c r="R223" s="1">
        <v>44.999999999999993</v>
      </c>
      <c r="S223" s="1" t="s">
        <v>60</v>
      </c>
    </row>
    <row r="224" spans="1:19" x14ac:dyDescent="0.35">
      <c r="A224" s="1" t="s">
        <v>464</v>
      </c>
      <c r="B224" s="3">
        <v>45762</v>
      </c>
      <c r="C224" s="1" t="s">
        <v>20</v>
      </c>
      <c r="D224" s="1">
        <v>4</v>
      </c>
      <c r="E224" s="1" t="s">
        <v>465</v>
      </c>
      <c r="F224" s="1" t="s">
        <v>76</v>
      </c>
      <c r="G224" s="1" t="s">
        <v>23</v>
      </c>
      <c r="H224" s="1" t="s">
        <v>39</v>
      </c>
      <c r="I224" s="1" t="s">
        <v>214</v>
      </c>
      <c r="J224" s="1">
        <v>1</v>
      </c>
      <c r="K224" s="1">
        <v>61741.38</v>
      </c>
      <c r="L224" s="1">
        <v>0.2</v>
      </c>
      <c r="M224" s="1">
        <v>61741.38</v>
      </c>
      <c r="N224" s="1">
        <v>12348.276</v>
      </c>
      <c r="O224" s="1">
        <v>49393.103999999999</v>
      </c>
      <c r="P224" s="1">
        <v>38526.621120000003</v>
      </c>
      <c r="Q224" s="1">
        <v>10866.48288</v>
      </c>
      <c r="R224" s="1">
        <v>21.999999999999989</v>
      </c>
      <c r="S224" s="1" t="s">
        <v>73</v>
      </c>
    </row>
    <row r="225" spans="1:19" x14ac:dyDescent="0.35">
      <c r="A225" s="1" t="s">
        <v>466</v>
      </c>
      <c r="B225" s="3">
        <v>45889</v>
      </c>
      <c r="C225" s="1" t="s">
        <v>113</v>
      </c>
      <c r="D225" s="1">
        <v>8</v>
      </c>
      <c r="E225" s="1" t="s">
        <v>363</v>
      </c>
      <c r="F225" s="1" t="s">
        <v>30</v>
      </c>
      <c r="G225" s="1" t="s">
        <v>64</v>
      </c>
      <c r="H225" s="1" t="s">
        <v>31</v>
      </c>
      <c r="I225" s="1" t="s">
        <v>167</v>
      </c>
      <c r="J225" s="1">
        <v>4</v>
      </c>
      <c r="K225" s="1">
        <v>2302.7600000000002</v>
      </c>
      <c r="L225" s="1">
        <v>0.15</v>
      </c>
      <c r="M225" s="1">
        <v>9211.0400000000009</v>
      </c>
      <c r="N225" s="1">
        <v>1381.6559999999999</v>
      </c>
      <c r="O225" s="1">
        <v>7829.3840000000009</v>
      </c>
      <c r="P225" s="1">
        <v>4071.279680000001</v>
      </c>
      <c r="Q225" s="1">
        <v>3758.1043199999999</v>
      </c>
      <c r="R225" s="1">
        <v>48</v>
      </c>
      <c r="S225" s="1" t="s">
        <v>33</v>
      </c>
    </row>
    <row r="226" spans="1:19" x14ac:dyDescent="0.35">
      <c r="A226" s="1" t="s">
        <v>467</v>
      </c>
      <c r="B226" s="3">
        <v>46000</v>
      </c>
      <c r="C226" s="1" t="s">
        <v>67</v>
      </c>
      <c r="D226" s="1">
        <v>12</v>
      </c>
      <c r="E226" s="1" t="s">
        <v>468</v>
      </c>
      <c r="F226" s="1" t="s">
        <v>111</v>
      </c>
      <c r="G226" s="1" t="s">
        <v>64</v>
      </c>
      <c r="H226" s="1" t="s">
        <v>31</v>
      </c>
      <c r="I226" s="1" t="s">
        <v>167</v>
      </c>
      <c r="J226" s="1">
        <v>3</v>
      </c>
      <c r="K226" s="1">
        <v>548.79</v>
      </c>
      <c r="L226" s="1">
        <v>0.3</v>
      </c>
      <c r="M226" s="1">
        <v>1646.37</v>
      </c>
      <c r="N226" s="1">
        <v>493.91099999999989</v>
      </c>
      <c r="O226" s="1">
        <v>1152.4590000000001</v>
      </c>
      <c r="P226" s="1">
        <v>599.27867999999989</v>
      </c>
      <c r="Q226" s="1">
        <v>553.18031999999994</v>
      </c>
      <c r="R226" s="1">
        <v>48.000000000000007</v>
      </c>
      <c r="S226" s="1" t="s">
        <v>26</v>
      </c>
    </row>
    <row r="227" spans="1:19" x14ac:dyDescent="0.35">
      <c r="A227" s="1" t="s">
        <v>469</v>
      </c>
      <c r="B227" s="3">
        <v>45766</v>
      </c>
      <c r="C227" s="1" t="s">
        <v>20</v>
      </c>
      <c r="D227" s="1">
        <v>4</v>
      </c>
      <c r="E227" s="1" t="s">
        <v>470</v>
      </c>
      <c r="F227" s="1" t="s">
        <v>30</v>
      </c>
      <c r="G227" s="1" t="s">
        <v>23</v>
      </c>
      <c r="H227" s="1" t="s">
        <v>53</v>
      </c>
      <c r="I227" s="1" t="s">
        <v>72</v>
      </c>
      <c r="J227" s="1">
        <v>3</v>
      </c>
      <c r="K227" s="1">
        <v>129.06</v>
      </c>
      <c r="L227" s="1">
        <v>0.3</v>
      </c>
      <c r="M227" s="1">
        <v>387.18</v>
      </c>
      <c r="N227" s="1">
        <v>116.154</v>
      </c>
      <c r="O227" s="1">
        <v>271.02600000000001</v>
      </c>
      <c r="P227" s="1">
        <v>157.19507999999999</v>
      </c>
      <c r="Q227" s="1">
        <v>113.83092000000001</v>
      </c>
      <c r="R227" s="1">
        <v>42.000000000000007</v>
      </c>
      <c r="S227" s="1" t="s">
        <v>26</v>
      </c>
    </row>
    <row r="228" spans="1:19" x14ac:dyDescent="0.35">
      <c r="A228" s="1" t="s">
        <v>471</v>
      </c>
      <c r="B228" s="3">
        <v>45868</v>
      </c>
      <c r="C228" s="1" t="s">
        <v>62</v>
      </c>
      <c r="D228" s="1">
        <v>7</v>
      </c>
      <c r="E228" s="1" t="s">
        <v>472</v>
      </c>
      <c r="F228" s="1" t="s">
        <v>52</v>
      </c>
      <c r="G228" s="1" t="s">
        <v>23</v>
      </c>
      <c r="H228" s="1" t="s">
        <v>53</v>
      </c>
      <c r="I228" s="1" t="s">
        <v>72</v>
      </c>
      <c r="J228" s="1">
        <v>4</v>
      </c>
      <c r="K228" s="1">
        <v>951.62</v>
      </c>
      <c r="L228" s="1">
        <v>0.1</v>
      </c>
      <c r="M228" s="1">
        <v>3806.48</v>
      </c>
      <c r="N228" s="1">
        <v>380.64800000000002</v>
      </c>
      <c r="O228" s="1">
        <v>3425.8319999999999</v>
      </c>
      <c r="P228" s="1">
        <v>1986.9825599999999</v>
      </c>
      <c r="Q228" s="1">
        <v>1438.84944</v>
      </c>
      <c r="R228" s="1">
        <v>42.000000000000007</v>
      </c>
      <c r="S228" s="1" t="s">
        <v>60</v>
      </c>
    </row>
    <row r="229" spans="1:19" x14ac:dyDescent="0.35">
      <c r="A229" s="1" t="s">
        <v>473</v>
      </c>
      <c r="B229" s="3">
        <v>45880</v>
      </c>
      <c r="C229" s="1" t="s">
        <v>113</v>
      </c>
      <c r="D229" s="1">
        <v>8</v>
      </c>
      <c r="E229" s="1" t="s">
        <v>36</v>
      </c>
      <c r="F229" s="1" t="s">
        <v>58</v>
      </c>
      <c r="G229" s="1" t="s">
        <v>23</v>
      </c>
      <c r="H229" s="1" t="s">
        <v>39</v>
      </c>
      <c r="I229" s="1" t="s">
        <v>234</v>
      </c>
      <c r="J229" s="1">
        <v>1</v>
      </c>
      <c r="K229" s="1">
        <v>29770.560000000001</v>
      </c>
      <c r="L229" s="1">
        <v>0.05</v>
      </c>
      <c r="M229" s="1">
        <v>29770.560000000001</v>
      </c>
      <c r="N229" s="1">
        <v>1488.528</v>
      </c>
      <c r="O229" s="1">
        <v>28282.031999999999</v>
      </c>
      <c r="P229" s="1">
        <v>22059.984960000002</v>
      </c>
      <c r="Q229" s="1">
        <v>6222.0470399999977</v>
      </c>
      <c r="R229" s="1">
        <v>21.999999999999989</v>
      </c>
      <c r="S229" s="1" t="s">
        <v>60</v>
      </c>
    </row>
    <row r="230" spans="1:19" x14ac:dyDescent="0.35">
      <c r="A230" s="1" t="s">
        <v>474</v>
      </c>
      <c r="B230" s="3">
        <v>45826</v>
      </c>
      <c r="C230" s="1" t="s">
        <v>82</v>
      </c>
      <c r="D230" s="1">
        <v>6</v>
      </c>
      <c r="E230" s="1" t="s">
        <v>475</v>
      </c>
      <c r="F230" s="1" t="s">
        <v>111</v>
      </c>
      <c r="G230" s="1" t="s">
        <v>38</v>
      </c>
      <c r="H230" s="1" t="s">
        <v>39</v>
      </c>
      <c r="I230" s="1" t="s">
        <v>214</v>
      </c>
      <c r="J230" s="1">
        <v>2</v>
      </c>
      <c r="K230" s="1">
        <v>35260.550000000003</v>
      </c>
      <c r="L230" s="1">
        <v>0.25</v>
      </c>
      <c r="M230" s="1">
        <v>70521.100000000006</v>
      </c>
      <c r="N230" s="1">
        <v>17630.275000000001</v>
      </c>
      <c r="O230" s="1">
        <v>52890.824999999997</v>
      </c>
      <c r="P230" s="1">
        <v>41254.843500000003</v>
      </c>
      <c r="Q230" s="1">
        <v>11635.9815</v>
      </c>
      <c r="R230" s="1">
        <v>22</v>
      </c>
      <c r="S230" s="1" t="s">
        <v>93</v>
      </c>
    </row>
    <row r="231" spans="1:19" x14ac:dyDescent="0.35">
      <c r="A231" s="1" t="s">
        <v>476</v>
      </c>
      <c r="B231" s="3">
        <v>45838</v>
      </c>
      <c r="C231" s="1" t="s">
        <v>82</v>
      </c>
      <c r="D231" s="1">
        <v>6</v>
      </c>
      <c r="E231" s="1" t="s">
        <v>316</v>
      </c>
      <c r="F231" s="1" t="s">
        <v>43</v>
      </c>
      <c r="G231" s="1" t="s">
        <v>64</v>
      </c>
      <c r="H231" s="1" t="s">
        <v>24</v>
      </c>
      <c r="I231" s="1" t="s">
        <v>25</v>
      </c>
      <c r="J231" s="1">
        <v>2</v>
      </c>
      <c r="K231" s="1">
        <v>1204.53</v>
      </c>
      <c r="L231" s="1">
        <v>0.1</v>
      </c>
      <c r="M231" s="1">
        <v>2409.06</v>
      </c>
      <c r="N231" s="1">
        <v>240.90600000000001</v>
      </c>
      <c r="O231" s="1">
        <v>2168.154</v>
      </c>
      <c r="P231" s="1">
        <v>1192.4847</v>
      </c>
      <c r="Q231" s="1">
        <v>975.66929999999979</v>
      </c>
      <c r="R231" s="1">
        <v>44.999999999999993</v>
      </c>
      <c r="S231" s="1" t="s">
        <v>33</v>
      </c>
    </row>
    <row r="232" spans="1:19" x14ac:dyDescent="0.35">
      <c r="A232" s="1" t="s">
        <v>477</v>
      </c>
      <c r="B232" s="3">
        <v>45771</v>
      </c>
      <c r="C232" s="1" t="s">
        <v>20</v>
      </c>
      <c r="D232" s="1">
        <v>4</v>
      </c>
      <c r="E232" s="1" t="s">
        <v>207</v>
      </c>
      <c r="F232" s="1" t="s">
        <v>69</v>
      </c>
      <c r="G232" s="1" t="s">
        <v>23</v>
      </c>
      <c r="H232" s="1" t="s">
        <v>77</v>
      </c>
      <c r="I232" s="1" t="s">
        <v>148</v>
      </c>
      <c r="J232" s="1">
        <v>4</v>
      </c>
      <c r="K232" s="1">
        <v>326.8</v>
      </c>
      <c r="L232" s="1">
        <v>0.05</v>
      </c>
      <c r="M232" s="1">
        <v>1307.2</v>
      </c>
      <c r="N232" s="1">
        <v>65.36</v>
      </c>
      <c r="O232" s="1">
        <v>1241.8399999999999</v>
      </c>
      <c r="P232" s="1">
        <v>894.12480000000005</v>
      </c>
      <c r="Q232" s="1">
        <v>347.7152000000001</v>
      </c>
      <c r="R232" s="1">
        <v>28</v>
      </c>
      <c r="S232" s="1" t="s">
        <v>93</v>
      </c>
    </row>
    <row r="233" spans="1:19" x14ac:dyDescent="0.35">
      <c r="A233" s="1" t="s">
        <v>478</v>
      </c>
      <c r="B233" s="3">
        <v>45779</v>
      </c>
      <c r="C233" s="1" t="s">
        <v>97</v>
      </c>
      <c r="D233" s="1">
        <v>5</v>
      </c>
      <c r="E233" s="1" t="s">
        <v>479</v>
      </c>
      <c r="F233" s="1" t="s">
        <v>111</v>
      </c>
      <c r="G233" s="1" t="s">
        <v>64</v>
      </c>
      <c r="H233" s="1" t="s">
        <v>77</v>
      </c>
      <c r="I233" s="1" t="s">
        <v>78</v>
      </c>
      <c r="J233" s="1">
        <v>7</v>
      </c>
      <c r="K233" s="1">
        <v>1061.1600000000001</v>
      </c>
      <c r="L233" s="1">
        <v>0.05</v>
      </c>
      <c r="M233" s="1">
        <v>7428.1200000000008</v>
      </c>
      <c r="N233" s="1">
        <v>371.40600000000012</v>
      </c>
      <c r="O233" s="1">
        <v>7056.7140000000009</v>
      </c>
      <c r="P233" s="1">
        <v>5080.8340800000014</v>
      </c>
      <c r="Q233" s="1">
        <v>1975.8799200000001</v>
      </c>
      <c r="R233" s="1">
        <v>28</v>
      </c>
      <c r="S233" s="1" t="s">
        <v>33</v>
      </c>
    </row>
    <row r="234" spans="1:19" x14ac:dyDescent="0.35">
      <c r="A234" s="1" t="s">
        <v>480</v>
      </c>
      <c r="B234" s="3">
        <v>45881</v>
      </c>
      <c r="C234" s="1" t="s">
        <v>113</v>
      </c>
      <c r="D234" s="1">
        <v>8</v>
      </c>
      <c r="E234" s="1" t="s">
        <v>396</v>
      </c>
      <c r="F234" s="1" t="s">
        <v>47</v>
      </c>
      <c r="G234" s="1" t="s">
        <v>23</v>
      </c>
      <c r="H234" s="1" t="s">
        <v>53</v>
      </c>
      <c r="I234" s="1" t="s">
        <v>123</v>
      </c>
      <c r="J234" s="1">
        <v>6</v>
      </c>
      <c r="K234" s="1">
        <v>1907.65</v>
      </c>
      <c r="L234" s="1">
        <v>0.05</v>
      </c>
      <c r="M234" s="1">
        <v>11445.9</v>
      </c>
      <c r="N234" s="1">
        <v>572.29500000000007</v>
      </c>
      <c r="O234" s="1">
        <v>10873.605</v>
      </c>
      <c r="P234" s="1">
        <v>6306.6909000000014</v>
      </c>
      <c r="Q234" s="1">
        <v>4566.9141000000009</v>
      </c>
      <c r="R234" s="1">
        <v>42.000000000000007</v>
      </c>
      <c r="S234" s="1" t="s">
        <v>93</v>
      </c>
    </row>
    <row r="235" spans="1:19" x14ac:dyDescent="0.35">
      <c r="A235" s="1" t="s">
        <v>481</v>
      </c>
      <c r="B235" s="3">
        <v>45940</v>
      </c>
      <c r="C235" s="1" t="s">
        <v>35</v>
      </c>
      <c r="D235" s="1">
        <v>10</v>
      </c>
      <c r="E235" s="1" t="s">
        <v>482</v>
      </c>
      <c r="F235" s="1" t="s">
        <v>52</v>
      </c>
      <c r="G235" s="1" t="s">
        <v>38</v>
      </c>
      <c r="H235" s="1" t="s">
        <v>99</v>
      </c>
      <c r="I235" s="1" t="s">
        <v>120</v>
      </c>
      <c r="J235" s="1">
        <v>7</v>
      </c>
      <c r="K235" s="1">
        <v>13488.87</v>
      </c>
      <c r="L235" s="1">
        <v>0.05</v>
      </c>
      <c r="M235" s="1">
        <v>94422.090000000011</v>
      </c>
      <c r="N235" s="1">
        <v>4721.1045000000004</v>
      </c>
      <c r="O235" s="1">
        <v>89700.98550000001</v>
      </c>
      <c r="P235" s="1">
        <v>60996.670140000009</v>
      </c>
      <c r="Q235" s="1">
        <v>28704.315360000001</v>
      </c>
      <c r="R235" s="1">
        <v>32</v>
      </c>
      <c r="S235" s="1" t="s">
        <v>93</v>
      </c>
    </row>
    <row r="236" spans="1:19" x14ac:dyDescent="0.35">
      <c r="A236" s="1" t="s">
        <v>483</v>
      </c>
      <c r="B236" s="3">
        <v>46010</v>
      </c>
      <c r="C236" s="1" t="s">
        <v>67</v>
      </c>
      <c r="D236" s="1">
        <v>12</v>
      </c>
      <c r="E236" s="1" t="s">
        <v>484</v>
      </c>
      <c r="F236" s="1" t="s">
        <v>22</v>
      </c>
      <c r="G236" s="1" t="s">
        <v>38</v>
      </c>
      <c r="H236" s="1" t="s">
        <v>53</v>
      </c>
      <c r="I236" s="1" t="s">
        <v>185</v>
      </c>
      <c r="J236" s="1">
        <v>7</v>
      </c>
      <c r="K236" s="1">
        <v>354.23</v>
      </c>
      <c r="L236" s="1">
        <v>0.05</v>
      </c>
      <c r="M236" s="1">
        <v>2479.61</v>
      </c>
      <c r="N236" s="1">
        <v>123.98050000000001</v>
      </c>
      <c r="O236" s="1">
        <v>2355.6295</v>
      </c>
      <c r="P236" s="1">
        <v>1366.26511</v>
      </c>
      <c r="Q236" s="1">
        <v>989.36439000000018</v>
      </c>
      <c r="R236" s="1">
        <v>42.000000000000007</v>
      </c>
      <c r="S236" s="1" t="s">
        <v>93</v>
      </c>
    </row>
    <row r="237" spans="1:19" x14ac:dyDescent="0.35">
      <c r="A237" s="1" t="s">
        <v>485</v>
      </c>
      <c r="B237" s="3">
        <v>45768</v>
      </c>
      <c r="C237" s="1" t="s">
        <v>20</v>
      </c>
      <c r="D237" s="1">
        <v>4</v>
      </c>
      <c r="E237" s="1" t="s">
        <v>472</v>
      </c>
      <c r="F237" s="1" t="s">
        <v>69</v>
      </c>
      <c r="G237" s="1" t="s">
        <v>64</v>
      </c>
      <c r="H237" s="1" t="s">
        <v>99</v>
      </c>
      <c r="I237" s="1" t="s">
        <v>108</v>
      </c>
      <c r="J237" s="1">
        <v>2</v>
      </c>
      <c r="K237" s="1">
        <v>2709.96</v>
      </c>
      <c r="L237" s="1">
        <v>0.05</v>
      </c>
      <c r="M237" s="1">
        <v>5419.92</v>
      </c>
      <c r="N237" s="1">
        <v>270.99599999999998</v>
      </c>
      <c r="O237" s="1">
        <v>5148.924</v>
      </c>
      <c r="P237" s="1">
        <v>3501.2683200000001</v>
      </c>
      <c r="Q237" s="1">
        <v>1647.6556800000001</v>
      </c>
      <c r="R237" s="1">
        <v>32</v>
      </c>
      <c r="S237" s="1" t="s">
        <v>26</v>
      </c>
    </row>
    <row r="238" spans="1:19" x14ac:dyDescent="0.35">
      <c r="A238" s="1" t="s">
        <v>486</v>
      </c>
      <c r="B238" s="3">
        <v>45881</v>
      </c>
      <c r="C238" s="1" t="s">
        <v>113</v>
      </c>
      <c r="D238" s="1">
        <v>8</v>
      </c>
      <c r="E238" s="1" t="s">
        <v>83</v>
      </c>
      <c r="F238" s="1" t="s">
        <v>47</v>
      </c>
      <c r="G238" s="1" t="s">
        <v>64</v>
      </c>
      <c r="H238" s="1" t="s">
        <v>99</v>
      </c>
      <c r="I238" s="1" t="s">
        <v>120</v>
      </c>
      <c r="J238" s="1">
        <v>2</v>
      </c>
      <c r="K238" s="1">
        <v>7090.8</v>
      </c>
      <c r="L238" s="1">
        <v>0.15</v>
      </c>
      <c r="M238" s="1">
        <v>14181.6</v>
      </c>
      <c r="N238" s="1">
        <v>2127.2399999999998</v>
      </c>
      <c r="O238" s="1">
        <v>12054.36</v>
      </c>
      <c r="P238" s="1">
        <v>8196.9648000000016</v>
      </c>
      <c r="Q238" s="1">
        <v>3857.395199999999</v>
      </c>
      <c r="R238" s="1">
        <v>31.999999999999989</v>
      </c>
      <c r="S238" s="1" t="s">
        <v>60</v>
      </c>
    </row>
    <row r="239" spans="1:19" x14ac:dyDescent="0.35">
      <c r="A239" s="1" t="s">
        <v>487</v>
      </c>
      <c r="B239" s="3">
        <v>45743</v>
      </c>
      <c r="C239" s="1" t="s">
        <v>28</v>
      </c>
      <c r="D239" s="1">
        <v>3</v>
      </c>
      <c r="E239" s="1" t="s">
        <v>458</v>
      </c>
      <c r="F239" s="1" t="s">
        <v>43</v>
      </c>
      <c r="G239" s="1" t="s">
        <v>23</v>
      </c>
      <c r="H239" s="1" t="s">
        <v>99</v>
      </c>
      <c r="I239" s="1" t="s">
        <v>120</v>
      </c>
      <c r="J239" s="1">
        <v>2</v>
      </c>
      <c r="K239" s="1">
        <v>21399.19</v>
      </c>
      <c r="L239" s="1">
        <v>0.2</v>
      </c>
      <c r="M239" s="1">
        <v>42798.38</v>
      </c>
      <c r="N239" s="1">
        <v>8559.6759999999995</v>
      </c>
      <c r="O239" s="1">
        <v>34238.703999999998</v>
      </c>
      <c r="P239" s="1">
        <v>23282.318719999999</v>
      </c>
      <c r="Q239" s="1">
        <v>10956.38528</v>
      </c>
      <c r="R239" s="1">
        <v>32</v>
      </c>
      <c r="S239" s="1" t="s">
        <v>60</v>
      </c>
    </row>
    <row r="240" spans="1:19" x14ac:dyDescent="0.35">
      <c r="A240" s="1" t="s">
        <v>488</v>
      </c>
      <c r="B240" s="3">
        <v>45677</v>
      </c>
      <c r="C240" s="1" t="s">
        <v>193</v>
      </c>
      <c r="D240" s="1">
        <v>1</v>
      </c>
      <c r="E240" s="1" t="s">
        <v>376</v>
      </c>
      <c r="F240" s="1" t="s">
        <v>111</v>
      </c>
      <c r="G240" s="1" t="s">
        <v>23</v>
      </c>
      <c r="H240" s="1" t="s">
        <v>53</v>
      </c>
      <c r="I240" s="1" t="s">
        <v>72</v>
      </c>
      <c r="J240" s="1">
        <v>3</v>
      </c>
      <c r="K240" s="1">
        <v>2120.73</v>
      </c>
      <c r="L240" s="1">
        <v>0.1</v>
      </c>
      <c r="M240" s="1">
        <v>6362.1900000000014</v>
      </c>
      <c r="N240" s="1">
        <v>636.21900000000005</v>
      </c>
      <c r="O240" s="1">
        <v>5725.9709999999995</v>
      </c>
      <c r="P240" s="1">
        <v>3321.0631800000001</v>
      </c>
      <c r="Q240" s="1">
        <v>2404.9078199999999</v>
      </c>
      <c r="R240" s="1">
        <v>42.000000000000007</v>
      </c>
      <c r="S240" s="1" t="s">
        <v>93</v>
      </c>
    </row>
    <row r="241" spans="1:19" x14ac:dyDescent="0.35">
      <c r="A241" s="1" t="s">
        <v>489</v>
      </c>
      <c r="B241" s="3">
        <v>45789</v>
      </c>
      <c r="C241" s="1" t="s">
        <v>97</v>
      </c>
      <c r="D241" s="1">
        <v>5</v>
      </c>
      <c r="E241" s="1" t="s">
        <v>380</v>
      </c>
      <c r="F241" s="1" t="s">
        <v>52</v>
      </c>
      <c r="G241" s="1" t="s">
        <v>64</v>
      </c>
      <c r="H241" s="1" t="s">
        <v>24</v>
      </c>
      <c r="I241" s="1" t="s">
        <v>139</v>
      </c>
      <c r="J241" s="1">
        <v>2</v>
      </c>
      <c r="K241" s="1">
        <v>5374.08</v>
      </c>
      <c r="L241" s="1">
        <v>0.15</v>
      </c>
      <c r="M241" s="1">
        <v>10748.16</v>
      </c>
      <c r="N241" s="1">
        <v>1612.2239999999999</v>
      </c>
      <c r="O241" s="1">
        <v>9135.9359999999997</v>
      </c>
      <c r="P241" s="1">
        <v>5024.7647999999999</v>
      </c>
      <c r="Q241" s="1">
        <v>4111.1711999999998</v>
      </c>
      <c r="R241" s="1">
        <v>45</v>
      </c>
      <c r="S241" s="1" t="s">
        <v>73</v>
      </c>
    </row>
    <row r="242" spans="1:19" x14ac:dyDescent="0.35">
      <c r="A242" s="1" t="s">
        <v>490</v>
      </c>
      <c r="B242" s="3">
        <v>45695</v>
      </c>
      <c r="C242" s="1" t="s">
        <v>42</v>
      </c>
      <c r="D242" s="1">
        <v>2</v>
      </c>
      <c r="E242" s="1" t="s">
        <v>171</v>
      </c>
      <c r="F242" s="1" t="s">
        <v>22</v>
      </c>
      <c r="G242" s="1" t="s">
        <v>38</v>
      </c>
      <c r="H242" s="1" t="s">
        <v>77</v>
      </c>
      <c r="I242" s="1" t="s">
        <v>103</v>
      </c>
      <c r="J242" s="1">
        <v>4</v>
      </c>
      <c r="K242" s="1">
        <v>258.52</v>
      </c>
      <c r="L242" s="1">
        <v>0.1</v>
      </c>
      <c r="M242" s="1">
        <v>1034.08</v>
      </c>
      <c r="N242" s="1">
        <v>103.408</v>
      </c>
      <c r="O242" s="1">
        <v>930.67199999999991</v>
      </c>
      <c r="P242" s="1">
        <v>670.0838399999999</v>
      </c>
      <c r="Q242" s="1">
        <v>260.58816000000002</v>
      </c>
      <c r="R242" s="1">
        <v>28</v>
      </c>
      <c r="S242" s="1" t="s">
        <v>93</v>
      </c>
    </row>
    <row r="243" spans="1:19" x14ac:dyDescent="0.35">
      <c r="A243" s="1" t="s">
        <v>491</v>
      </c>
      <c r="B243" s="3">
        <v>45671</v>
      </c>
      <c r="C243" s="1" t="s">
        <v>193</v>
      </c>
      <c r="D243" s="1">
        <v>1</v>
      </c>
      <c r="E243" s="1" t="s">
        <v>110</v>
      </c>
      <c r="F243" s="1" t="s">
        <v>30</v>
      </c>
      <c r="G243" s="1" t="s">
        <v>23</v>
      </c>
      <c r="H243" s="1" t="s">
        <v>53</v>
      </c>
      <c r="I243" s="1" t="s">
        <v>54</v>
      </c>
      <c r="J243" s="1">
        <v>5</v>
      </c>
      <c r="K243" s="1">
        <v>1491.96</v>
      </c>
      <c r="L243" s="1">
        <v>0.15</v>
      </c>
      <c r="M243" s="1">
        <v>7459.8</v>
      </c>
      <c r="N243" s="1">
        <v>1118.97</v>
      </c>
      <c r="O243" s="1">
        <v>6340.83</v>
      </c>
      <c r="P243" s="1">
        <v>3677.681399999999</v>
      </c>
      <c r="Q243" s="1">
        <v>2663.1486</v>
      </c>
      <c r="R243" s="1">
        <v>42.000000000000007</v>
      </c>
      <c r="S243" s="1" t="s">
        <v>26</v>
      </c>
    </row>
    <row r="244" spans="1:19" x14ac:dyDescent="0.35">
      <c r="A244" s="1" t="s">
        <v>492</v>
      </c>
      <c r="B244" s="3">
        <v>45816</v>
      </c>
      <c r="C244" s="1" t="s">
        <v>82</v>
      </c>
      <c r="D244" s="1">
        <v>6</v>
      </c>
      <c r="E244" s="1" t="s">
        <v>376</v>
      </c>
      <c r="F244" s="1" t="s">
        <v>52</v>
      </c>
      <c r="G244" s="1" t="s">
        <v>64</v>
      </c>
      <c r="H244" s="1" t="s">
        <v>24</v>
      </c>
      <c r="I244" s="1" t="s">
        <v>48</v>
      </c>
      <c r="J244" s="1">
        <v>4</v>
      </c>
      <c r="K244" s="1">
        <v>2271.59</v>
      </c>
      <c r="L244" s="1">
        <v>0.15</v>
      </c>
      <c r="M244" s="1">
        <v>9086.36</v>
      </c>
      <c r="N244" s="1">
        <v>1362.954</v>
      </c>
      <c r="O244" s="1">
        <v>7723.4060000000009</v>
      </c>
      <c r="P244" s="1">
        <v>4247.8733000000011</v>
      </c>
      <c r="Q244" s="1">
        <v>3475.5327000000002</v>
      </c>
      <c r="R244" s="1">
        <v>44.999999999999993</v>
      </c>
      <c r="S244" s="1" t="s">
        <v>73</v>
      </c>
    </row>
    <row r="245" spans="1:19" x14ac:dyDescent="0.35">
      <c r="A245" s="1" t="s">
        <v>493</v>
      </c>
      <c r="B245" s="3">
        <v>45774</v>
      </c>
      <c r="C245" s="1" t="s">
        <v>20</v>
      </c>
      <c r="D245" s="1">
        <v>4</v>
      </c>
      <c r="E245" s="1" t="s">
        <v>316</v>
      </c>
      <c r="F245" s="1" t="s">
        <v>76</v>
      </c>
      <c r="G245" s="1" t="s">
        <v>38</v>
      </c>
      <c r="H245" s="1" t="s">
        <v>24</v>
      </c>
      <c r="I245" s="1" t="s">
        <v>117</v>
      </c>
      <c r="J245" s="1">
        <v>3</v>
      </c>
      <c r="K245" s="1">
        <v>2921.09</v>
      </c>
      <c r="L245" s="1">
        <v>0.05</v>
      </c>
      <c r="M245" s="1">
        <v>8763.27</v>
      </c>
      <c r="N245" s="1">
        <v>438.16350000000011</v>
      </c>
      <c r="O245" s="1">
        <v>8325.1064999999999</v>
      </c>
      <c r="P245" s="1">
        <v>4578.808575</v>
      </c>
      <c r="Q245" s="1">
        <v>3746.2979249999999</v>
      </c>
      <c r="R245" s="1">
        <v>45</v>
      </c>
      <c r="S245" s="1" t="s">
        <v>73</v>
      </c>
    </row>
    <row r="246" spans="1:19" x14ac:dyDescent="0.35">
      <c r="A246" s="1" t="s">
        <v>494</v>
      </c>
      <c r="B246" s="3">
        <v>45976</v>
      </c>
      <c r="C246" s="1" t="s">
        <v>56</v>
      </c>
      <c r="D246" s="1">
        <v>11</v>
      </c>
      <c r="E246" s="1" t="s">
        <v>495</v>
      </c>
      <c r="F246" s="1" t="s">
        <v>76</v>
      </c>
      <c r="G246" s="1" t="s">
        <v>64</v>
      </c>
      <c r="H246" s="1" t="s">
        <v>24</v>
      </c>
      <c r="I246" s="1" t="s">
        <v>48</v>
      </c>
      <c r="J246" s="1">
        <v>1</v>
      </c>
      <c r="K246" s="1">
        <v>3790.24</v>
      </c>
      <c r="L246" s="1">
        <v>0.15</v>
      </c>
      <c r="M246" s="1">
        <v>3790.24</v>
      </c>
      <c r="N246" s="1">
        <v>568.53599999999994</v>
      </c>
      <c r="O246" s="1">
        <v>3221.7040000000002</v>
      </c>
      <c r="P246" s="1">
        <v>1771.9372000000001</v>
      </c>
      <c r="Q246" s="1">
        <v>1449.7668000000001</v>
      </c>
      <c r="R246" s="1">
        <v>44.999999999999993</v>
      </c>
      <c r="S246" s="1" t="s">
        <v>33</v>
      </c>
    </row>
    <row r="247" spans="1:19" x14ac:dyDescent="0.35">
      <c r="A247" s="1" t="s">
        <v>496</v>
      </c>
      <c r="B247" s="3">
        <v>45897</v>
      </c>
      <c r="C247" s="1" t="s">
        <v>113</v>
      </c>
      <c r="D247" s="1">
        <v>8</v>
      </c>
      <c r="E247" s="1" t="s">
        <v>295</v>
      </c>
      <c r="F247" s="1" t="s">
        <v>22</v>
      </c>
      <c r="G247" s="1" t="s">
        <v>64</v>
      </c>
      <c r="H247" s="1" t="s">
        <v>53</v>
      </c>
      <c r="I247" s="1" t="s">
        <v>54</v>
      </c>
      <c r="J247" s="1">
        <v>7</v>
      </c>
      <c r="K247" s="1">
        <v>1083.77</v>
      </c>
      <c r="L247" s="1">
        <v>0.2</v>
      </c>
      <c r="M247" s="1">
        <v>7586.3899999999994</v>
      </c>
      <c r="N247" s="1">
        <v>1517.278</v>
      </c>
      <c r="O247" s="1">
        <v>6069.1119999999992</v>
      </c>
      <c r="P247" s="1">
        <v>3520.0849599999988</v>
      </c>
      <c r="Q247" s="1">
        <v>2549.0270399999999</v>
      </c>
      <c r="R247" s="1">
        <v>42.000000000000007</v>
      </c>
      <c r="S247" s="1" t="s">
        <v>93</v>
      </c>
    </row>
    <row r="248" spans="1:19" x14ac:dyDescent="0.35">
      <c r="A248" s="1" t="s">
        <v>497</v>
      </c>
      <c r="B248" s="3">
        <v>45718</v>
      </c>
      <c r="C248" s="1" t="s">
        <v>28</v>
      </c>
      <c r="D248" s="1">
        <v>3</v>
      </c>
      <c r="E248" s="1" t="s">
        <v>110</v>
      </c>
      <c r="F248" s="1" t="s">
        <v>52</v>
      </c>
      <c r="G248" s="1" t="s">
        <v>64</v>
      </c>
      <c r="H248" s="1" t="s">
        <v>99</v>
      </c>
      <c r="I248" s="1" t="s">
        <v>223</v>
      </c>
      <c r="J248" s="1">
        <v>2</v>
      </c>
      <c r="K248" s="1">
        <v>6219.12</v>
      </c>
      <c r="L248" s="1">
        <v>0.15</v>
      </c>
      <c r="M248" s="1">
        <v>12438.24</v>
      </c>
      <c r="N248" s="1">
        <v>1865.7360000000001</v>
      </c>
      <c r="O248" s="1">
        <v>10572.504000000001</v>
      </c>
      <c r="P248" s="1">
        <v>7189.3027200000024</v>
      </c>
      <c r="Q248" s="1">
        <v>3383.2012799999989</v>
      </c>
      <c r="R248" s="1">
        <v>31.999999999999989</v>
      </c>
      <c r="S248" s="1" t="s">
        <v>26</v>
      </c>
    </row>
    <row r="249" spans="1:19" x14ac:dyDescent="0.35">
      <c r="A249" s="1" t="s">
        <v>498</v>
      </c>
      <c r="B249" s="3">
        <v>46022</v>
      </c>
      <c r="C249" s="1" t="s">
        <v>67</v>
      </c>
      <c r="D249" s="1">
        <v>12</v>
      </c>
      <c r="E249" s="1" t="s">
        <v>405</v>
      </c>
      <c r="F249" s="1" t="s">
        <v>111</v>
      </c>
      <c r="G249" s="1" t="s">
        <v>64</v>
      </c>
      <c r="H249" s="1" t="s">
        <v>53</v>
      </c>
      <c r="I249" s="1" t="s">
        <v>123</v>
      </c>
      <c r="J249" s="1">
        <v>5</v>
      </c>
      <c r="K249" s="1">
        <v>234.73</v>
      </c>
      <c r="L249" s="1">
        <v>0.2</v>
      </c>
      <c r="M249" s="1">
        <v>1173.6500000000001</v>
      </c>
      <c r="N249" s="1">
        <v>234.73</v>
      </c>
      <c r="O249" s="1">
        <v>938.91999999999985</v>
      </c>
      <c r="P249" s="1">
        <v>544.57359999999983</v>
      </c>
      <c r="Q249" s="1">
        <v>394.34640000000002</v>
      </c>
      <c r="R249" s="1">
        <v>42.000000000000007</v>
      </c>
      <c r="S249" s="1" t="s">
        <v>73</v>
      </c>
    </row>
    <row r="250" spans="1:19" x14ac:dyDescent="0.35">
      <c r="A250" s="1" t="s">
        <v>499</v>
      </c>
      <c r="B250" s="3">
        <v>45849</v>
      </c>
      <c r="C250" s="1" t="s">
        <v>62</v>
      </c>
      <c r="D250" s="1">
        <v>7</v>
      </c>
      <c r="E250" s="1" t="s">
        <v>83</v>
      </c>
      <c r="F250" s="1" t="s">
        <v>22</v>
      </c>
      <c r="G250" s="1" t="s">
        <v>23</v>
      </c>
      <c r="H250" s="1" t="s">
        <v>31</v>
      </c>
      <c r="I250" s="1" t="s">
        <v>190</v>
      </c>
      <c r="J250" s="1">
        <v>4</v>
      </c>
      <c r="K250" s="1">
        <v>640.48</v>
      </c>
      <c r="L250" s="1">
        <v>0</v>
      </c>
      <c r="M250" s="1">
        <v>2561.92</v>
      </c>
      <c r="N250" s="1">
        <v>0</v>
      </c>
      <c r="O250" s="1">
        <v>2561.92</v>
      </c>
      <c r="P250" s="1">
        <v>1332.1984</v>
      </c>
      <c r="Q250" s="1">
        <v>1229.7216000000001</v>
      </c>
      <c r="R250" s="1">
        <v>48.000000000000007</v>
      </c>
      <c r="S250" s="1" t="s">
        <v>60</v>
      </c>
    </row>
    <row r="251" spans="1:19" x14ac:dyDescent="0.35">
      <c r="A251" s="1" t="s">
        <v>500</v>
      </c>
      <c r="B251" s="3">
        <v>45937</v>
      </c>
      <c r="C251" s="1" t="s">
        <v>35</v>
      </c>
      <c r="D251" s="1">
        <v>10</v>
      </c>
      <c r="E251" s="1" t="s">
        <v>373</v>
      </c>
      <c r="F251" s="1" t="s">
        <v>43</v>
      </c>
      <c r="G251" s="1" t="s">
        <v>38</v>
      </c>
      <c r="H251" s="1" t="s">
        <v>39</v>
      </c>
      <c r="I251" s="1" t="s">
        <v>234</v>
      </c>
      <c r="J251" s="1">
        <v>4</v>
      </c>
      <c r="K251" s="1">
        <v>51634.239999999998</v>
      </c>
      <c r="L251" s="1">
        <v>0.05</v>
      </c>
      <c r="M251" s="1">
        <v>206536.95999999999</v>
      </c>
      <c r="N251" s="1">
        <v>10326.848</v>
      </c>
      <c r="O251" s="1">
        <v>196210.11199999999</v>
      </c>
      <c r="P251" s="1">
        <v>153043.88735999999</v>
      </c>
      <c r="Q251" s="1">
        <v>43166.22464</v>
      </c>
      <c r="R251" s="1">
        <v>22</v>
      </c>
      <c r="S251" s="1" t="s">
        <v>60</v>
      </c>
    </row>
    <row r="252" spans="1:19" x14ac:dyDescent="0.35">
      <c r="A252" s="1" t="s">
        <v>501</v>
      </c>
      <c r="B252" s="3">
        <v>45693</v>
      </c>
      <c r="C252" s="1" t="s">
        <v>42</v>
      </c>
      <c r="D252" s="1">
        <v>2</v>
      </c>
      <c r="E252" s="1" t="s">
        <v>502</v>
      </c>
      <c r="F252" s="1" t="s">
        <v>22</v>
      </c>
      <c r="G252" s="1" t="s">
        <v>38</v>
      </c>
      <c r="H252" s="1" t="s">
        <v>31</v>
      </c>
      <c r="I252" s="1" t="s">
        <v>59</v>
      </c>
      <c r="J252" s="1">
        <v>6</v>
      </c>
      <c r="K252" s="1">
        <v>1133.06</v>
      </c>
      <c r="L252" s="1">
        <v>0</v>
      </c>
      <c r="M252" s="1">
        <v>6798.36</v>
      </c>
      <c r="N252" s="1">
        <v>0</v>
      </c>
      <c r="O252" s="1">
        <v>6798.36</v>
      </c>
      <c r="P252" s="1">
        <v>3535.1471999999999</v>
      </c>
      <c r="Q252" s="1">
        <v>3263.2127999999998</v>
      </c>
      <c r="R252" s="1">
        <v>48</v>
      </c>
      <c r="S252" s="1" t="s">
        <v>73</v>
      </c>
    </row>
    <row r="253" spans="1:19" x14ac:dyDescent="0.35">
      <c r="A253" s="1" t="s">
        <v>503</v>
      </c>
      <c r="B253" s="3">
        <v>45993</v>
      </c>
      <c r="C253" s="1" t="s">
        <v>67</v>
      </c>
      <c r="D253" s="1">
        <v>12</v>
      </c>
      <c r="E253" s="1" t="s">
        <v>482</v>
      </c>
      <c r="F253" s="1" t="s">
        <v>43</v>
      </c>
      <c r="G253" s="1" t="s">
        <v>64</v>
      </c>
      <c r="H253" s="1" t="s">
        <v>77</v>
      </c>
      <c r="I253" s="1" t="s">
        <v>103</v>
      </c>
      <c r="J253" s="1">
        <v>7</v>
      </c>
      <c r="K253" s="1">
        <v>567.20000000000005</v>
      </c>
      <c r="L253" s="1">
        <v>0.2</v>
      </c>
      <c r="M253" s="1">
        <v>3970.400000000001</v>
      </c>
      <c r="N253" s="1">
        <v>794.08000000000015</v>
      </c>
      <c r="O253" s="1">
        <v>3176.3200000000011</v>
      </c>
      <c r="P253" s="1">
        <v>2286.9504000000002</v>
      </c>
      <c r="Q253" s="1">
        <v>889.36960000000045</v>
      </c>
      <c r="R253" s="1">
        <v>28.000000000000011</v>
      </c>
      <c r="S253" s="1" t="s">
        <v>26</v>
      </c>
    </row>
    <row r="254" spans="1:19" x14ac:dyDescent="0.35">
      <c r="A254" s="1" t="s">
        <v>504</v>
      </c>
      <c r="B254" s="3">
        <v>45741</v>
      </c>
      <c r="C254" s="1" t="s">
        <v>28</v>
      </c>
      <c r="D254" s="1">
        <v>3</v>
      </c>
      <c r="E254" s="1" t="s">
        <v>331</v>
      </c>
      <c r="F254" s="1" t="s">
        <v>76</v>
      </c>
      <c r="G254" s="1" t="s">
        <v>38</v>
      </c>
      <c r="H254" s="1" t="s">
        <v>99</v>
      </c>
      <c r="I254" s="1" t="s">
        <v>145</v>
      </c>
      <c r="J254" s="1">
        <v>2</v>
      </c>
      <c r="K254" s="1">
        <v>15144.84</v>
      </c>
      <c r="L254" s="1">
        <v>0.1</v>
      </c>
      <c r="M254" s="1">
        <v>30289.68</v>
      </c>
      <c r="N254" s="1">
        <v>3028.9679999999998</v>
      </c>
      <c r="O254" s="1">
        <v>27260.712</v>
      </c>
      <c r="P254" s="1">
        <v>18537.284159999999</v>
      </c>
      <c r="Q254" s="1">
        <v>8723.4278400000003</v>
      </c>
      <c r="R254" s="1">
        <v>32</v>
      </c>
      <c r="S254" s="1" t="s">
        <v>26</v>
      </c>
    </row>
    <row r="255" spans="1:19" x14ac:dyDescent="0.35">
      <c r="A255" s="1" t="s">
        <v>505</v>
      </c>
      <c r="B255" s="3">
        <v>45805</v>
      </c>
      <c r="C255" s="1" t="s">
        <v>97</v>
      </c>
      <c r="D255" s="1">
        <v>5</v>
      </c>
      <c r="E255" s="1" t="s">
        <v>506</v>
      </c>
      <c r="F255" s="1" t="s">
        <v>43</v>
      </c>
      <c r="G255" s="1" t="s">
        <v>64</v>
      </c>
      <c r="H255" s="1" t="s">
        <v>31</v>
      </c>
      <c r="I255" s="1" t="s">
        <v>32</v>
      </c>
      <c r="J255" s="1">
        <v>2</v>
      </c>
      <c r="K255" s="1">
        <v>2931.97</v>
      </c>
      <c r="L255" s="1">
        <v>0.2</v>
      </c>
      <c r="M255" s="1">
        <v>5863.94</v>
      </c>
      <c r="N255" s="1">
        <v>1172.788</v>
      </c>
      <c r="O255" s="1">
        <v>4691.152</v>
      </c>
      <c r="P255" s="1">
        <v>2439.3990399999998</v>
      </c>
      <c r="Q255" s="1">
        <v>2251.7529599999998</v>
      </c>
      <c r="R255" s="1">
        <v>47.999999999999993</v>
      </c>
      <c r="S255" s="1" t="s">
        <v>93</v>
      </c>
    </row>
    <row r="256" spans="1:19" x14ac:dyDescent="0.35">
      <c r="A256" s="1" t="s">
        <v>507</v>
      </c>
      <c r="B256" s="3">
        <v>45739</v>
      </c>
      <c r="C256" s="1" t="s">
        <v>28</v>
      </c>
      <c r="D256" s="1">
        <v>3</v>
      </c>
      <c r="E256" s="1" t="s">
        <v>119</v>
      </c>
      <c r="F256" s="1" t="s">
        <v>47</v>
      </c>
      <c r="G256" s="1" t="s">
        <v>64</v>
      </c>
      <c r="H256" s="1" t="s">
        <v>31</v>
      </c>
      <c r="I256" s="1" t="s">
        <v>59</v>
      </c>
      <c r="J256" s="1">
        <v>3</v>
      </c>
      <c r="K256" s="1">
        <v>2593.0100000000002</v>
      </c>
      <c r="L256" s="1">
        <v>0.05</v>
      </c>
      <c r="M256" s="1">
        <v>7779.0300000000007</v>
      </c>
      <c r="N256" s="1">
        <v>388.95150000000012</v>
      </c>
      <c r="O256" s="1">
        <v>7390.0785000000014</v>
      </c>
      <c r="P256" s="1">
        <v>3842.8408199999999</v>
      </c>
      <c r="Q256" s="1">
        <v>3547.2376800000002</v>
      </c>
      <c r="R256" s="1">
        <v>48</v>
      </c>
      <c r="S256" s="1" t="s">
        <v>73</v>
      </c>
    </row>
    <row r="257" spans="1:19" x14ac:dyDescent="0.35">
      <c r="A257" s="1" t="s">
        <v>508</v>
      </c>
      <c r="B257" s="3">
        <v>45984</v>
      </c>
      <c r="C257" s="1" t="s">
        <v>56</v>
      </c>
      <c r="D257" s="1">
        <v>11</v>
      </c>
      <c r="E257" s="1" t="s">
        <v>509</v>
      </c>
      <c r="F257" s="1" t="s">
        <v>47</v>
      </c>
      <c r="G257" s="1" t="s">
        <v>23</v>
      </c>
      <c r="H257" s="1" t="s">
        <v>77</v>
      </c>
      <c r="I257" s="1" t="s">
        <v>90</v>
      </c>
      <c r="J257" s="1">
        <v>7</v>
      </c>
      <c r="K257" s="1">
        <v>676.87</v>
      </c>
      <c r="L257" s="1">
        <v>0.3</v>
      </c>
      <c r="M257" s="1">
        <v>4738.09</v>
      </c>
      <c r="N257" s="1">
        <v>1421.4269999999999</v>
      </c>
      <c r="O257" s="1">
        <v>3316.663</v>
      </c>
      <c r="P257" s="1">
        <v>2387.9973599999998</v>
      </c>
      <c r="Q257" s="1">
        <v>928.66564000000017</v>
      </c>
      <c r="R257" s="1">
        <v>28</v>
      </c>
      <c r="S257" s="1" t="s">
        <v>60</v>
      </c>
    </row>
    <row r="258" spans="1:19" x14ac:dyDescent="0.35">
      <c r="A258" s="1" t="s">
        <v>510</v>
      </c>
      <c r="B258" s="3">
        <v>45743</v>
      </c>
      <c r="C258" s="1" t="s">
        <v>28</v>
      </c>
      <c r="D258" s="1">
        <v>3</v>
      </c>
      <c r="E258" s="1" t="s">
        <v>511</v>
      </c>
      <c r="F258" s="1" t="s">
        <v>76</v>
      </c>
      <c r="G258" s="1" t="s">
        <v>23</v>
      </c>
      <c r="H258" s="1" t="s">
        <v>39</v>
      </c>
      <c r="I258" s="1" t="s">
        <v>155</v>
      </c>
      <c r="J258" s="1">
        <v>1</v>
      </c>
      <c r="K258" s="1">
        <v>42935.31</v>
      </c>
      <c r="L258" s="1">
        <v>0.05</v>
      </c>
      <c r="M258" s="1">
        <v>42935.31</v>
      </c>
      <c r="N258" s="1">
        <v>2146.7655</v>
      </c>
      <c r="O258" s="1">
        <v>40788.544500000004</v>
      </c>
      <c r="P258" s="1">
        <v>31815.064709999999</v>
      </c>
      <c r="Q258" s="1">
        <v>8973.4797899999976</v>
      </c>
      <c r="R258" s="1">
        <v>22</v>
      </c>
      <c r="S258" s="1" t="s">
        <v>93</v>
      </c>
    </row>
    <row r="259" spans="1:19" x14ac:dyDescent="0.35">
      <c r="A259" s="1" t="s">
        <v>512</v>
      </c>
      <c r="B259" s="3">
        <v>45659</v>
      </c>
      <c r="C259" s="1" t="s">
        <v>193</v>
      </c>
      <c r="D259" s="1">
        <v>1</v>
      </c>
      <c r="E259" s="1" t="s">
        <v>513</v>
      </c>
      <c r="F259" s="1" t="s">
        <v>22</v>
      </c>
      <c r="G259" s="1" t="s">
        <v>23</v>
      </c>
      <c r="H259" s="1" t="s">
        <v>77</v>
      </c>
      <c r="I259" s="1" t="s">
        <v>103</v>
      </c>
      <c r="J259" s="1">
        <v>1</v>
      </c>
      <c r="K259" s="1">
        <v>819.38</v>
      </c>
      <c r="L259" s="1">
        <v>0.1</v>
      </c>
      <c r="M259" s="1">
        <v>819.38</v>
      </c>
      <c r="N259" s="1">
        <v>81.938000000000002</v>
      </c>
      <c r="O259" s="1">
        <v>737.44200000000001</v>
      </c>
      <c r="P259" s="1">
        <v>530.95823999999993</v>
      </c>
      <c r="Q259" s="1">
        <v>206.4837600000001</v>
      </c>
      <c r="R259" s="1">
        <v>28.000000000000011</v>
      </c>
      <c r="S259" s="1" t="s">
        <v>33</v>
      </c>
    </row>
    <row r="260" spans="1:19" x14ac:dyDescent="0.35">
      <c r="A260" s="1" t="s">
        <v>514</v>
      </c>
      <c r="B260" s="3">
        <v>45716</v>
      </c>
      <c r="C260" s="1" t="s">
        <v>42</v>
      </c>
      <c r="D260" s="1">
        <v>2</v>
      </c>
      <c r="E260" s="1" t="s">
        <v>515</v>
      </c>
      <c r="F260" s="1" t="s">
        <v>22</v>
      </c>
      <c r="G260" s="1" t="s">
        <v>64</v>
      </c>
      <c r="H260" s="1" t="s">
        <v>99</v>
      </c>
      <c r="I260" s="1" t="s">
        <v>108</v>
      </c>
      <c r="J260" s="1">
        <v>3</v>
      </c>
      <c r="K260" s="1">
        <v>3669.02</v>
      </c>
      <c r="L260" s="1">
        <v>0.2</v>
      </c>
      <c r="M260" s="1">
        <v>11007.06</v>
      </c>
      <c r="N260" s="1">
        <v>2201.4119999999998</v>
      </c>
      <c r="O260" s="1">
        <v>8805.6479999999992</v>
      </c>
      <c r="P260" s="1">
        <v>5987.8406400000003</v>
      </c>
      <c r="Q260" s="1">
        <v>2817.8073599999989</v>
      </c>
      <c r="R260" s="1">
        <v>31.999999999999989</v>
      </c>
      <c r="S260" s="1" t="s">
        <v>73</v>
      </c>
    </row>
    <row r="261" spans="1:19" x14ac:dyDescent="0.35">
      <c r="A261" s="1" t="s">
        <v>516</v>
      </c>
      <c r="B261" s="3">
        <v>45725</v>
      </c>
      <c r="C261" s="1" t="s">
        <v>28</v>
      </c>
      <c r="D261" s="1">
        <v>3</v>
      </c>
      <c r="E261" s="1" t="s">
        <v>189</v>
      </c>
      <c r="F261" s="1" t="s">
        <v>52</v>
      </c>
      <c r="G261" s="1" t="s">
        <v>23</v>
      </c>
      <c r="H261" s="1" t="s">
        <v>77</v>
      </c>
      <c r="I261" s="1" t="s">
        <v>90</v>
      </c>
      <c r="J261" s="1">
        <v>4</v>
      </c>
      <c r="K261" s="1">
        <v>647.29</v>
      </c>
      <c r="L261" s="1">
        <v>0.05</v>
      </c>
      <c r="M261" s="1">
        <v>2589.16</v>
      </c>
      <c r="N261" s="1">
        <v>129.458</v>
      </c>
      <c r="O261" s="1">
        <v>2459.7020000000002</v>
      </c>
      <c r="P261" s="1">
        <v>1770.9854399999999</v>
      </c>
      <c r="Q261" s="1">
        <v>688.71656000000007</v>
      </c>
      <c r="R261" s="1">
        <v>28.000000000000011</v>
      </c>
      <c r="S261" s="1" t="s">
        <v>93</v>
      </c>
    </row>
    <row r="262" spans="1:19" x14ac:dyDescent="0.35">
      <c r="A262" s="1" t="s">
        <v>517</v>
      </c>
      <c r="B262" s="3">
        <v>45825</v>
      </c>
      <c r="C262" s="1" t="s">
        <v>82</v>
      </c>
      <c r="D262" s="1">
        <v>6</v>
      </c>
      <c r="E262" s="1" t="s">
        <v>518</v>
      </c>
      <c r="F262" s="1" t="s">
        <v>69</v>
      </c>
      <c r="G262" s="1" t="s">
        <v>64</v>
      </c>
      <c r="H262" s="1" t="s">
        <v>99</v>
      </c>
      <c r="I262" s="1" t="s">
        <v>145</v>
      </c>
      <c r="J262" s="1">
        <v>4</v>
      </c>
      <c r="K262" s="1">
        <v>19870.28</v>
      </c>
      <c r="L262" s="1">
        <v>0</v>
      </c>
      <c r="M262" s="1">
        <v>79481.119999999995</v>
      </c>
      <c r="N262" s="1">
        <v>0</v>
      </c>
      <c r="O262" s="1">
        <v>79481.119999999995</v>
      </c>
      <c r="P262" s="1">
        <v>54047.161599999999</v>
      </c>
      <c r="Q262" s="1">
        <v>25433.9584</v>
      </c>
      <c r="R262" s="1">
        <v>32</v>
      </c>
      <c r="S262" s="1" t="s">
        <v>33</v>
      </c>
    </row>
    <row r="263" spans="1:19" x14ac:dyDescent="0.35">
      <c r="A263" s="1" t="s">
        <v>519</v>
      </c>
      <c r="B263" s="3">
        <v>45884</v>
      </c>
      <c r="C263" s="1" t="s">
        <v>113</v>
      </c>
      <c r="D263" s="1">
        <v>8</v>
      </c>
      <c r="E263" s="1" t="s">
        <v>331</v>
      </c>
      <c r="F263" s="1" t="s">
        <v>69</v>
      </c>
      <c r="G263" s="1" t="s">
        <v>64</v>
      </c>
      <c r="H263" s="1" t="s">
        <v>77</v>
      </c>
      <c r="I263" s="1" t="s">
        <v>90</v>
      </c>
      <c r="J263" s="1">
        <v>7</v>
      </c>
      <c r="K263" s="1">
        <v>805.3</v>
      </c>
      <c r="L263" s="1">
        <v>0.2</v>
      </c>
      <c r="M263" s="1">
        <v>5637.0999999999995</v>
      </c>
      <c r="N263" s="1">
        <v>1127.42</v>
      </c>
      <c r="O263" s="1">
        <v>4509.6799999999994</v>
      </c>
      <c r="P263" s="1">
        <v>3246.969599999999</v>
      </c>
      <c r="Q263" s="1">
        <v>1262.7103999999999</v>
      </c>
      <c r="R263" s="1">
        <v>28</v>
      </c>
      <c r="S263" s="1" t="s">
        <v>26</v>
      </c>
    </row>
    <row r="264" spans="1:19" x14ac:dyDescent="0.35">
      <c r="A264" s="1" t="s">
        <v>520</v>
      </c>
      <c r="B264" s="3">
        <v>45925</v>
      </c>
      <c r="C264" s="1" t="s">
        <v>50</v>
      </c>
      <c r="D264" s="1">
        <v>9</v>
      </c>
      <c r="E264" s="1" t="s">
        <v>521</v>
      </c>
      <c r="F264" s="1" t="s">
        <v>30</v>
      </c>
      <c r="G264" s="1" t="s">
        <v>38</v>
      </c>
      <c r="H264" s="1" t="s">
        <v>99</v>
      </c>
      <c r="I264" s="1" t="s">
        <v>223</v>
      </c>
      <c r="J264" s="1">
        <v>4</v>
      </c>
      <c r="K264" s="1">
        <v>20339.22</v>
      </c>
      <c r="L264" s="1">
        <v>0.15</v>
      </c>
      <c r="M264" s="1">
        <v>81356.88</v>
      </c>
      <c r="N264" s="1">
        <v>12203.531999999999</v>
      </c>
      <c r="O264" s="1">
        <v>69153.347999999998</v>
      </c>
      <c r="P264" s="1">
        <v>47024.276639999996</v>
      </c>
      <c r="Q264" s="1">
        <v>22129.071359999991</v>
      </c>
      <c r="R264" s="1">
        <v>32</v>
      </c>
      <c r="S264" s="1" t="s">
        <v>73</v>
      </c>
    </row>
    <row r="265" spans="1:19" x14ac:dyDescent="0.35">
      <c r="A265" s="1" t="s">
        <v>522</v>
      </c>
      <c r="B265" s="3">
        <v>45699</v>
      </c>
      <c r="C265" s="1" t="s">
        <v>42</v>
      </c>
      <c r="D265" s="1">
        <v>2</v>
      </c>
      <c r="E265" s="1" t="s">
        <v>523</v>
      </c>
      <c r="F265" s="1" t="s">
        <v>47</v>
      </c>
      <c r="G265" s="1" t="s">
        <v>38</v>
      </c>
      <c r="H265" s="1" t="s">
        <v>24</v>
      </c>
      <c r="I265" s="1" t="s">
        <v>117</v>
      </c>
      <c r="J265" s="1">
        <v>4</v>
      </c>
      <c r="K265" s="1">
        <v>3568.01</v>
      </c>
      <c r="L265" s="1">
        <v>0.05</v>
      </c>
      <c r="M265" s="1">
        <v>14272.04</v>
      </c>
      <c r="N265" s="1">
        <v>713.60200000000009</v>
      </c>
      <c r="O265" s="1">
        <v>13558.438</v>
      </c>
      <c r="P265" s="1">
        <v>7457.1409000000003</v>
      </c>
      <c r="Q265" s="1">
        <v>6101.2970999999998</v>
      </c>
      <c r="R265" s="1">
        <v>44.999999999999993</v>
      </c>
      <c r="S265" s="1" t="s">
        <v>33</v>
      </c>
    </row>
    <row r="266" spans="1:19" x14ac:dyDescent="0.35">
      <c r="A266" s="1" t="s">
        <v>524</v>
      </c>
      <c r="B266" s="3">
        <v>45786</v>
      </c>
      <c r="C266" s="1" t="s">
        <v>97</v>
      </c>
      <c r="D266" s="1">
        <v>5</v>
      </c>
      <c r="E266" s="1" t="s">
        <v>157</v>
      </c>
      <c r="F266" s="1" t="s">
        <v>69</v>
      </c>
      <c r="G266" s="1" t="s">
        <v>64</v>
      </c>
      <c r="H266" s="1" t="s">
        <v>31</v>
      </c>
      <c r="I266" s="1" t="s">
        <v>59</v>
      </c>
      <c r="J266" s="1">
        <v>4</v>
      </c>
      <c r="K266" s="1">
        <v>2907.25</v>
      </c>
      <c r="L266" s="1">
        <v>0.1</v>
      </c>
      <c r="M266" s="1">
        <v>11629</v>
      </c>
      <c r="N266" s="1">
        <v>1162.9000000000001</v>
      </c>
      <c r="O266" s="1">
        <v>10466.1</v>
      </c>
      <c r="P266" s="1">
        <v>5442.3720000000003</v>
      </c>
      <c r="Q266" s="1">
        <v>5023.7280000000001</v>
      </c>
      <c r="R266" s="1">
        <v>48</v>
      </c>
      <c r="S266" s="1" t="s">
        <v>26</v>
      </c>
    </row>
    <row r="267" spans="1:19" x14ac:dyDescent="0.35">
      <c r="A267" s="1" t="s">
        <v>525</v>
      </c>
      <c r="B267" s="3">
        <v>45959</v>
      </c>
      <c r="C267" s="1" t="s">
        <v>35</v>
      </c>
      <c r="D267" s="1">
        <v>10</v>
      </c>
      <c r="E267" s="1" t="s">
        <v>278</v>
      </c>
      <c r="F267" s="1" t="s">
        <v>47</v>
      </c>
      <c r="G267" s="1" t="s">
        <v>23</v>
      </c>
      <c r="H267" s="1" t="s">
        <v>39</v>
      </c>
      <c r="I267" s="1" t="s">
        <v>214</v>
      </c>
      <c r="J267" s="1">
        <v>7</v>
      </c>
      <c r="K267" s="1">
        <v>35665.46</v>
      </c>
      <c r="L267" s="1">
        <v>0.05</v>
      </c>
      <c r="M267" s="1">
        <v>249658.22</v>
      </c>
      <c r="N267" s="1">
        <v>12482.911</v>
      </c>
      <c r="O267" s="1">
        <v>237175.30900000001</v>
      </c>
      <c r="P267" s="1">
        <v>184996.74101999999</v>
      </c>
      <c r="Q267" s="1">
        <v>52178.567979999993</v>
      </c>
      <c r="R267" s="1">
        <v>22</v>
      </c>
      <c r="S267" s="1" t="s">
        <v>26</v>
      </c>
    </row>
    <row r="268" spans="1:19" x14ac:dyDescent="0.35">
      <c r="A268" s="1" t="s">
        <v>526</v>
      </c>
      <c r="B268" s="3">
        <v>45904</v>
      </c>
      <c r="C268" s="1" t="s">
        <v>50</v>
      </c>
      <c r="D268" s="1">
        <v>9</v>
      </c>
      <c r="E268" s="1" t="s">
        <v>293</v>
      </c>
      <c r="F268" s="1" t="s">
        <v>58</v>
      </c>
      <c r="G268" s="1" t="s">
        <v>23</v>
      </c>
      <c r="H268" s="1" t="s">
        <v>53</v>
      </c>
      <c r="I268" s="1" t="s">
        <v>54</v>
      </c>
      <c r="J268" s="1">
        <v>5</v>
      </c>
      <c r="K268" s="1">
        <v>1443.41</v>
      </c>
      <c r="L268" s="1">
        <v>0.1</v>
      </c>
      <c r="M268" s="1">
        <v>7217.05</v>
      </c>
      <c r="N268" s="1">
        <v>721.70500000000004</v>
      </c>
      <c r="O268" s="1">
        <v>6495.3450000000003</v>
      </c>
      <c r="P268" s="1">
        <v>3767.3000999999999</v>
      </c>
      <c r="Q268" s="1">
        <v>2728.0448999999999</v>
      </c>
      <c r="R268" s="1">
        <v>42.000000000000007</v>
      </c>
      <c r="S268" s="1" t="s">
        <v>93</v>
      </c>
    </row>
    <row r="269" spans="1:19" x14ac:dyDescent="0.35">
      <c r="A269" s="1" t="s">
        <v>527</v>
      </c>
      <c r="B269" s="3">
        <v>45884</v>
      </c>
      <c r="C269" s="1" t="s">
        <v>113</v>
      </c>
      <c r="D269" s="1">
        <v>8</v>
      </c>
      <c r="E269" s="1" t="s">
        <v>85</v>
      </c>
      <c r="F269" s="1" t="s">
        <v>69</v>
      </c>
      <c r="G269" s="1" t="s">
        <v>64</v>
      </c>
      <c r="H269" s="1" t="s">
        <v>31</v>
      </c>
      <c r="I269" s="1" t="s">
        <v>190</v>
      </c>
      <c r="J269" s="1">
        <v>4</v>
      </c>
      <c r="K269" s="1">
        <v>3031.98</v>
      </c>
      <c r="L269" s="1">
        <v>0.2</v>
      </c>
      <c r="M269" s="1">
        <v>12127.92</v>
      </c>
      <c r="N269" s="1">
        <v>2425.5839999999998</v>
      </c>
      <c r="O269" s="1">
        <v>9702.3359999999993</v>
      </c>
      <c r="P269" s="1">
        <v>5045.2147199999999</v>
      </c>
      <c r="Q269" s="1">
        <v>4657.1212799999994</v>
      </c>
      <c r="R269" s="1">
        <v>48</v>
      </c>
      <c r="S269" s="1" t="s">
        <v>73</v>
      </c>
    </row>
    <row r="270" spans="1:19" x14ac:dyDescent="0.35">
      <c r="A270" s="1" t="s">
        <v>528</v>
      </c>
      <c r="B270" s="3">
        <v>46021</v>
      </c>
      <c r="C270" s="1" t="s">
        <v>67</v>
      </c>
      <c r="D270" s="1">
        <v>12</v>
      </c>
      <c r="E270" s="1" t="s">
        <v>529</v>
      </c>
      <c r="F270" s="1" t="s">
        <v>37</v>
      </c>
      <c r="G270" s="1" t="s">
        <v>64</v>
      </c>
      <c r="H270" s="1" t="s">
        <v>24</v>
      </c>
      <c r="I270" s="1" t="s">
        <v>48</v>
      </c>
      <c r="J270" s="1">
        <v>1</v>
      </c>
      <c r="K270" s="1">
        <v>2467.89</v>
      </c>
      <c r="L270" s="1">
        <v>0.1</v>
      </c>
      <c r="M270" s="1">
        <v>2467.89</v>
      </c>
      <c r="N270" s="1">
        <v>246.78899999999999</v>
      </c>
      <c r="O270" s="1">
        <v>2221.1010000000001</v>
      </c>
      <c r="P270" s="1">
        <v>1221.60555</v>
      </c>
      <c r="Q270" s="1">
        <v>999.49544999999966</v>
      </c>
      <c r="R270" s="1">
        <v>44.999999999999993</v>
      </c>
      <c r="S270" s="1" t="s">
        <v>73</v>
      </c>
    </row>
    <row r="271" spans="1:19" x14ac:dyDescent="0.35">
      <c r="A271" s="1" t="s">
        <v>530</v>
      </c>
      <c r="B271" s="3">
        <v>45847</v>
      </c>
      <c r="C271" s="1" t="s">
        <v>62</v>
      </c>
      <c r="D271" s="1">
        <v>7</v>
      </c>
      <c r="E271" s="1" t="s">
        <v>295</v>
      </c>
      <c r="F271" s="1" t="s">
        <v>43</v>
      </c>
      <c r="G271" s="1" t="s">
        <v>38</v>
      </c>
      <c r="H271" s="1" t="s">
        <v>39</v>
      </c>
      <c r="I271" s="1" t="s">
        <v>87</v>
      </c>
      <c r="J271" s="1">
        <v>5</v>
      </c>
      <c r="K271" s="1">
        <v>31946.77</v>
      </c>
      <c r="L271" s="1">
        <v>0.25</v>
      </c>
      <c r="M271" s="1">
        <v>159733.85</v>
      </c>
      <c r="N271" s="1">
        <v>39933.462500000001</v>
      </c>
      <c r="O271" s="1">
        <v>119800.3875</v>
      </c>
      <c r="P271" s="1">
        <v>93444.302250000008</v>
      </c>
      <c r="Q271" s="1">
        <v>26356.08525</v>
      </c>
      <c r="R271" s="1">
        <v>22</v>
      </c>
      <c r="S271" s="1" t="s">
        <v>93</v>
      </c>
    </row>
    <row r="272" spans="1:19" x14ac:dyDescent="0.35">
      <c r="A272" s="1" t="s">
        <v>531</v>
      </c>
      <c r="B272" s="3">
        <v>45765</v>
      </c>
      <c r="C272" s="1" t="s">
        <v>20</v>
      </c>
      <c r="D272" s="1">
        <v>4</v>
      </c>
      <c r="E272" s="1" t="s">
        <v>532</v>
      </c>
      <c r="F272" s="1" t="s">
        <v>47</v>
      </c>
      <c r="G272" s="1" t="s">
        <v>23</v>
      </c>
      <c r="H272" s="1" t="s">
        <v>53</v>
      </c>
      <c r="I272" s="1" t="s">
        <v>128</v>
      </c>
      <c r="J272" s="1">
        <v>6</v>
      </c>
      <c r="K272" s="1">
        <v>2449.85</v>
      </c>
      <c r="L272" s="1">
        <v>0.15</v>
      </c>
      <c r="M272" s="1">
        <v>14699.1</v>
      </c>
      <c r="N272" s="1">
        <v>2204.8649999999998</v>
      </c>
      <c r="O272" s="1">
        <v>12494.235000000001</v>
      </c>
      <c r="P272" s="1">
        <v>7246.6562999999987</v>
      </c>
      <c r="Q272" s="1">
        <v>5247.5787</v>
      </c>
      <c r="R272" s="1">
        <v>42.000000000000007</v>
      </c>
      <c r="S272" s="1" t="s">
        <v>33</v>
      </c>
    </row>
    <row r="273" spans="1:19" x14ac:dyDescent="0.35">
      <c r="A273" s="1" t="s">
        <v>533</v>
      </c>
      <c r="B273" s="3">
        <v>45704</v>
      </c>
      <c r="C273" s="1" t="s">
        <v>42</v>
      </c>
      <c r="D273" s="1">
        <v>2</v>
      </c>
      <c r="E273" s="1" t="s">
        <v>98</v>
      </c>
      <c r="F273" s="1" t="s">
        <v>22</v>
      </c>
      <c r="G273" s="1" t="s">
        <v>38</v>
      </c>
      <c r="H273" s="1" t="s">
        <v>77</v>
      </c>
      <c r="I273" s="1" t="s">
        <v>90</v>
      </c>
      <c r="J273" s="1">
        <v>1</v>
      </c>
      <c r="K273" s="1">
        <v>803.57</v>
      </c>
      <c r="L273" s="1">
        <v>0.3</v>
      </c>
      <c r="M273" s="1">
        <v>803.57</v>
      </c>
      <c r="N273" s="1">
        <v>241.071</v>
      </c>
      <c r="O273" s="1">
        <v>562.49900000000002</v>
      </c>
      <c r="P273" s="1">
        <v>404.99928</v>
      </c>
      <c r="Q273" s="1">
        <v>157.49972</v>
      </c>
      <c r="R273" s="1">
        <v>28</v>
      </c>
      <c r="S273" s="1" t="s">
        <v>33</v>
      </c>
    </row>
    <row r="274" spans="1:19" x14ac:dyDescent="0.35">
      <c r="A274" s="1" t="s">
        <v>534</v>
      </c>
      <c r="B274" s="3">
        <v>45960</v>
      </c>
      <c r="C274" s="1" t="s">
        <v>35</v>
      </c>
      <c r="D274" s="1">
        <v>10</v>
      </c>
      <c r="E274" s="1" t="s">
        <v>187</v>
      </c>
      <c r="F274" s="1" t="s">
        <v>111</v>
      </c>
      <c r="G274" s="1" t="s">
        <v>23</v>
      </c>
      <c r="H274" s="1" t="s">
        <v>77</v>
      </c>
      <c r="I274" s="1" t="s">
        <v>103</v>
      </c>
      <c r="J274" s="1">
        <v>7</v>
      </c>
      <c r="K274" s="1">
        <v>294.54000000000002</v>
      </c>
      <c r="L274" s="1">
        <v>0</v>
      </c>
      <c r="M274" s="1">
        <v>2061.7800000000002</v>
      </c>
      <c r="N274" s="1">
        <v>0</v>
      </c>
      <c r="O274" s="1">
        <v>2061.7800000000002</v>
      </c>
      <c r="P274" s="1">
        <v>1484.4816000000001</v>
      </c>
      <c r="Q274" s="1">
        <v>577.29840000000013</v>
      </c>
      <c r="R274" s="1">
        <v>28</v>
      </c>
      <c r="S274" s="1" t="s">
        <v>33</v>
      </c>
    </row>
    <row r="275" spans="1:19" x14ac:dyDescent="0.35">
      <c r="A275" s="1" t="s">
        <v>535</v>
      </c>
      <c r="B275" s="3">
        <v>45696</v>
      </c>
      <c r="C275" s="1" t="s">
        <v>42</v>
      </c>
      <c r="D275" s="1">
        <v>2</v>
      </c>
      <c r="E275" s="1" t="s">
        <v>536</v>
      </c>
      <c r="F275" s="1" t="s">
        <v>76</v>
      </c>
      <c r="G275" s="1" t="s">
        <v>23</v>
      </c>
      <c r="H275" s="1" t="s">
        <v>39</v>
      </c>
      <c r="I275" s="1" t="s">
        <v>40</v>
      </c>
      <c r="J275" s="1">
        <v>3</v>
      </c>
      <c r="K275" s="1">
        <v>11368.35</v>
      </c>
      <c r="L275" s="1">
        <v>0.25</v>
      </c>
      <c r="M275" s="1">
        <v>34105.050000000003</v>
      </c>
      <c r="N275" s="1">
        <v>8526.2625000000007</v>
      </c>
      <c r="O275" s="1">
        <v>25578.787499999999</v>
      </c>
      <c r="P275" s="1">
        <v>19951.454249999999</v>
      </c>
      <c r="Q275" s="1">
        <v>5627.3332499999997</v>
      </c>
      <c r="R275" s="1">
        <v>22</v>
      </c>
      <c r="S275" s="1" t="s">
        <v>26</v>
      </c>
    </row>
    <row r="276" spans="1:19" x14ac:dyDescent="0.35">
      <c r="A276" s="1" t="s">
        <v>537</v>
      </c>
      <c r="B276" s="3">
        <v>45748</v>
      </c>
      <c r="C276" s="1" t="s">
        <v>20</v>
      </c>
      <c r="D276" s="1">
        <v>4</v>
      </c>
      <c r="E276" s="1" t="s">
        <v>538</v>
      </c>
      <c r="F276" s="1" t="s">
        <v>69</v>
      </c>
      <c r="G276" s="1" t="s">
        <v>38</v>
      </c>
      <c r="H276" s="1" t="s">
        <v>99</v>
      </c>
      <c r="I276" s="1" t="s">
        <v>100</v>
      </c>
      <c r="J276" s="1">
        <v>6</v>
      </c>
      <c r="K276" s="1">
        <v>12858.06</v>
      </c>
      <c r="L276" s="1">
        <v>0.2</v>
      </c>
      <c r="M276" s="1">
        <v>77148.36</v>
      </c>
      <c r="N276" s="1">
        <v>15429.672</v>
      </c>
      <c r="O276" s="1">
        <v>61718.688000000002</v>
      </c>
      <c r="P276" s="1">
        <v>41968.707840000003</v>
      </c>
      <c r="Q276" s="1">
        <v>19749.980159999999</v>
      </c>
      <c r="R276" s="1">
        <v>32</v>
      </c>
      <c r="S276" s="1" t="s">
        <v>33</v>
      </c>
    </row>
    <row r="277" spans="1:19" x14ac:dyDescent="0.35">
      <c r="A277" s="1" t="s">
        <v>539</v>
      </c>
      <c r="B277" s="3">
        <v>45938</v>
      </c>
      <c r="C277" s="1" t="s">
        <v>35</v>
      </c>
      <c r="D277" s="1">
        <v>10</v>
      </c>
      <c r="E277" s="1" t="s">
        <v>540</v>
      </c>
      <c r="F277" s="1" t="s">
        <v>69</v>
      </c>
      <c r="G277" s="1" t="s">
        <v>38</v>
      </c>
      <c r="H277" s="1" t="s">
        <v>77</v>
      </c>
      <c r="I277" s="1" t="s">
        <v>201</v>
      </c>
      <c r="J277" s="1">
        <v>2</v>
      </c>
      <c r="K277" s="1">
        <v>1161.18</v>
      </c>
      <c r="L277" s="1">
        <v>0.05</v>
      </c>
      <c r="M277" s="1">
        <v>2322.36</v>
      </c>
      <c r="N277" s="1">
        <v>116.11799999999999</v>
      </c>
      <c r="O277" s="1">
        <v>2206.2420000000002</v>
      </c>
      <c r="P277" s="1">
        <v>1588.49424</v>
      </c>
      <c r="Q277" s="1">
        <v>617.7477600000002</v>
      </c>
      <c r="R277" s="1">
        <v>28.000000000000011</v>
      </c>
      <c r="S277" s="1" t="s">
        <v>26</v>
      </c>
    </row>
    <row r="278" spans="1:19" x14ac:dyDescent="0.35">
      <c r="A278" s="1" t="s">
        <v>541</v>
      </c>
      <c r="B278" s="3">
        <v>45858</v>
      </c>
      <c r="C278" s="1" t="s">
        <v>62</v>
      </c>
      <c r="D278" s="1">
        <v>7</v>
      </c>
      <c r="E278" s="1" t="s">
        <v>222</v>
      </c>
      <c r="F278" s="1" t="s">
        <v>22</v>
      </c>
      <c r="G278" s="1" t="s">
        <v>64</v>
      </c>
      <c r="H278" s="1" t="s">
        <v>24</v>
      </c>
      <c r="I278" s="1" t="s">
        <v>48</v>
      </c>
      <c r="J278" s="1">
        <v>4</v>
      </c>
      <c r="K278" s="1">
        <v>5899.89</v>
      </c>
      <c r="L278" s="1">
        <v>0.15</v>
      </c>
      <c r="M278" s="1">
        <v>23599.56</v>
      </c>
      <c r="N278" s="1">
        <v>3539.9340000000002</v>
      </c>
      <c r="O278" s="1">
        <v>20059.626</v>
      </c>
      <c r="P278" s="1">
        <v>11032.7943</v>
      </c>
      <c r="Q278" s="1">
        <v>9026.8316999999988</v>
      </c>
      <c r="R278" s="1">
        <v>44.999999999999993</v>
      </c>
      <c r="S278" s="1" t="s">
        <v>26</v>
      </c>
    </row>
    <row r="279" spans="1:19" x14ac:dyDescent="0.35">
      <c r="A279" s="1" t="s">
        <v>542</v>
      </c>
      <c r="B279" s="3">
        <v>45777</v>
      </c>
      <c r="C279" s="1" t="s">
        <v>20</v>
      </c>
      <c r="D279" s="1">
        <v>4</v>
      </c>
      <c r="E279" s="1" t="s">
        <v>543</v>
      </c>
      <c r="F279" s="1" t="s">
        <v>43</v>
      </c>
      <c r="G279" s="1" t="s">
        <v>64</v>
      </c>
      <c r="H279" s="1" t="s">
        <v>77</v>
      </c>
      <c r="I279" s="1" t="s">
        <v>103</v>
      </c>
      <c r="J279" s="1">
        <v>5</v>
      </c>
      <c r="K279" s="1">
        <v>671.8</v>
      </c>
      <c r="L279" s="1">
        <v>0</v>
      </c>
      <c r="M279" s="1">
        <v>3359</v>
      </c>
      <c r="N279" s="1">
        <v>0</v>
      </c>
      <c r="O279" s="1">
        <v>3359</v>
      </c>
      <c r="P279" s="1">
        <v>2418.48</v>
      </c>
      <c r="Q279" s="1">
        <v>940.52</v>
      </c>
      <c r="R279" s="1">
        <v>28</v>
      </c>
      <c r="S279" s="1" t="s">
        <v>60</v>
      </c>
    </row>
    <row r="280" spans="1:19" x14ac:dyDescent="0.35">
      <c r="A280" s="1" t="s">
        <v>544</v>
      </c>
      <c r="B280" s="3">
        <v>45799</v>
      </c>
      <c r="C280" s="1" t="s">
        <v>97</v>
      </c>
      <c r="D280" s="1">
        <v>5</v>
      </c>
      <c r="E280" s="1" t="s">
        <v>545</v>
      </c>
      <c r="F280" s="1" t="s">
        <v>43</v>
      </c>
      <c r="G280" s="1" t="s">
        <v>38</v>
      </c>
      <c r="H280" s="1" t="s">
        <v>53</v>
      </c>
      <c r="I280" s="1" t="s">
        <v>72</v>
      </c>
      <c r="J280" s="1">
        <v>5</v>
      </c>
      <c r="K280" s="1">
        <v>813.37</v>
      </c>
      <c r="L280" s="1">
        <v>0.05</v>
      </c>
      <c r="M280" s="1">
        <v>4066.85</v>
      </c>
      <c r="N280" s="1">
        <v>203.3425</v>
      </c>
      <c r="O280" s="1">
        <v>3863.5075000000002</v>
      </c>
      <c r="P280" s="1">
        <v>2240.8343500000001</v>
      </c>
      <c r="Q280" s="1">
        <v>1622.6731500000001</v>
      </c>
      <c r="R280" s="1">
        <v>42.000000000000007</v>
      </c>
      <c r="S280" s="1" t="s">
        <v>33</v>
      </c>
    </row>
    <row r="281" spans="1:19" x14ac:dyDescent="0.35">
      <c r="A281" s="1" t="s">
        <v>546</v>
      </c>
      <c r="B281" s="3">
        <v>45921</v>
      </c>
      <c r="C281" s="1" t="s">
        <v>50</v>
      </c>
      <c r="D281" s="1">
        <v>9</v>
      </c>
      <c r="E281" s="1" t="s">
        <v>394</v>
      </c>
      <c r="F281" s="1" t="s">
        <v>22</v>
      </c>
      <c r="G281" s="1" t="s">
        <v>64</v>
      </c>
      <c r="H281" s="1" t="s">
        <v>99</v>
      </c>
      <c r="I281" s="1" t="s">
        <v>223</v>
      </c>
      <c r="J281" s="1">
        <v>1</v>
      </c>
      <c r="K281" s="1">
        <v>9934.18</v>
      </c>
      <c r="L281" s="1">
        <v>0.1</v>
      </c>
      <c r="M281" s="1">
        <v>9934.18</v>
      </c>
      <c r="N281" s="1">
        <v>993.41800000000012</v>
      </c>
      <c r="O281" s="1">
        <v>8940.7620000000006</v>
      </c>
      <c r="P281" s="1">
        <v>6079.7181600000013</v>
      </c>
      <c r="Q281" s="1">
        <v>2861.0438399999989</v>
      </c>
      <c r="R281" s="1">
        <v>31.999999999999989</v>
      </c>
      <c r="S281" s="1" t="s">
        <v>33</v>
      </c>
    </row>
    <row r="282" spans="1:19" x14ac:dyDescent="0.35">
      <c r="A282" s="1" t="s">
        <v>547</v>
      </c>
      <c r="B282" s="3">
        <v>45692</v>
      </c>
      <c r="C282" s="1" t="s">
        <v>42</v>
      </c>
      <c r="D282" s="1">
        <v>2</v>
      </c>
      <c r="E282" s="1" t="s">
        <v>448</v>
      </c>
      <c r="F282" s="1" t="s">
        <v>111</v>
      </c>
      <c r="G282" s="1" t="s">
        <v>38</v>
      </c>
      <c r="H282" s="1" t="s">
        <v>53</v>
      </c>
      <c r="I282" s="1" t="s">
        <v>72</v>
      </c>
      <c r="J282" s="1">
        <v>6</v>
      </c>
      <c r="K282" s="1">
        <v>2153.67</v>
      </c>
      <c r="L282" s="1">
        <v>0.1</v>
      </c>
      <c r="M282" s="1">
        <v>12922.02</v>
      </c>
      <c r="N282" s="1">
        <v>1292.202</v>
      </c>
      <c r="O282" s="1">
        <v>11629.817999999999</v>
      </c>
      <c r="P282" s="1">
        <v>6745.2944399999988</v>
      </c>
      <c r="Q282" s="1">
        <v>4884.5235600000015</v>
      </c>
      <c r="R282" s="1">
        <v>42.000000000000007</v>
      </c>
      <c r="S282" s="1" t="s">
        <v>60</v>
      </c>
    </row>
    <row r="283" spans="1:19" x14ac:dyDescent="0.35">
      <c r="A283" s="1" t="s">
        <v>548</v>
      </c>
      <c r="B283" s="3">
        <v>45858</v>
      </c>
      <c r="C283" s="1" t="s">
        <v>62</v>
      </c>
      <c r="D283" s="1">
        <v>7</v>
      </c>
      <c r="E283" s="1" t="s">
        <v>549</v>
      </c>
      <c r="F283" s="1" t="s">
        <v>76</v>
      </c>
      <c r="G283" s="1" t="s">
        <v>64</v>
      </c>
      <c r="H283" s="1" t="s">
        <v>31</v>
      </c>
      <c r="I283" s="1" t="s">
        <v>59</v>
      </c>
      <c r="J283" s="1">
        <v>1</v>
      </c>
      <c r="K283" s="1">
        <v>2408.36</v>
      </c>
      <c r="L283" s="1">
        <v>0.2</v>
      </c>
      <c r="M283" s="1">
        <v>2408.36</v>
      </c>
      <c r="N283" s="1">
        <v>481.67200000000003</v>
      </c>
      <c r="O283" s="1">
        <v>1926.6880000000001</v>
      </c>
      <c r="P283" s="1">
        <v>1001.87776</v>
      </c>
      <c r="Q283" s="1">
        <v>924.81024000000002</v>
      </c>
      <c r="R283" s="1">
        <v>48</v>
      </c>
      <c r="S283" s="1" t="s">
        <v>33</v>
      </c>
    </row>
    <row r="284" spans="1:19" x14ac:dyDescent="0.35">
      <c r="A284" s="1" t="s">
        <v>550</v>
      </c>
      <c r="B284" s="3">
        <v>45831</v>
      </c>
      <c r="C284" s="1" t="s">
        <v>82</v>
      </c>
      <c r="D284" s="1">
        <v>6</v>
      </c>
      <c r="E284" s="1" t="s">
        <v>551</v>
      </c>
      <c r="F284" s="1" t="s">
        <v>111</v>
      </c>
      <c r="G284" s="1" t="s">
        <v>38</v>
      </c>
      <c r="H284" s="1" t="s">
        <v>39</v>
      </c>
      <c r="I284" s="1" t="s">
        <v>234</v>
      </c>
      <c r="J284" s="1">
        <v>3</v>
      </c>
      <c r="K284" s="1">
        <v>58873.83</v>
      </c>
      <c r="L284" s="1">
        <v>0.1</v>
      </c>
      <c r="M284" s="1">
        <v>176621.49</v>
      </c>
      <c r="N284" s="1">
        <v>17662.149000000001</v>
      </c>
      <c r="O284" s="1">
        <v>158959.34099999999</v>
      </c>
      <c r="P284" s="1">
        <v>123988.28598</v>
      </c>
      <c r="Q284" s="1">
        <v>34971.05502</v>
      </c>
      <c r="R284" s="1">
        <v>22</v>
      </c>
      <c r="S284" s="1" t="s">
        <v>60</v>
      </c>
    </row>
    <row r="285" spans="1:19" x14ac:dyDescent="0.35">
      <c r="A285" s="1" t="s">
        <v>552</v>
      </c>
      <c r="B285" s="3">
        <v>45814</v>
      </c>
      <c r="C285" s="1" t="s">
        <v>82</v>
      </c>
      <c r="D285" s="1">
        <v>6</v>
      </c>
      <c r="E285" s="1" t="s">
        <v>553</v>
      </c>
      <c r="F285" s="1" t="s">
        <v>52</v>
      </c>
      <c r="G285" s="1" t="s">
        <v>64</v>
      </c>
      <c r="H285" s="1" t="s">
        <v>53</v>
      </c>
      <c r="I285" s="1" t="s">
        <v>128</v>
      </c>
      <c r="J285" s="1">
        <v>4</v>
      </c>
      <c r="K285" s="1">
        <v>1723.42</v>
      </c>
      <c r="L285" s="1">
        <v>0.05</v>
      </c>
      <c r="M285" s="1">
        <v>6893.68</v>
      </c>
      <c r="N285" s="1">
        <v>344.68400000000003</v>
      </c>
      <c r="O285" s="1">
        <v>6548.9960000000001</v>
      </c>
      <c r="P285" s="1">
        <v>3798.41768</v>
      </c>
      <c r="Q285" s="1">
        <v>2750.5783200000001</v>
      </c>
      <c r="R285" s="1">
        <v>42</v>
      </c>
      <c r="S285" s="1" t="s">
        <v>33</v>
      </c>
    </row>
    <row r="286" spans="1:19" x14ac:dyDescent="0.35">
      <c r="A286" s="1" t="s">
        <v>554</v>
      </c>
      <c r="B286" s="3">
        <v>45851</v>
      </c>
      <c r="C286" s="1" t="s">
        <v>62</v>
      </c>
      <c r="D286" s="1">
        <v>7</v>
      </c>
      <c r="E286" s="1" t="s">
        <v>468</v>
      </c>
      <c r="F286" s="1" t="s">
        <v>52</v>
      </c>
      <c r="G286" s="1" t="s">
        <v>23</v>
      </c>
      <c r="H286" s="1" t="s">
        <v>99</v>
      </c>
      <c r="I286" s="1" t="s">
        <v>223</v>
      </c>
      <c r="J286" s="1">
        <v>3</v>
      </c>
      <c r="K286" s="1">
        <v>19230.86</v>
      </c>
      <c r="L286" s="1">
        <v>0.1</v>
      </c>
      <c r="M286" s="1">
        <v>57692.58</v>
      </c>
      <c r="N286" s="1">
        <v>5769.2580000000007</v>
      </c>
      <c r="O286" s="1">
        <v>51923.322</v>
      </c>
      <c r="P286" s="1">
        <v>35307.858960000012</v>
      </c>
      <c r="Q286" s="1">
        <v>16615.463039999999</v>
      </c>
      <c r="R286" s="1">
        <v>31.999999999999989</v>
      </c>
      <c r="S286" s="1" t="s">
        <v>73</v>
      </c>
    </row>
    <row r="287" spans="1:19" x14ac:dyDescent="0.35">
      <c r="A287" s="1" t="s">
        <v>555</v>
      </c>
      <c r="B287" s="3">
        <v>45718</v>
      </c>
      <c r="C287" s="1" t="s">
        <v>28</v>
      </c>
      <c r="D287" s="1">
        <v>3</v>
      </c>
      <c r="E287" s="1" t="s">
        <v>218</v>
      </c>
      <c r="F287" s="1" t="s">
        <v>76</v>
      </c>
      <c r="G287" s="1" t="s">
        <v>38</v>
      </c>
      <c r="H287" s="1" t="s">
        <v>24</v>
      </c>
      <c r="I287" s="1" t="s">
        <v>25</v>
      </c>
      <c r="J287" s="1">
        <v>6</v>
      </c>
      <c r="K287" s="1">
        <v>751.07</v>
      </c>
      <c r="L287" s="1">
        <v>0.05</v>
      </c>
      <c r="M287" s="1">
        <v>4506.42</v>
      </c>
      <c r="N287" s="1">
        <v>225.321</v>
      </c>
      <c r="O287" s="1">
        <v>4281.0990000000002</v>
      </c>
      <c r="P287" s="1">
        <v>2354.6044499999998</v>
      </c>
      <c r="Q287" s="1">
        <v>1926.4945499999999</v>
      </c>
      <c r="R287" s="1">
        <v>44.999999999999993</v>
      </c>
      <c r="S287" s="1" t="s">
        <v>93</v>
      </c>
    </row>
    <row r="288" spans="1:19" x14ac:dyDescent="0.35">
      <c r="A288" s="1" t="s">
        <v>556</v>
      </c>
      <c r="B288" s="3">
        <v>45997</v>
      </c>
      <c r="C288" s="1" t="s">
        <v>67</v>
      </c>
      <c r="D288" s="1">
        <v>12</v>
      </c>
      <c r="E288" s="1" t="s">
        <v>538</v>
      </c>
      <c r="F288" s="1" t="s">
        <v>30</v>
      </c>
      <c r="G288" s="1" t="s">
        <v>38</v>
      </c>
      <c r="H288" s="1" t="s">
        <v>39</v>
      </c>
      <c r="I288" s="1" t="s">
        <v>234</v>
      </c>
      <c r="J288" s="1">
        <v>5</v>
      </c>
      <c r="K288" s="1">
        <v>38609.43</v>
      </c>
      <c r="L288" s="1">
        <v>0.2</v>
      </c>
      <c r="M288" s="1">
        <v>193047.15</v>
      </c>
      <c r="N288" s="1">
        <v>38609.43</v>
      </c>
      <c r="O288" s="1">
        <v>154437.72</v>
      </c>
      <c r="P288" s="1">
        <v>120461.4216</v>
      </c>
      <c r="Q288" s="1">
        <v>33976.2984</v>
      </c>
      <c r="R288" s="1">
        <v>22</v>
      </c>
      <c r="S288" s="1" t="s">
        <v>33</v>
      </c>
    </row>
    <row r="289" spans="1:19" x14ac:dyDescent="0.35">
      <c r="A289" s="1" t="s">
        <v>557</v>
      </c>
      <c r="B289" s="3">
        <v>46010</v>
      </c>
      <c r="C289" s="1" t="s">
        <v>67</v>
      </c>
      <c r="D289" s="1">
        <v>12</v>
      </c>
      <c r="E289" s="1" t="s">
        <v>265</v>
      </c>
      <c r="F289" s="1" t="s">
        <v>52</v>
      </c>
      <c r="G289" s="1" t="s">
        <v>23</v>
      </c>
      <c r="H289" s="1" t="s">
        <v>99</v>
      </c>
      <c r="I289" s="1" t="s">
        <v>223</v>
      </c>
      <c r="J289" s="1">
        <v>7</v>
      </c>
      <c r="K289" s="1">
        <v>20558.18</v>
      </c>
      <c r="L289" s="1">
        <v>0.15</v>
      </c>
      <c r="M289" s="1">
        <v>143907.26</v>
      </c>
      <c r="N289" s="1">
        <v>21586.089</v>
      </c>
      <c r="O289" s="1">
        <v>122321.171</v>
      </c>
      <c r="P289" s="1">
        <v>83178.396280000001</v>
      </c>
      <c r="Q289" s="1">
        <v>39142.774720000001</v>
      </c>
      <c r="R289" s="1">
        <v>32</v>
      </c>
      <c r="S289" s="1" t="s">
        <v>60</v>
      </c>
    </row>
    <row r="290" spans="1:19" x14ac:dyDescent="0.35">
      <c r="A290" s="1" t="s">
        <v>558</v>
      </c>
      <c r="B290" s="3">
        <v>46001</v>
      </c>
      <c r="C290" s="1" t="s">
        <v>67</v>
      </c>
      <c r="D290" s="1">
        <v>12</v>
      </c>
      <c r="E290" s="1" t="s">
        <v>559</v>
      </c>
      <c r="F290" s="1" t="s">
        <v>22</v>
      </c>
      <c r="G290" s="1" t="s">
        <v>38</v>
      </c>
      <c r="H290" s="1" t="s">
        <v>31</v>
      </c>
      <c r="I290" s="1" t="s">
        <v>167</v>
      </c>
      <c r="J290" s="1">
        <v>1</v>
      </c>
      <c r="K290" s="1">
        <v>2236.3200000000002</v>
      </c>
      <c r="L290" s="1">
        <v>0</v>
      </c>
      <c r="M290" s="1">
        <v>2236.3200000000002</v>
      </c>
      <c r="N290" s="1">
        <v>0</v>
      </c>
      <c r="O290" s="1">
        <v>2236.3200000000002</v>
      </c>
      <c r="P290" s="1">
        <v>1162.8864000000001</v>
      </c>
      <c r="Q290" s="1">
        <v>1073.4336000000001</v>
      </c>
      <c r="R290" s="1">
        <v>48</v>
      </c>
      <c r="S290" s="1" t="s">
        <v>93</v>
      </c>
    </row>
    <row r="291" spans="1:19" x14ac:dyDescent="0.35">
      <c r="A291" s="1" t="s">
        <v>560</v>
      </c>
      <c r="B291" s="3">
        <v>45849</v>
      </c>
      <c r="C291" s="1" t="s">
        <v>62</v>
      </c>
      <c r="D291" s="1">
        <v>7</v>
      </c>
      <c r="E291" s="1" t="s">
        <v>561</v>
      </c>
      <c r="F291" s="1" t="s">
        <v>76</v>
      </c>
      <c r="G291" s="1" t="s">
        <v>38</v>
      </c>
      <c r="H291" s="1" t="s">
        <v>53</v>
      </c>
      <c r="I291" s="1" t="s">
        <v>72</v>
      </c>
      <c r="J291" s="1">
        <v>6</v>
      </c>
      <c r="K291" s="1">
        <v>2482.7600000000002</v>
      </c>
      <c r="L291" s="1">
        <v>0.05</v>
      </c>
      <c r="M291" s="1">
        <v>14896.56</v>
      </c>
      <c r="N291" s="1">
        <v>744.82800000000009</v>
      </c>
      <c r="O291" s="1">
        <v>14151.732</v>
      </c>
      <c r="P291" s="1">
        <v>8208.0045600000012</v>
      </c>
      <c r="Q291" s="1">
        <v>5943.7274400000006</v>
      </c>
      <c r="R291" s="1">
        <v>42</v>
      </c>
      <c r="S291" s="1" t="s">
        <v>93</v>
      </c>
    </row>
    <row r="292" spans="1:19" x14ac:dyDescent="0.35">
      <c r="A292" s="1" t="s">
        <v>562</v>
      </c>
      <c r="B292" s="3">
        <v>45766</v>
      </c>
      <c r="C292" s="1" t="s">
        <v>20</v>
      </c>
      <c r="D292" s="1">
        <v>4</v>
      </c>
      <c r="E292" s="1" t="s">
        <v>210</v>
      </c>
      <c r="F292" s="1" t="s">
        <v>37</v>
      </c>
      <c r="G292" s="1" t="s">
        <v>64</v>
      </c>
      <c r="H292" s="1" t="s">
        <v>24</v>
      </c>
      <c r="I292" s="1" t="s">
        <v>117</v>
      </c>
      <c r="J292" s="1">
        <v>5</v>
      </c>
      <c r="K292" s="1">
        <v>2201.5500000000002</v>
      </c>
      <c r="L292" s="1">
        <v>0.2</v>
      </c>
      <c r="M292" s="1">
        <v>11007.75</v>
      </c>
      <c r="N292" s="1">
        <v>2201.5500000000002</v>
      </c>
      <c r="O292" s="1">
        <v>8806.2000000000007</v>
      </c>
      <c r="P292" s="1">
        <v>4843.4100000000008</v>
      </c>
      <c r="Q292" s="1">
        <v>3962.79</v>
      </c>
      <c r="R292" s="1">
        <v>44.999999999999993</v>
      </c>
      <c r="S292" s="1" t="s">
        <v>26</v>
      </c>
    </row>
    <row r="293" spans="1:19" x14ac:dyDescent="0.35">
      <c r="A293" s="1" t="s">
        <v>563</v>
      </c>
      <c r="B293" s="3">
        <v>45831</v>
      </c>
      <c r="C293" s="1" t="s">
        <v>82</v>
      </c>
      <c r="D293" s="1">
        <v>6</v>
      </c>
      <c r="E293" s="1" t="s">
        <v>564</v>
      </c>
      <c r="F293" s="1" t="s">
        <v>47</v>
      </c>
      <c r="G293" s="1" t="s">
        <v>23</v>
      </c>
      <c r="H293" s="1" t="s">
        <v>77</v>
      </c>
      <c r="I293" s="1" t="s">
        <v>148</v>
      </c>
      <c r="J293" s="1">
        <v>5</v>
      </c>
      <c r="K293" s="1">
        <v>1004.03</v>
      </c>
      <c r="L293" s="1">
        <v>0</v>
      </c>
      <c r="M293" s="1">
        <v>5020.1499999999996</v>
      </c>
      <c r="N293" s="1">
        <v>0</v>
      </c>
      <c r="O293" s="1">
        <v>5020.1499999999996</v>
      </c>
      <c r="P293" s="1">
        <v>3614.5079999999998</v>
      </c>
      <c r="Q293" s="1">
        <v>1405.6420000000001</v>
      </c>
      <c r="R293" s="1">
        <v>28</v>
      </c>
      <c r="S293" s="1" t="s">
        <v>33</v>
      </c>
    </row>
    <row r="294" spans="1:19" x14ac:dyDescent="0.35">
      <c r="A294" s="1" t="s">
        <v>565</v>
      </c>
      <c r="B294" s="3">
        <v>45739</v>
      </c>
      <c r="C294" s="1" t="s">
        <v>28</v>
      </c>
      <c r="D294" s="1">
        <v>3</v>
      </c>
      <c r="E294" s="1" t="s">
        <v>225</v>
      </c>
      <c r="F294" s="1" t="s">
        <v>76</v>
      </c>
      <c r="G294" s="1" t="s">
        <v>23</v>
      </c>
      <c r="H294" s="1" t="s">
        <v>31</v>
      </c>
      <c r="I294" s="1" t="s">
        <v>190</v>
      </c>
      <c r="J294" s="1">
        <v>3</v>
      </c>
      <c r="K294" s="1">
        <v>2167.86</v>
      </c>
      <c r="L294" s="1">
        <v>0.1</v>
      </c>
      <c r="M294" s="1">
        <v>6503.58</v>
      </c>
      <c r="N294" s="1">
        <v>650.35800000000006</v>
      </c>
      <c r="O294" s="1">
        <v>5853.2219999999998</v>
      </c>
      <c r="P294" s="1">
        <v>3043.67544</v>
      </c>
      <c r="Q294" s="1">
        <v>2809.5465600000002</v>
      </c>
      <c r="R294" s="1">
        <v>48</v>
      </c>
      <c r="S294" s="1" t="s">
        <v>60</v>
      </c>
    </row>
    <row r="295" spans="1:19" x14ac:dyDescent="0.35">
      <c r="A295" s="1" t="s">
        <v>566</v>
      </c>
      <c r="B295" s="3">
        <v>45915</v>
      </c>
      <c r="C295" s="1" t="s">
        <v>50</v>
      </c>
      <c r="D295" s="1">
        <v>9</v>
      </c>
      <c r="E295" s="1" t="s">
        <v>475</v>
      </c>
      <c r="F295" s="1" t="s">
        <v>47</v>
      </c>
      <c r="G295" s="1" t="s">
        <v>38</v>
      </c>
      <c r="H295" s="1" t="s">
        <v>31</v>
      </c>
      <c r="I295" s="1" t="s">
        <v>167</v>
      </c>
      <c r="J295" s="1">
        <v>1</v>
      </c>
      <c r="K295" s="1">
        <v>2333.29</v>
      </c>
      <c r="L295" s="1">
        <v>0.25</v>
      </c>
      <c r="M295" s="1">
        <v>2333.29</v>
      </c>
      <c r="N295" s="1">
        <v>583.32249999999999</v>
      </c>
      <c r="O295" s="1">
        <v>1749.9675</v>
      </c>
      <c r="P295" s="1">
        <v>909.98310000000004</v>
      </c>
      <c r="Q295" s="1">
        <v>839.98439999999994</v>
      </c>
      <c r="R295" s="1">
        <v>48</v>
      </c>
      <c r="S295" s="1" t="s">
        <v>60</v>
      </c>
    </row>
    <row r="296" spans="1:19" x14ac:dyDescent="0.35">
      <c r="A296" s="1" t="s">
        <v>567</v>
      </c>
      <c r="B296" s="3">
        <v>45696</v>
      </c>
      <c r="C296" s="1" t="s">
        <v>42</v>
      </c>
      <c r="D296" s="1">
        <v>2</v>
      </c>
      <c r="E296" s="1" t="s">
        <v>51</v>
      </c>
      <c r="F296" s="1" t="s">
        <v>52</v>
      </c>
      <c r="G296" s="1" t="s">
        <v>38</v>
      </c>
      <c r="H296" s="1" t="s">
        <v>24</v>
      </c>
      <c r="I296" s="1" t="s">
        <v>44</v>
      </c>
      <c r="J296" s="1">
        <v>3</v>
      </c>
      <c r="K296" s="1">
        <v>4481.8500000000004</v>
      </c>
      <c r="L296" s="1">
        <v>0.05</v>
      </c>
      <c r="M296" s="1">
        <v>13445.55</v>
      </c>
      <c r="N296" s="1">
        <v>672.27750000000015</v>
      </c>
      <c r="O296" s="1">
        <v>12773.272499999999</v>
      </c>
      <c r="P296" s="1">
        <v>7025.2998750000024</v>
      </c>
      <c r="Q296" s="1">
        <v>5747.9726249999994</v>
      </c>
      <c r="R296" s="1">
        <v>44.999999999999993</v>
      </c>
      <c r="S296" s="1" t="s">
        <v>60</v>
      </c>
    </row>
    <row r="297" spans="1:19" x14ac:dyDescent="0.35">
      <c r="A297" s="1" t="s">
        <v>568</v>
      </c>
      <c r="B297" s="3">
        <v>45925</v>
      </c>
      <c r="C297" s="1" t="s">
        <v>50</v>
      </c>
      <c r="D297" s="1">
        <v>9</v>
      </c>
      <c r="E297" s="1" t="s">
        <v>189</v>
      </c>
      <c r="F297" s="1" t="s">
        <v>76</v>
      </c>
      <c r="G297" s="1" t="s">
        <v>38</v>
      </c>
      <c r="H297" s="1" t="s">
        <v>53</v>
      </c>
      <c r="I297" s="1" t="s">
        <v>185</v>
      </c>
      <c r="J297" s="1">
        <v>3</v>
      </c>
      <c r="K297" s="1">
        <v>1266.4000000000001</v>
      </c>
      <c r="L297" s="1">
        <v>0.15</v>
      </c>
      <c r="M297" s="1">
        <v>3799.2</v>
      </c>
      <c r="N297" s="1">
        <v>569.88</v>
      </c>
      <c r="O297" s="1">
        <v>3229.32</v>
      </c>
      <c r="P297" s="1">
        <v>1873.0056</v>
      </c>
      <c r="Q297" s="1">
        <v>1356.3144</v>
      </c>
      <c r="R297" s="1">
        <v>42.000000000000007</v>
      </c>
      <c r="S297" s="1" t="s">
        <v>60</v>
      </c>
    </row>
    <row r="298" spans="1:19" x14ac:dyDescent="0.35">
      <c r="A298" s="1" t="s">
        <v>569</v>
      </c>
      <c r="B298" s="3">
        <v>45951</v>
      </c>
      <c r="C298" s="1" t="s">
        <v>35</v>
      </c>
      <c r="D298" s="1">
        <v>10</v>
      </c>
      <c r="E298" s="1" t="s">
        <v>130</v>
      </c>
      <c r="F298" s="1" t="s">
        <v>22</v>
      </c>
      <c r="G298" s="1" t="s">
        <v>64</v>
      </c>
      <c r="H298" s="1" t="s">
        <v>24</v>
      </c>
      <c r="I298" s="1" t="s">
        <v>139</v>
      </c>
      <c r="J298" s="1">
        <v>5</v>
      </c>
      <c r="K298" s="1">
        <v>4308.71</v>
      </c>
      <c r="L298" s="1">
        <v>0.1</v>
      </c>
      <c r="M298" s="1">
        <v>21543.55</v>
      </c>
      <c r="N298" s="1">
        <v>2154.355</v>
      </c>
      <c r="O298" s="1">
        <v>19389.195</v>
      </c>
      <c r="P298" s="1">
        <v>10664.05725</v>
      </c>
      <c r="Q298" s="1">
        <v>8725.1377499999999</v>
      </c>
      <c r="R298" s="1">
        <v>45</v>
      </c>
      <c r="S298" s="1" t="s">
        <v>73</v>
      </c>
    </row>
    <row r="299" spans="1:19" x14ac:dyDescent="0.35">
      <c r="A299" s="1" t="s">
        <v>570</v>
      </c>
      <c r="B299" s="3">
        <v>45687</v>
      </c>
      <c r="C299" s="1" t="s">
        <v>193</v>
      </c>
      <c r="D299" s="1">
        <v>1</v>
      </c>
      <c r="E299" s="1" t="s">
        <v>571</v>
      </c>
      <c r="F299" s="1" t="s">
        <v>43</v>
      </c>
      <c r="G299" s="1" t="s">
        <v>38</v>
      </c>
      <c r="H299" s="1" t="s">
        <v>24</v>
      </c>
      <c r="I299" s="1" t="s">
        <v>25</v>
      </c>
      <c r="J299" s="1">
        <v>4</v>
      </c>
      <c r="K299" s="1">
        <v>4891.09</v>
      </c>
      <c r="L299" s="1">
        <v>0.2</v>
      </c>
      <c r="M299" s="1">
        <v>19564.36</v>
      </c>
      <c r="N299" s="1">
        <v>3912.8719999999998</v>
      </c>
      <c r="O299" s="1">
        <v>15651.487999999999</v>
      </c>
      <c r="P299" s="1">
        <v>8608.3184000000019</v>
      </c>
      <c r="Q299" s="1">
        <v>7043.1695999999993</v>
      </c>
      <c r="R299" s="1">
        <v>44.999999999999993</v>
      </c>
      <c r="S299" s="1" t="s">
        <v>73</v>
      </c>
    </row>
    <row r="300" spans="1:19" x14ac:dyDescent="0.35">
      <c r="A300" s="1" t="s">
        <v>572</v>
      </c>
      <c r="B300" s="3">
        <v>45970</v>
      </c>
      <c r="C300" s="1" t="s">
        <v>56</v>
      </c>
      <c r="D300" s="1">
        <v>11</v>
      </c>
      <c r="E300" s="1" t="s">
        <v>402</v>
      </c>
      <c r="F300" s="1" t="s">
        <v>30</v>
      </c>
      <c r="G300" s="1" t="s">
        <v>64</v>
      </c>
      <c r="H300" s="1" t="s">
        <v>77</v>
      </c>
      <c r="I300" s="1" t="s">
        <v>103</v>
      </c>
      <c r="J300" s="1">
        <v>4</v>
      </c>
      <c r="K300" s="1">
        <v>501.92</v>
      </c>
      <c r="L300" s="1">
        <v>0.1</v>
      </c>
      <c r="M300" s="1">
        <v>2007.68</v>
      </c>
      <c r="N300" s="1">
        <v>200.768</v>
      </c>
      <c r="O300" s="1">
        <v>1806.912</v>
      </c>
      <c r="P300" s="1">
        <v>1300.9766400000001</v>
      </c>
      <c r="Q300" s="1">
        <v>505.93535999999989</v>
      </c>
      <c r="R300" s="1">
        <v>28</v>
      </c>
      <c r="S300" s="1" t="s">
        <v>93</v>
      </c>
    </row>
    <row r="301" spans="1:19" x14ac:dyDescent="0.35">
      <c r="A301" s="1" t="s">
        <v>573</v>
      </c>
      <c r="B301" s="3">
        <v>45713</v>
      </c>
      <c r="C301" s="1" t="s">
        <v>42</v>
      </c>
      <c r="D301" s="1">
        <v>2</v>
      </c>
      <c r="E301" s="1" t="s">
        <v>57</v>
      </c>
      <c r="F301" s="1" t="s">
        <v>47</v>
      </c>
      <c r="G301" s="1" t="s">
        <v>38</v>
      </c>
      <c r="H301" s="1" t="s">
        <v>39</v>
      </c>
      <c r="I301" s="1" t="s">
        <v>40</v>
      </c>
      <c r="J301" s="1">
        <v>1</v>
      </c>
      <c r="K301" s="1">
        <v>61958.73</v>
      </c>
      <c r="L301" s="1">
        <v>0.1</v>
      </c>
      <c r="M301" s="1">
        <v>61958.73</v>
      </c>
      <c r="N301" s="1">
        <v>6195.8730000000014</v>
      </c>
      <c r="O301" s="1">
        <v>55762.857000000004</v>
      </c>
      <c r="P301" s="1">
        <v>43495.028460000001</v>
      </c>
      <c r="Q301" s="1">
        <v>12267.82854</v>
      </c>
      <c r="R301" s="1">
        <v>22</v>
      </c>
      <c r="S301" s="1" t="s">
        <v>26</v>
      </c>
    </row>
    <row r="302" spans="1:19" x14ac:dyDescent="0.35">
      <c r="A302" s="1" t="s">
        <v>574</v>
      </c>
      <c r="B302" s="3">
        <v>45783</v>
      </c>
      <c r="C302" s="1" t="s">
        <v>97</v>
      </c>
      <c r="D302" s="1">
        <v>5</v>
      </c>
      <c r="E302" s="1" t="s">
        <v>407</v>
      </c>
      <c r="F302" s="1" t="s">
        <v>58</v>
      </c>
      <c r="G302" s="1" t="s">
        <v>23</v>
      </c>
      <c r="H302" s="1" t="s">
        <v>53</v>
      </c>
      <c r="I302" s="1" t="s">
        <v>185</v>
      </c>
      <c r="J302" s="1">
        <v>1</v>
      </c>
      <c r="K302" s="1">
        <v>343.02</v>
      </c>
      <c r="L302" s="1">
        <v>0.2</v>
      </c>
      <c r="M302" s="1">
        <v>343.02</v>
      </c>
      <c r="N302" s="1">
        <v>68.603999999999999</v>
      </c>
      <c r="O302" s="1">
        <v>274.416</v>
      </c>
      <c r="P302" s="1">
        <v>159.16128</v>
      </c>
      <c r="Q302" s="1">
        <v>115.25472000000001</v>
      </c>
      <c r="R302" s="1">
        <v>42.000000000000007</v>
      </c>
      <c r="S302" s="1" t="s">
        <v>33</v>
      </c>
    </row>
    <row r="303" spans="1:19" x14ac:dyDescent="0.35">
      <c r="A303" s="1" t="s">
        <v>575</v>
      </c>
      <c r="B303" s="3">
        <v>45770</v>
      </c>
      <c r="C303" s="1" t="s">
        <v>20</v>
      </c>
      <c r="D303" s="1">
        <v>4</v>
      </c>
      <c r="E303" s="1" t="s">
        <v>576</v>
      </c>
      <c r="F303" s="1" t="s">
        <v>58</v>
      </c>
      <c r="G303" s="1" t="s">
        <v>23</v>
      </c>
      <c r="H303" s="1" t="s">
        <v>31</v>
      </c>
      <c r="I303" s="1" t="s">
        <v>190</v>
      </c>
      <c r="J303" s="1">
        <v>2</v>
      </c>
      <c r="K303" s="1">
        <v>1802.45</v>
      </c>
      <c r="L303" s="1">
        <v>0</v>
      </c>
      <c r="M303" s="1">
        <v>3604.9</v>
      </c>
      <c r="N303" s="1">
        <v>0</v>
      </c>
      <c r="O303" s="1">
        <v>3604.9</v>
      </c>
      <c r="P303" s="1">
        <v>1874.548</v>
      </c>
      <c r="Q303" s="1">
        <v>1730.3520000000001</v>
      </c>
      <c r="R303" s="1">
        <v>48.000000000000007</v>
      </c>
      <c r="S303" s="1" t="s">
        <v>26</v>
      </c>
    </row>
    <row r="304" spans="1:19" x14ac:dyDescent="0.35">
      <c r="A304" s="1" t="s">
        <v>577</v>
      </c>
      <c r="B304" s="3">
        <v>45891</v>
      </c>
      <c r="C304" s="1" t="s">
        <v>113</v>
      </c>
      <c r="D304" s="1">
        <v>8</v>
      </c>
      <c r="E304" s="1" t="s">
        <v>578</v>
      </c>
      <c r="F304" s="1" t="s">
        <v>37</v>
      </c>
      <c r="G304" s="1" t="s">
        <v>64</v>
      </c>
      <c r="H304" s="1" t="s">
        <v>53</v>
      </c>
      <c r="I304" s="1" t="s">
        <v>54</v>
      </c>
      <c r="J304" s="1">
        <v>2</v>
      </c>
      <c r="K304" s="1">
        <v>851.7</v>
      </c>
      <c r="L304" s="1">
        <v>0.05</v>
      </c>
      <c r="M304" s="1">
        <v>1703.4</v>
      </c>
      <c r="N304" s="1">
        <v>85.170000000000016</v>
      </c>
      <c r="O304" s="1">
        <v>1618.23</v>
      </c>
      <c r="P304" s="1">
        <v>938.57339999999999</v>
      </c>
      <c r="Q304" s="1">
        <v>679.65660000000003</v>
      </c>
      <c r="R304" s="1">
        <v>42</v>
      </c>
      <c r="S304" s="1" t="s">
        <v>93</v>
      </c>
    </row>
    <row r="305" spans="1:19" x14ac:dyDescent="0.35">
      <c r="A305" s="1" t="s">
        <v>579</v>
      </c>
      <c r="B305" s="3">
        <v>45694</v>
      </c>
      <c r="C305" s="1" t="s">
        <v>42</v>
      </c>
      <c r="D305" s="1">
        <v>2</v>
      </c>
      <c r="E305" s="1" t="s">
        <v>580</v>
      </c>
      <c r="F305" s="1" t="s">
        <v>47</v>
      </c>
      <c r="G305" s="1" t="s">
        <v>64</v>
      </c>
      <c r="H305" s="1" t="s">
        <v>99</v>
      </c>
      <c r="I305" s="1" t="s">
        <v>223</v>
      </c>
      <c r="J305" s="1">
        <v>4</v>
      </c>
      <c r="K305" s="1">
        <v>9564.25</v>
      </c>
      <c r="L305" s="1">
        <v>0.25</v>
      </c>
      <c r="M305" s="1">
        <v>38257</v>
      </c>
      <c r="N305" s="1">
        <v>9564.25</v>
      </c>
      <c r="O305" s="1">
        <v>28692.75</v>
      </c>
      <c r="P305" s="1">
        <v>19511.07</v>
      </c>
      <c r="Q305" s="1">
        <v>9181.68</v>
      </c>
      <c r="R305" s="1">
        <v>32</v>
      </c>
      <c r="S305" s="1" t="s">
        <v>93</v>
      </c>
    </row>
    <row r="306" spans="1:19" x14ac:dyDescent="0.35">
      <c r="A306" s="1" t="s">
        <v>581</v>
      </c>
      <c r="B306" s="3">
        <v>45734</v>
      </c>
      <c r="C306" s="1" t="s">
        <v>28</v>
      </c>
      <c r="D306" s="1">
        <v>3</v>
      </c>
      <c r="E306" s="1" t="s">
        <v>412</v>
      </c>
      <c r="F306" s="1" t="s">
        <v>52</v>
      </c>
      <c r="G306" s="1" t="s">
        <v>64</v>
      </c>
      <c r="H306" s="1" t="s">
        <v>53</v>
      </c>
      <c r="I306" s="1" t="s">
        <v>123</v>
      </c>
      <c r="J306" s="1">
        <v>7</v>
      </c>
      <c r="K306" s="1">
        <v>463.8</v>
      </c>
      <c r="L306" s="1">
        <v>0</v>
      </c>
      <c r="M306" s="1">
        <v>3246.6</v>
      </c>
      <c r="N306" s="1">
        <v>0</v>
      </c>
      <c r="O306" s="1">
        <v>3246.6</v>
      </c>
      <c r="P306" s="1">
        <v>1883.028</v>
      </c>
      <c r="Q306" s="1">
        <v>1363.5719999999999</v>
      </c>
      <c r="R306" s="1">
        <v>42.000000000000007</v>
      </c>
      <c r="S306" s="1" t="s">
        <v>60</v>
      </c>
    </row>
    <row r="307" spans="1:19" x14ac:dyDescent="0.35">
      <c r="A307" s="1" t="s">
        <v>582</v>
      </c>
      <c r="B307" s="3">
        <v>45962</v>
      </c>
      <c r="C307" s="1" t="s">
        <v>56</v>
      </c>
      <c r="D307" s="1">
        <v>11</v>
      </c>
      <c r="E307" s="1" t="s">
        <v>307</v>
      </c>
      <c r="F307" s="1" t="s">
        <v>47</v>
      </c>
      <c r="G307" s="1" t="s">
        <v>64</v>
      </c>
      <c r="H307" s="1" t="s">
        <v>31</v>
      </c>
      <c r="I307" s="1" t="s">
        <v>190</v>
      </c>
      <c r="J307" s="1">
        <v>2</v>
      </c>
      <c r="K307" s="1">
        <v>755.51</v>
      </c>
      <c r="L307" s="1">
        <v>0.05</v>
      </c>
      <c r="M307" s="1">
        <v>1511.02</v>
      </c>
      <c r="N307" s="1">
        <v>75.551000000000002</v>
      </c>
      <c r="O307" s="1">
        <v>1435.4690000000001</v>
      </c>
      <c r="P307" s="1">
        <v>746.44388000000004</v>
      </c>
      <c r="Q307" s="1">
        <v>689.02512000000002</v>
      </c>
      <c r="R307" s="1">
        <v>48</v>
      </c>
      <c r="S307" s="1" t="s">
        <v>73</v>
      </c>
    </row>
    <row r="308" spans="1:19" x14ac:dyDescent="0.35">
      <c r="A308" s="1" t="s">
        <v>583</v>
      </c>
      <c r="B308" s="3">
        <v>45998</v>
      </c>
      <c r="C308" s="1" t="s">
        <v>67</v>
      </c>
      <c r="D308" s="1">
        <v>12</v>
      </c>
      <c r="E308" s="1" t="s">
        <v>584</v>
      </c>
      <c r="F308" s="1" t="s">
        <v>30</v>
      </c>
      <c r="G308" s="1" t="s">
        <v>64</v>
      </c>
      <c r="H308" s="1" t="s">
        <v>77</v>
      </c>
      <c r="I308" s="1" t="s">
        <v>90</v>
      </c>
      <c r="J308" s="1">
        <v>7</v>
      </c>
      <c r="K308" s="1">
        <v>360.78</v>
      </c>
      <c r="L308" s="1">
        <v>0.3</v>
      </c>
      <c r="M308" s="1">
        <v>2525.46</v>
      </c>
      <c r="N308" s="1">
        <v>757.63800000000003</v>
      </c>
      <c r="O308" s="1">
        <v>1767.8219999999999</v>
      </c>
      <c r="P308" s="1">
        <v>1272.8318400000001</v>
      </c>
      <c r="Q308" s="1">
        <v>494.99016000000012</v>
      </c>
      <c r="R308" s="1">
        <v>28</v>
      </c>
      <c r="S308" s="1" t="s">
        <v>93</v>
      </c>
    </row>
    <row r="309" spans="1:19" x14ac:dyDescent="0.35">
      <c r="A309" s="1" t="s">
        <v>585</v>
      </c>
      <c r="B309" s="3">
        <v>45768</v>
      </c>
      <c r="C309" s="1" t="s">
        <v>20</v>
      </c>
      <c r="D309" s="1">
        <v>4</v>
      </c>
      <c r="E309" s="1" t="s">
        <v>130</v>
      </c>
      <c r="F309" s="1" t="s">
        <v>47</v>
      </c>
      <c r="G309" s="1" t="s">
        <v>23</v>
      </c>
      <c r="H309" s="1" t="s">
        <v>99</v>
      </c>
      <c r="I309" s="1" t="s">
        <v>223</v>
      </c>
      <c r="J309" s="1">
        <v>3</v>
      </c>
      <c r="K309" s="1">
        <v>7164.45</v>
      </c>
      <c r="L309" s="1">
        <v>0.2</v>
      </c>
      <c r="M309" s="1">
        <v>21493.35</v>
      </c>
      <c r="N309" s="1">
        <v>4298.67</v>
      </c>
      <c r="O309" s="1">
        <v>17194.68</v>
      </c>
      <c r="P309" s="1">
        <v>11692.3824</v>
      </c>
      <c r="Q309" s="1">
        <v>5502.2975999999999</v>
      </c>
      <c r="R309" s="1">
        <v>32</v>
      </c>
      <c r="S309" s="1" t="s">
        <v>73</v>
      </c>
    </row>
    <row r="310" spans="1:19" x14ac:dyDescent="0.35">
      <c r="A310" s="1" t="s">
        <v>586</v>
      </c>
      <c r="B310" s="3">
        <v>45932</v>
      </c>
      <c r="C310" s="1" t="s">
        <v>35</v>
      </c>
      <c r="D310" s="1">
        <v>10</v>
      </c>
      <c r="E310" s="1" t="s">
        <v>196</v>
      </c>
      <c r="F310" s="1" t="s">
        <v>111</v>
      </c>
      <c r="G310" s="1" t="s">
        <v>23</v>
      </c>
      <c r="H310" s="1" t="s">
        <v>31</v>
      </c>
      <c r="I310" s="1" t="s">
        <v>190</v>
      </c>
      <c r="J310" s="1">
        <v>7</v>
      </c>
      <c r="K310" s="1">
        <v>1503.95</v>
      </c>
      <c r="L310" s="1">
        <v>0</v>
      </c>
      <c r="M310" s="1">
        <v>10527.65</v>
      </c>
      <c r="N310" s="1">
        <v>0</v>
      </c>
      <c r="O310" s="1">
        <v>10527.65</v>
      </c>
      <c r="P310" s="1">
        <v>5474.3779999999997</v>
      </c>
      <c r="Q310" s="1">
        <v>5053.2719999999999</v>
      </c>
      <c r="R310" s="1">
        <v>48.000000000000007</v>
      </c>
      <c r="S310" s="1" t="s">
        <v>26</v>
      </c>
    </row>
    <row r="311" spans="1:19" x14ac:dyDescent="0.35">
      <c r="A311" s="1" t="s">
        <v>587</v>
      </c>
      <c r="B311" s="3">
        <v>45774</v>
      </c>
      <c r="C311" s="1" t="s">
        <v>20</v>
      </c>
      <c r="D311" s="1">
        <v>4</v>
      </c>
      <c r="E311" s="1" t="s">
        <v>157</v>
      </c>
      <c r="F311" s="1" t="s">
        <v>111</v>
      </c>
      <c r="G311" s="1" t="s">
        <v>23</v>
      </c>
      <c r="H311" s="1" t="s">
        <v>99</v>
      </c>
      <c r="I311" s="1" t="s">
        <v>100</v>
      </c>
      <c r="J311" s="1">
        <v>3</v>
      </c>
      <c r="K311" s="1">
        <v>10452.870000000001</v>
      </c>
      <c r="L311" s="1">
        <v>0.1</v>
      </c>
      <c r="M311" s="1">
        <v>31358.61</v>
      </c>
      <c r="N311" s="1">
        <v>3135.8609999999999</v>
      </c>
      <c r="O311" s="1">
        <v>28222.749</v>
      </c>
      <c r="P311" s="1">
        <v>19191.46932</v>
      </c>
      <c r="Q311" s="1">
        <v>9031.2796799999996</v>
      </c>
      <c r="R311" s="1">
        <v>32</v>
      </c>
      <c r="S311" s="1" t="s">
        <v>33</v>
      </c>
    </row>
    <row r="312" spans="1:19" x14ac:dyDescent="0.35">
      <c r="A312" s="1" t="s">
        <v>588</v>
      </c>
      <c r="B312" s="3">
        <v>45662</v>
      </c>
      <c r="C312" s="1" t="s">
        <v>193</v>
      </c>
      <c r="D312" s="1">
        <v>1</v>
      </c>
      <c r="E312" s="1" t="s">
        <v>431</v>
      </c>
      <c r="F312" s="1" t="s">
        <v>76</v>
      </c>
      <c r="G312" s="1" t="s">
        <v>38</v>
      </c>
      <c r="H312" s="1" t="s">
        <v>39</v>
      </c>
      <c r="I312" s="1" t="s">
        <v>40</v>
      </c>
      <c r="J312" s="1">
        <v>4</v>
      </c>
      <c r="K312" s="1">
        <v>34606.58</v>
      </c>
      <c r="L312" s="1">
        <v>0</v>
      </c>
      <c r="M312" s="1">
        <v>138426.32</v>
      </c>
      <c r="N312" s="1">
        <v>0</v>
      </c>
      <c r="O312" s="1">
        <v>138426.32</v>
      </c>
      <c r="P312" s="1">
        <v>107972.52959999999</v>
      </c>
      <c r="Q312" s="1">
        <v>30453.790400000002</v>
      </c>
      <c r="R312" s="1">
        <v>22</v>
      </c>
      <c r="S312" s="1" t="s">
        <v>73</v>
      </c>
    </row>
    <row r="313" spans="1:19" x14ac:dyDescent="0.35">
      <c r="A313" s="1" t="s">
        <v>589</v>
      </c>
      <c r="B313" s="3">
        <v>45961</v>
      </c>
      <c r="C313" s="1" t="s">
        <v>35</v>
      </c>
      <c r="D313" s="1">
        <v>10</v>
      </c>
      <c r="E313" s="1" t="s">
        <v>316</v>
      </c>
      <c r="F313" s="1" t="s">
        <v>37</v>
      </c>
      <c r="G313" s="1" t="s">
        <v>23</v>
      </c>
      <c r="H313" s="1" t="s">
        <v>24</v>
      </c>
      <c r="I313" s="1" t="s">
        <v>25</v>
      </c>
      <c r="J313" s="1">
        <v>4</v>
      </c>
      <c r="K313" s="1">
        <v>4650.42</v>
      </c>
      <c r="L313" s="1">
        <v>0.1</v>
      </c>
      <c r="M313" s="1">
        <v>18601.68</v>
      </c>
      <c r="N313" s="1">
        <v>1860.1679999999999</v>
      </c>
      <c r="O313" s="1">
        <v>16741.511999999999</v>
      </c>
      <c r="P313" s="1">
        <v>9207.8315999999995</v>
      </c>
      <c r="Q313" s="1">
        <v>7533.6803999999993</v>
      </c>
      <c r="R313" s="1">
        <v>45</v>
      </c>
      <c r="S313" s="1" t="s">
        <v>60</v>
      </c>
    </row>
    <row r="314" spans="1:19" x14ac:dyDescent="0.35">
      <c r="A314" s="1" t="s">
        <v>590</v>
      </c>
      <c r="B314" s="3">
        <v>45873</v>
      </c>
      <c r="C314" s="1" t="s">
        <v>113</v>
      </c>
      <c r="D314" s="1">
        <v>8</v>
      </c>
      <c r="E314" s="1" t="s">
        <v>256</v>
      </c>
      <c r="F314" s="1" t="s">
        <v>111</v>
      </c>
      <c r="G314" s="1" t="s">
        <v>23</v>
      </c>
      <c r="H314" s="1" t="s">
        <v>53</v>
      </c>
      <c r="I314" s="1" t="s">
        <v>128</v>
      </c>
      <c r="J314" s="1">
        <v>3</v>
      </c>
      <c r="K314" s="1">
        <v>2304.96</v>
      </c>
      <c r="L314" s="1">
        <v>0.1</v>
      </c>
      <c r="M314" s="1">
        <v>6914.88</v>
      </c>
      <c r="N314" s="1">
        <v>691.48800000000006</v>
      </c>
      <c r="O314" s="1">
        <v>6223.3919999999998</v>
      </c>
      <c r="P314" s="1">
        <v>3609.56736</v>
      </c>
      <c r="Q314" s="1">
        <v>2613.8246399999998</v>
      </c>
      <c r="R314" s="1">
        <v>42.000000000000007</v>
      </c>
      <c r="S314" s="1" t="s">
        <v>73</v>
      </c>
    </row>
    <row r="315" spans="1:19" x14ac:dyDescent="0.35">
      <c r="A315" s="1" t="s">
        <v>591</v>
      </c>
      <c r="B315" s="3">
        <v>45749</v>
      </c>
      <c r="C315" s="1" t="s">
        <v>20</v>
      </c>
      <c r="D315" s="1">
        <v>4</v>
      </c>
      <c r="E315" s="1" t="s">
        <v>346</v>
      </c>
      <c r="F315" s="1" t="s">
        <v>43</v>
      </c>
      <c r="G315" s="1" t="s">
        <v>64</v>
      </c>
      <c r="H315" s="1" t="s">
        <v>53</v>
      </c>
      <c r="I315" s="1" t="s">
        <v>185</v>
      </c>
      <c r="J315" s="1">
        <v>7</v>
      </c>
      <c r="K315" s="1">
        <v>1934.87</v>
      </c>
      <c r="L315" s="1">
        <v>0.15</v>
      </c>
      <c r="M315" s="1">
        <v>13544.09</v>
      </c>
      <c r="N315" s="1">
        <v>2031.6134999999999</v>
      </c>
      <c r="O315" s="1">
        <v>11512.476500000001</v>
      </c>
      <c r="P315" s="1">
        <v>6677.2363699999996</v>
      </c>
      <c r="Q315" s="1">
        <v>4835.240130000001</v>
      </c>
      <c r="R315" s="1">
        <v>42.000000000000007</v>
      </c>
      <c r="S315" s="1" t="s">
        <v>60</v>
      </c>
    </row>
    <row r="316" spans="1:19" x14ac:dyDescent="0.35">
      <c r="A316" s="1" t="s">
        <v>592</v>
      </c>
      <c r="B316" s="3">
        <v>45882</v>
      </c>
      <c r="C316" s="1" t="s">
        <v>113</v>
      </c>
      <c r="D316" s="1">
        <v>8</v>
      </c>
      <c r="E316" s="1" t="s">
        <v>231</v>
      </c>
      <c r="F316" s="1" t="s">
        <v>22</v>
      </c>
      <c r="G316" s="1" t="s">
        <v>23</v>
      </c>
      <c r="H316" s="1" t="s">
        <v>53</v>
      </c>
      <c r="I316" s="1" t="s">
        <v>123</v>
      </c>
      <c r="J316" s="1">
        <v>7</v>
      </c>
      <c r="K316" s="1">
        <v>2220.3200000000002</v>
      </c>
      <c r="L316" s="1">
        <v>0.1</v>
      </c>
      <c r="M316" s="1">
        <v>15542.24</v>
      </c>
      <c r="N316" s="1">
        <v>1554.2239999999999</v>
      </c>
      <c r="O316" s="1">
        <v>13988.016</v>
      </c>
      <c r="P316" s="1">
        <v>8113.0492800000002</v>
      </c>
      <c r="Q316" s="1">
        <v>5874.9667200000013</v>
      </c>
      <c r="R316" s="1">
        <v>42.000000000000007</v>
      </c>
      <c r="S316" s="1" t="s">
        <v>26</v>
      </c>
    </row>
    <row r="317" spans="1:19" x14ac:dyDescent="0.35">
      <c r="A317" s="1" t="s">
        <v>593</v>
      </c>
      <c r="B317" s="3">
        <v>45980</v>
      </c>
      <c r="C317" s="1" t="s">
        <v>56</v>
      </c>
      <c r="D317" s="1">
        <v>11</v>
      </c>
      <c r="E317" s="1" t="s">
        <v>154</v>
      </c>
      <c r="F317" s="1" t="s">
        <v>47</v>
      </c>
      <c r="G317" s="1" t="s">
        <v>64</v>
      </c>
      <c r="H317" s="1" t="s">
        <v>77</v>
      </c>
      <c r="I317" s="1" t="s">
        <v>90</v>
      </c>
      <c r="J317" s="1">
        <v>2</v>
      </c>
      <c r="K317" s="1">
        <v>204.6</v>
      </c>
      <c r="L317" s="1">
        <v>0.05</v>
      </c>
      <c r="M317" s="1">
        <v>409.2</v>
      </c>
      <c r="N317" s="1">
        <v>20.46</v>
      </c>
      <c r="O317" s="1">
        <v>388.74</v>
      </c>
      <c r="P317" s="1">
        <v>279.89280000000002</v>
      </c>
      <c r="Q317" s="1">
        <v>108.8472</v>
      </c>
      <c r="R317" s="1">
        <v>28</v>
      </c>
      <c r="S317" s="1" t="s">
        <v>60</v>
      </c>
    </row>
    <row r="318" spans="1:19" x14ac:dyDescent="0.35">
      <c r="A318" s="1" t="s">
        <v>594</v>
      </c>
      <c r="B318" s="3">
        <v>45879</v>
      </c>
      <c r="C318" s="1" t="s">
        <v>113</v>
      </c>
      <c r="D318" s="1">
        <v>8</v>
      </c>
      <c r="E318" s="1" t="s">
        <v>484</v>
      </c>
      <c r="F318" s="1" t="s">
        <v>22</v>
      </c>
      <c r="G318" s="1" t="s">
        <v>38</v>
      </c>
      <c r="H318" s="1" t="s">
        <v>53</v>
      </c>
      <c r="I318" s="1" t="s">
        <v>185</v>
      </c>
      <c r="J318" s="1">
        <v>3</v>
      </c>
      <c r="K318" s="1">
        <v>581.55999999999995</v>
      </c>
      <c r="L318" s="1">
        <v>0.3</v>
      </c>
      <c r="M318" s="1">
        <v>1744.68</v>
      </c>
      <c r="N318" s="1">
        <v>523.40399999999988</v>
      </c>
      <c r="O318" s="1">
        <v>1221.2760000000001</v>
      </c>
      <c r="P318" s="1">
        <v>708.34007999999983</v>
      </c>
      <c r="Q318" s="1">
        <v>512.93592000000001</v>
      </c>
      <c r="R318" s="1">
        <v>42.000000000000007</v>
      </c>
      <c r="S318" s="1" t="s">
        <v>33</v>
      </c>
    </row>
    <row r="319" spans="1:19" x14ac:dyDescent="0.35">
      <c r="A319" s="1" t="s">
        <v>595</v>
      </c>
      <c r="B319" s="3">
        <v>45682</v>
      </c>
      <c r="C319" s="1" t="s">
        <v>193</v>
      </c>
      <c r="D319" s="1">
        <v>1</v>
      </c>
      <c r="E319" s="1" t="s">
        <v>181</v>
      </c>
      <c r="F319" s="1" t="s">
        <v>111</v>
      </c>
      <c r="G319" s="1" t="s">
        <v>64</v>
      </c>
      <c r="H319" s="1" t="s">
        <v>31</v>
      </c>
      <c r="I319" s="1" t="s">
        <v>167</v>
      </c>
      <c r="J319" s="1">
        <v>1</v>
      </c>
      <c r="K319" s="1">
        <v>427.8</v>
      </c>
      <c r="L319" s="1">
        <v>0</v>
      </c>
      <c r="M319" s="1">
        <v>427.8</v>
      </c>
      <c r="N319" s="1">
        <v>0</v>
      </c>
      <c r="O319" s="1">
        <v>427.8</v>
      </c>
      <c r="P319" s="1">
        <v>222.45599999999999</v>
      </c>
      <c r="Q319" s="1">
        <v>205.34399999999999</v>
      </c>
      <c r="R319" s="1">
        <v>48</v>
      </c>
      <c r="S319" s="1" t="s">
        <v>33</v>
      </c>
    </row>
    <row r="320" spans="1:19" x14ac:dyDescent="0.35">
      <c r="A320" s="1" t="s">
        <v>596</v>
      </c>
      <c r="B320" s="3">
        <v>45692</v>
      </c>
      <c r="C320" s="1" t="s">
        <v>42</v>
      </c>
      <c r="D320" s="1">
        <v>2</v>
      </c>
      <c r="E320" s="1" t="s">
        <v>553</v>
      </c>
      <c r="F320" s="1" t="s">
        <v>52</v>
      </c>
      <c r="G320" s="1" t="s">
        <v>38</v>
      </c>
      <c r="H320" s="1" t="s">
        <v>99</v>
      </c>
      <c r="I320" s="1" t="s">
        <v>100</v>
      </c>
      <c r="J320" s="1">
        <v>7</v>
      </c>
      <c r="K320" s="1">
        <v>4493.6099999999997</v>
      </c>
      <c r="L320" s="1">
        <v>0.1</v>
      </c>
      <c r="M320" s="1">
        <v>31455.27</v>
      </c>
      <c r="N320" s="1">
        <v>3145.527</v>
      </c>
      <c r="O320" s="1">
        <v>28309.742999999991</v>
      </c>
      <c r="P320" s="1">
        <v>19250.625240000001</v>
      </c>
      <c r="Q320" s="1">
        <v>9059.1177599999974</v>
      </c>
      <c r="R320" s="1">
        <v>32</v>
      </c>
      <c r="S320" s="1" t="s">
        <v>26</v>
      </c>
    </row>
    <row r="321" spans="1:19" x14ac:dyDescent="0.35">
      <c r="A321" s="1" t="s">
        <v>597</v>
      </c>
      <c r="B321" s="3">
        <v>45845</v>
      </c>
      <c r="C321" s="1" t="s">
        <v>62</v>
      </c>
      <c r="D321" s="1">
        <v>7</v>
      </c>
      <c r="E321" s="1" t="s">
        <v>540</v>
      </c>
      <c r="F321" s="1" t="s">
        <v>52</v>
      </c>
      <c r="G321" s="1" t="s">
        <v>23</v>
      </c>
      <c r="H321" s="1" t="s">
        <v>31</v>
      </c>
      <c r="I321" s="1" t="s">
        <v>167</v>
      </c>
      <c r="J321" s="1">
        <v>5</v>
      </c>
      <c r="K321" s="1">
        <v>2502.6</v>
      </c>
      <c r="L321" s="1">
        <v>0</v>
      </c>
      <c r="M321" s="1">
        <v>12513</v>
      </c>
      <c r="N321" s="1">
        <v>0</v>
      </c>
      <c r="O321" s="1">
        <v>12513</v>
      </c>
      <c r="P321" s="1">
        <v>6506.76</v>
      </c>
      <c r="Q321" s="1">
        <v>6006.24</v>
      </c>
      <c r="R321" s="1">
        <v>48</v>
      </c>
      <c r="S321" s="1" t="s">
        <v>73</v>
      </c>
    </row>
    <row r="322" spans="1:19" x14ac:dyDescent="0.35">
      <c r="A322" s="1" t="s">
        <v>598</v>
      </c>
      <c r="B322" s="3">
        <v>45891</v>
      </c>
      <c r="C322" s="1" t="s">
        <v>113</v>
      </c>
      <c r="D322" s="1">
        <v>8</v>
      </c>
      <c r="E322" s="1" t="s">
        <v>231</v>
      </c>
      <c r="F322" s="1" t="s">
        <v>30</v>
      </c>
      <c r="G322" s="1" t="s">
        <v>38</v>
      </c>
      <c r="H322" s="1" t="s">
        <v>24</v>
      </c>
      <c r="I322" s="1" t="s">
        <v>48</v>
      </c>
      <c r="J322" s="1">
        <v>6</v>
      </c>
      <c r="K322" s="1">
        <v>776.24</v>
      </c>
      <c r="L322" s="1">
        <v>0</v>
      </c>
      <c r="M322" s="1">
        <v>4657.4400000000014</v>
      </c>
      <c r="N322" s="1">
        <v>0</v>
      </c>
      <c r="O322" s="1">
        <v>4657.4400000000014</v>
      </c>
      <c r="P322" s="1">
        <v>2561.592000000001</v>
      </c>
      <c r="Q322" s="1">
        <v>2095.848</v>
      </c>
      <c r="R322" s="1">
        <v>44.999999999999993</v>
      </c>
      <c r="S322" s="1" t="s">
        <v>73</v>
      </c>
    </row>
    <row r="323" spans="1:19" x14ac:dyDescent="0.35">
      <c r="A323" s="1" t="s">
        <v>599</v>
      </c>
      <c r="B323" s="3">
        <v>45952</v>
      </c>
      <c r="C323" s="1" t="s">
        <v>35</v>
      </c>
      <c r="D323" s="1">
        <v>10</v>
      </c>
      <c r="E323" s="1" t="s">
        <v>356</v>
      </c>
      <c r="F323" s="1" t="s">
        <v>52</v>
      </c>
      <c r="G323" s="1" t="s">
        <v>64</v>
      </c>
      <c r="H323" s="1" t="s">
        <v>53</v>
      </c>
      <c r="I323" s="1" t="s">
        <v>123</v>
      </c>
      <c r="J323" s="1">
        <v>7</v>
      </c>
      <c r="K323" s="1">
        <v>2330.15</v>
      </c>
      <c r="L323" s="1">
        <v>0.1</v>
      </c>
      <c r="M323" s="1">
        <v>16311.05</v>
      </c>
      <c r="N323" s="1">
        <v>1631.105</v>
      </c>
      <c r="O323" s="1">
        <v>14679.945</v>
      </c>
      <c r="P323" s="1">
        <v>8514.3680999999997</v>
      </c>
      <c r="Q323" s="1">
        <v>6165.5769000000018</v>
      </c>
      <c r="R323" s="1">
        <v>42.000000000000007</v>
      </c>
      <c r="S323" s="1" t="s">
        <v>60</v>
      </c>
    </row>
    <row r="324" spans="1:19" x14ac:dyDescent="0.35">
      <c r="A324" s="1" t="s">
        <v>600</v>
      </c>
      <c r="B324" s="3">
        <v>45890</v>
      </c>
      <c r="C324" s="1" t="s">
        <v>113</v>
      </c>
      <c r="D324" s="1">
        <v>8</v>
      </c>
      <c r="E324" s="1" t="s">
        <v>144</v>
      </c>
      <c r="F324" s="1" t="s">
        <v>43</v>
      </c>
      <c r="G324" s="1" t="s">
        <v>64</v>
      </c>
      <c r="H324" s="1" t="s">
        <v>77</v>
      </c>
      <c r="I324" s="1" t="s">
        <v>148</v>
      </c>
      <c r="J324" s="1">
        <v>5</v>
      </c>
      <c r="K324" s="1">
        <v>88.72</v>
      </c>
      <c r="L324" s="1">
        <v>0.05</v>
      </c>
      <c r="M324" s="1">
        <v>443.6</v>
      </c>
      <c r="N324" s="1">
        <v>22.18</v>
      </c>
      <c r="O324" s="1">
        <v>421.42</v>
      </c>
      <c r="P324" s="1">
        <v>303.42239999999998</v>
      </c>
      <c r="Q324" s="1">
        <v>117.99760000000001</v>
      </c>
      <c r="R324" s="1">
        <v>28.000000000000011</v>
      </c>
      <c r="S324" s="1" t="s">
        <v>73</v>
      </c>
    </row>
    <row r="325" spans="1:19" x14ac:dyDescent="0.35">
      <c r="A325" s="1" t="s">
        <v>601</v>
      </c>
      <c r="B325" s="3">
        <v>45667</v>
      </c>
      <c r="C325" s="1" t="s">
        <v>193</v>
      </c>
      <c r="D325" s="1">
        <v>1</v>
      </c>
      <c r="E325" s="1" t="s">
        <v>458</v>
      </c>
      <c r="F325" s="1" t="s">
        <v>47</v>
      </c>
      <c r="G325" s="1" t="s">
        <v>23</v>
      </c>
      <c r="H325" s="1" t="s">
        <v>24</v>
      </c>
      <c r="I325" s="1" t="s">
        <v>48</v>
      </c>
      <c r="J325" s="1">
        <v>6</v>
      </c>
      <c r="K325" s="1">
        <v>894.77</v>
      </c>
      <c r="L325" s="1">
        <v>0.15</v>
      </c>
      <c r="M325" s="1">
        <v>5368.62</v>
      </c>
      <c r="N325" s="1">
        <v>805.29300000000001</v>
      </c>
      <c r="O325" s="1">
        <v>4563.3270000000002</v>
      </c>
      <c r="P325" s="1">
        <v>2509.829850000001</v>
      </c>
      <c r="Q325" s="1">
        <v>2053.4971500000001</v>
      </c>
      <c r="R325" s="1">
        <v>44.999999999999993</v>
      </c>
      <c r="S325" s="1" t="s">
        <v>93</v>
      </c>
    </row>
    <row r="326" spans="1:19" x14ac:dyDescent="0.35">
      <c r="A326" s="1" t="s">
        <v>602</v>
      </c>
      <c r="B326" s="3">
        <v>45992</v>
      </c>
      <c r="C326" s="1" t="s">
        <v>67</v>
      </c>
      <c r="D326" s="1">
        <v>12</v>
      </c>
      <c r="E326" s="1" t="s">
        <v>392</v>
      </c>
      <c r="F326" s="1" t="s">
        <v>47</v>
      </c>
      <c r="G326" s="1" t="s">
        <v>38</v>
      </c>
      <c r="H326" s="1" t="s">
        <v>77</v>
      </c>
      <c r="I326" s="1" t="s">
        <v>201</v>
      </c>
      <c r="J326" s="1">
        <v>6</v>
      </c>
      <c r="K326" s="1">
        <v>648.20000000000005</v>
      </c>
      <c r="L326" s="1">
        <v>0.05</v>
      </c>
      <c r="M326" s="1">
        <v>3889.2</v>
      </c>
      <c r="N326" s="1">
        <v>194.46</v>
      </c>
      <c r="O326" s="1">
        <v>3694.74</v>
      </c>
      <c r="P326" s="1">
        <v>2660.2127999999998</v>
      </c>
      <c r="Q326" s="1">
        <v>1034.5272</v>
      </c>
      <c r="R326" s="1">
        <v>28</v>
      </c>
      <c r="S326" s="1" t="s">
        <v>73</v>
      </c>
    </row>
    <row r="327" spans="1:19" x14ac:dyDescent="0.35">
      <c r="A327" s="1" t="s">
        <v>603</v>
      </c>
      <c r="B327" s="3">
        <v>45905</v>
      </c>
      <c r="C327" s="1" t="s">
        <v>50</v>
      </c>
      <c r="D327" s="1">
        <v>9</v>
      </c>
      <c r="E327" s="1" t="s">
        <v>460</v>
      </c>
      <c r="F327" s="1" t="s">
        <v>43</v>
      </c>
      <c r="G327" s="1" t="s">
        <v>38</v>
      </c>
      <c r="H327" s="1" t="s">
        <v>99</v>
      </c>
      <c r="I327" s="1" t="s">
        <v>223</v>
      </c>
      <c r="J327" s="1">
        <v>7</v>
      </c>
      <c r="K327" s="1">
        <v>3722.47</v>
      </c>
      <c r="L327" s="1">
        <v>0.15</v>
      </c>
      <c r="M327" s="1">
        <v>26057.29</v>
      </c>
      <c r="N327" s="1">
        <v>3908.593499999999</v>
      </c>
      <c r="O327" s="1">
        <v>22148.696499999998</v>
      </c>
      <c r="P327" s="1">
        <v>15061.11362</v>
      </c>
      <c r="Q327" s="1">
        <v>7087.5828799999981</v>
      </c>
      <c r="R327" s="1">
        <v>32</v>
      </c>
      <c r="S327" s="1" t="s">
        <v>73</v>
      </c>
    </row>
    <row r="328" spans="1:19" x14ac:dyDescent="0.35">
      <c r="A328" s="1" t="s">
        <v>604</v>
      </c>
      <c r="B328" s="3">
        <v>46006</v>
      </c>
      <c r="C328" s="1" t="s">
        <v>67</v>
      </c>
      <c r="D328" s="1">
        <v>12</v>
      </c>
      <c r="E328" s="1" t="s">
        <v>605</v>
      </c>
      <c r="F328" s="1" t="s">
        <v>47</v>
      </c>
      <c r="G328" s="1" t="s">
        <v>64</v>
      </c>
      <c r="H328" s="1" t="s">
        <v>99</v>
      </c>
      <c r="I328" s="1" t="s">
        <v>120</v>
      </c>
      <c r="J328" s="1">
        <v>2</v>
      </c>
      <c r="K328" s="1">
        <v>8713.82</v>
      </c>
      <c r="L328" s="1">
        <v>0.15</v>
      </c>
      <c r="M328" s="1">
        <v>17427.64</v>
      </c>
      <c r="N328" s="1">
        <v>2614.1460000000002</v>
      </c>
      <c r="O328" s="1">
        <v>14813.494000000001</v>
      </c>
      <c r="P328" s="1">
        <v>10073.17592</v>
      </c>
      <c r="Q328" s="1">
        <v>4740.3180799999991</v>
      </c>
      <c r="R328" s="1">
        <v>32</v>
      </c>
      <c r="S328" s="1" t="s">
        <v>33</v>
      </c>
    </row>
    <row r="329" spans="1:19" x14ac:dyDescent="0.35">
      <c r="A329" s="1" t="s">
        <v>606</v>
      </c>
      <c r="B329" s="3">
        <v>45977</v>
      </c>
      <c r="C329" s="1" t="s">
        <v>56</v>
      </c>
      <c r="D329" s="1">
        <v>11</v>
      </c>
      <c r="E329" s="1" t="s">
        <v>105</v>
      </c>
      <c r="F329" s="1" t="s">
        <v>43</v>
      </c>
      <c r="G329" s="1" t="s">
        <v>38</v>
      </c>
      <c r="H329" s="1" t="s">
        <v>31</v>
      </c>
      <c r="I329" s="1" t="s">
        <v>32</v>
      </c>
      <c r="J329" s="1">
        <v>4</v>
      </c>
      <c r="K329" s="1">
        <v>536.24</v>
      </c>
      <c r="L329" s="1">
        <v>0.1</v>
      </c>
      <c r="M329" s="1">
        <v>2144.96</v>
      </c>
      <c r="N329" s="1">
        <v>214.49600000000001</v>
      </c>
      <c r="O329" s="1">
        <v>1930.4639999999999</v>
      </c>
      <c r="P329" s="1">
        <v>1003.84128</v>
      </c>
      <c r="Q329" s="1">
        <v>926.62271999999996</v>
      </c>
      <c r="R329" s="1">
        <v>48</v>
      </c>
      <c r="S329" s="1" t="s">
        <v>33</v>
      </c>
    </row>
    <row r="330" spans="1:19" x14ac:dyDescent="0.35">
      <c r="A330" s="1" t="s">
        <v>607</v>
      </c>
      <c r="B330" s="3">
        <v>45757</v>
      </c>
      <c r="C330" s="1" t="s">
        <v>20</v>
      </c>
      <c r="D330" s="1">
        <v>4</v>
      </c>
      <c r="E330" s="1" t="s">
        <v>608</v>
      </c>
      <c r="F330" s="1" t="s">
        <v>30</v>
      </c>
      <c r="G330" s="1" t="s">
        <v>38</v>
      </c>
      <c r="H330" s="1" t="s">
        <v>99</v>
      </c>
      <c r="I330" s="1" t="s">
        <v>120</v>
      </c>
      <c r="J330" s="1">
        <v>7</v>
      </c>
      <c r="K330" s="1">
        <v>23717.14</v>
      </c>
      <c r="L330" s="1">
        <v>0.1</v>
      </c>
      <c r="M330" s="1">
        <v>166019.98000000001</v>
      </c>
      <c r="N330" s="1">
        <v>16601.998</v>
      </c>
      <c r="O330" s="1">
        <v>149417.98199999999</v>
      </c>
      <c r="P330" s="1">
        <v>101604.22775999999</v>
      </c>
      <c r="Q330" s="1">
        <v>47813.754239999987</v>
      </c>
      <c r="R330" s="1">
        <v>32</v>
      </c>
      <c r="S330" s="1" t="s">
        <v>60</v>
      </c>
    </row>
    <row r="331" spans="1:19" x14ac:dyDescent="0.35">
      <c r="A331" s="1" t="s">
        <v>609</v>
      </c>
      <c r="B331" s="3">
        <v>45843</v>
      </c>
      <c r="C331" s="1" t="s">
        <v>62</v>
      </c>
      <c r="D331" s="1">
        <v>7</v>
      </c>
      <c r="E331" s="1" t="s">
        <v>394</v>
      </c>
      <c r="F331" s="1" t="s">
        <v>22</v>
      </c>
      <c r="G331" s="1" t="s">
        <v>23</v>
      </c>
      <c r="H331" s="1" t="s">
        <v>99</v>
      </c>
      <c r="I331" s="1" t="s">
        <v>120</v>
      </c>
      <c r="J331" s="1">
        <v>5</v>
      </c>
      <c r="K331" s="1">
        <v>11222.1</v>
      </c>
      <c r="L331" s="1">
        <v>0.15</v>
      </c>
      <c r="M331" s="1">
        <v>56110.5</v>
      </c>
      <c r="N331" s="1">
        <v>8416.5749999999989</v>
      </c>
      <c r="O331" s="1">
        <v>47693.925000000003</v>
      </c>
      <c r="P331" s="1">
        <v>32431.86900000001</v>
      </c>
      <c r="Q331" s="1">
        <v>15262.056</v>
      </c>
      <c r="R331" s="1">
        <v>31.999999999999989</v>
      </c>
      <c r="S331" s="1" t="s">
        <v>93</v>
      </c>
    </row>
    <row r="332" spans="1:19" x14ac:dyDescent="0.35">
      <c r="A332" s="1" t="s">
        <v>610</v>
      </c>
      <c r="B332" s="3">
        <v>45892</v>
      </c>
      <c r="C332" s="1" t="s">
        <v>113</v>
      </c>
      <c r="D332" s="1">
        <v>8</v>
      </c>
      <c r="E332" s="1" t="s">
        <v>171</v>
      </c>
      <c r="F332" s="1" t="s">
        <v>58</v>
      </c>
      <c r="G332" s="1" t="s">
        <v>38</v>
      </c>
      <c r="H332" s="1" t="s">
        <v>31</v>
      </c>
      <c r="I332" s="1" t="s">
        <v>167</v>
      </c>
      <c r="J332" s="1">
        <v>5</v>
      </c>
      <c r="K332" s="1">
        <v>3387.96</v>
      </c>
      <c r="L332" s="1">
        <v>0.2</v>
      </c>
      <c r="M332" s="1">
        <v>16939.8</v>
      </c>
      <c r="N332" s="1">
        <v>3387.96</v>
      </c>
      <c r="O332" s="1">
        <v>13551.84</v>
      </c>
      <c r="P332" s="1">
        <v>7046.9567999999999</v>
      </c>
      <c r="Q332" s="1">
        <v>6504.8832000000002</v>
      </c>
      <c r="R332" s="1">
        <v>48.000000000000007</v>
      </c>
      <c r="S332" s="1" t="s">
        <v>60</v>
      </c>
    </row>
    <row r="333" spans="1:19" x14ac:dyDescent="0.35">
      <c r="A333" s="1" t="s">
        <v>611</v>
      </c>
      <c r="B333" s="3">
        <v>45678</v>
      </c>
      <c r="C333" s="1" t="s">
        <v>193</v>
      </c>
      <c r="D333" s="1">
        <v>1</v>
      </c>
      <c r="E333" s="1" t="s">
        <v>445</v>
      </c>
      <c r="F333" s="1" t="s">
        <v>52</v>
      </c>
      <c r="G333" s="1" t="s">
        <v>38</v>
      </c>
      <c r="H333" s="1" t="s">
        <v>24</v>
      </c>
      <c r="I333" s="1" t="s">
        <v>48</v>
      </c>
      <c r="J333" s="1">
        <v>3</v>
      </c>
      <c r="K333" s="1">
        <v>3988.87</v>
      </c>
      <c r="L333" s="1">
        <v>0.3</v>
      </c>
      <c r="M333" s="1">
        <v>11966.61</v>
      </c>
      <c r="N333" s="1">
        <v>3589.9830000000002</v>
      </c>
      <c r="O333" s="1">
        <v>8376.6270000000004</v>
      </c>
      <c r="P333" s="1">
        <v>4607.1448500000006</v>
      </c>
      <c r="Q333" s="1">
        <v>3769.4821499999998</v>
      </c>
      <c r="R333" s="1">
        <v>44.999999999999993</v>
      </c>
      <c r="S333" s="1" t="s">
        <v>60</v>
      </c>
    </row>
    <row r="334" spans="1:19" x14ac:dyDescent="0.35">
      <c r="A334" s="1" t="s">
        <v>612</v>
      </c>
      <c r="B334" s="3">
        <v>46012</v>
      </c>
      <c r="C334" s="1" t="s">
        <v>67</v>
      </c>
      <c r="D334" s="1">
        <v>12</v>
      </c>
      <c r="E334" s="1" t="s">
        <v>231</v>
      </c>
      <c r="F334" s="1" t="s">
        <v>47</v>
      </c>
      <c r="G334" s="1" t="s">
        <v>64</v>
      </c>
      <c r="H334" s="1" t="s">
        <v>99</v>
      </c>
      <c r="I334" s="1" t="s">
        <v>120</v>
      </c>
      <c r="J334" s="1">
        <v>6</v>
      </c>
      <c r="K334" s="1">
        <v>19842.560000000001</v>
      </c>
      <c r="L334" s="1">
        <v>0</v>
      </c>
      <c r="M334" s="1">
        <v>119055.36</v>
      </c>
      <c r="N334" s="1">
        <v>0</v>
      </c>
      <c r="O334" s="1">
        <v>119055.36</v>
      </c>
      <c r="P334" s="1">
        <v>80957.644800000009</v>
      </c>
      <c r="Q334" s="1">
        <v>38097.715200000013</v>
      </c>
      <c r="R334" s="1">
        <v>32</v>
      </c>
      <c r="S334" s="1" t="s">
        <v>33</v>
      </c>
    </row>
    <row r="335" spans="1:19" x14ac:dyDescent="0.35">
      <c r="A335" s="1" t="s">
        <v>613</v>
      </c>
      <c r="B335" s="3">
        <v>45688</v>
      </c>
      <c r="C335" s="1" t="s">
        <v>193</v>
      </c>
      <c r="D335" s="1">
        <v>1</v>
      </c>
      <c r="E335" s="1" t="s">
        <v>614</v>
      </c>
      <c r="F335" s="1" t="s">
        <v>22</v>
      </c>
      <c r="G335" s="1" t="s">
        <v>64</v>
      </c>
      <c r="H335" s="1" t="s">
        <v>99</v>
      </c>
      <c r="I335" s="1" t="s">
        <v>120</v>
      </c>
      <c r="J335" s="1">
        <v>1</v>
      </c>
      <c r="K335" s="1">
        <v>17290.45</v>
      </c>
      <c r="L335" s="1">
        <v>0.1</v>
      </c>
      <c r="M335" s="1">
        <v>17290.45</v>
      </c>
      <c r="N335" s="1">
        <v>1729.0450000000001</v>
      </c>
      <c r="O335" s="1">
        <v>15561.405000000001</v>
      </c>
      <c r="P335" s="1">
        <v>10581.7554</v>
      </c>
      <c r="Q335" s="1">
        <v>4979.6495999999988</v>
      </c>
      <c r="R335" s="1">
        <v>31.999999999999989</v>
      </c>
      <c r="S335" s="1" t="s">
        <v>73</v>
      </c>
    </row>
    <row r="336" spans="1:19" x14ac:dyDescent="0.35">
      <c r="A336" s="1" t="s">
        <v>615</v>
      </c>
      <c r="B336" s="3">
        <v>45873</v>
      </c>
      <c r="C336" s="1" t="s">
        <v>113</v>
      </c>
      <c r="D336" s="1">
        <v>8</v>
      </c>
      <c r="E336" s="1" t="s">
        <v>269</v>
      </c>
      <c r="F336" s="1" t="s">
        <v>30</v>
      </c>
      <c r="G336" s="1" t="s">
        <v>23</v>
      </c>
      <c r="H336" s="1" t="s">
        <v>24</v>
      </c>
      <c r="I336" s="1" t="s">
        <v>117</v>
      </c>
      <c r="J336" s="1">
        <v>2</v>
      </c>
      <c r="K336" s="1">
        <v>4554.03</v>
      </c>
      <c r="L336" s="1">
        <v>0.3</v>
      </c>
      <c r="M336" s="1">
        <v>9108.06</v>
      </c>
      <c r="N336" s="1">
        <v>2732.4180000000001</v>
      </c>
      <c r="O336" s="1">
        <v>6375.6419999999998</v>
      </c>
      <c r="P336" s="1">
        <v>3506.6030999999998</v>
      </c>
      <c r="Q336" s="1">
        <v>2869.0389</v>
      </c>
      <c r="R336" s="1">
        <v>44.999999999999993</v>
      </c>
      <c r="S336" s="1" t="s">
        <v>33</v>
      </c>
    </row>
    <row r="337" spans="1:19" x14ac:dyDescent="0.35">
      <c r="A337" s="1" t="s">
        <v>616</v>
      </c>
      <c r="B337" s="3">
        <v>45678</v>
      </c>
      <c r="C337" s="1" t="s">
        <v>193</v>
      </c>
      <c r="D337" s="1">
        <v>1</v>
      </c>
      <c r="E337" s="1" t="s">
        <v>495</v>
      </c>
      <c r="F337" s="1" t="s">
        <v>52</v>
      </c>
      <c r="G337" s="1" t="s">
        <v>23</v>
      </c>
      <c r="H337" s="1" t="s">
        <v>24</v>
      </c>
      <c r="I337" s="1" t="s">
        <v>139</v>
      </c>
      <c r="J337" s="1">
        <v>3</v>
      </c>
      <c r="K337" s="1">
        <v>2522.8200000000002</v>
      </c>
      <c r="L337" s="1">
        <v>0</v>
      </c>
      <c r="M337" s="1">
        <v>7568.4600000000009</v>
      </c>
      <c r="N337" s="1">
        <v>0</v>
      </c>
      <c r="O337" s="1">
        <v>7568.4600000000009</v>
      </c>
      <c r="P337" s="1">
        <v>4162.6530000000012</v>
      </c>
      <c r="Q337" s="1">
        <v>3405.8069999999998</v>
      </c>
      <c r="R337" s="1">
        <v>44.999999999999993</v>
      </c>
      <c r="S337" s="1" t="s">
        <v>33</v>
      </c>
    </row>
    <row r="338" spans="1:19" x14ac:dyDescent="0.35">
      <c r="A338" s="1" t="s">
        <v>617</v>
      </c>
      <c r="B338" s="3">
        <v>45960</v>
      </c>
      <c r="C338" s="1" t="s">
        <v>35</v>
      </c>
      <c r="D338" s="1">
        <v>10</v>
      </c>
      <c r="E338" s="1" t="s">
        <v>291</v>
      </c>
      <c r="F338" s="1" t="s">
        <v>47</v>
      </c>
      <c r="G338" s="1" t="s">
        <v>23</v>
      </c>
      <c r="H338" s="1" t="s">
        <v>31</v>
      </c>
      <c r="I338" s="1" t="s">
        <v>167</v>
      </c>
      <c r="J338" s="1">
        <v>2</v>
      </c>
      <c r="K338" s="1">
        <v>248.49</v>
      </c>
      <c r="L338" s="1">
        <v>0.1</v>
      </c>
      <c r="M338" s="1">
        <v>496.98</v>
      </c>
      <c r="N338" s="1">
        <v>49.698000000000008</v>
      </c>
      <c r="O338" s="1">
        <v>447.28199999999998</v>
      </c>
      <c r="P338" s="1">
        <v>232.58663999999999</v>
      </c>
      <c r="Q338" s="1">
        <v>214.69535999999999</v>
      </c>
      <c r="R338" s="1">
        <v>48</v>
      </c>
      <c r="S338" s="1" t="s">
        <v>33</v>
      </c>
    </row>
    <row r="339" spans="1:19" x14ac:dyDescent="0.35">
      <c r="A339" s="1" t="s">
        <v>618</v>
      </c>
      <c r="B339" s="3">
        <v>45795</v>
      </c>
      <c r="C339" s="1" t="s">
        <v>97</v>
      </c>
      <c r="D339" s="1">
        <v>5</v>
      </c>
      <c r="E339" s="1" t="s">
        <v>299</v>
      </c>
      <c r="F339" s="1" t="s">
        <v>52</v>
      </c>
      <c r="G339" s="1" t="s">
        <v>64</v>
      </c>
      <c r="H339" s="1" t="s">
        <v>53</v>
      </c>
      <c r="I339" s="1" t="s">
        <v>128</v>
      </c>
      <c r="J339" s="1">
        <v>1</v>
      </c>
      <c r="K339" s="1">
        <v>1866.88</v>
      </c>
      <c r="L339" s="1">
        <v>0.1</v>
      </c>
      <c r="M339" s="1">
        <v>1866.88</v>
      </c>
      <c r="N339" s="1">
        <v>186.68799999999999</v>
      </c>
      <c r="O339" s="1">
        <v>1680.192</v>
      </c>
      <c r="P339" s="1">
        <v>974.51135999999997</v>
      </c>
      <c r="Q339" s="1">
        <v>705.68064000000004</v>
      </c>
      <c r="R339" s="1">
        <v>42.000000000000007</v>
      </c>
      <c r="S339" s="1" t="s">
        <v>60</v>
      </c>
    </row>
    <row r="340" spans="1:19" x14ac:dyDescent="0.35">
      <c r="A340" s="1" t="s">
        <v>619</v>
      </c>
      <c r="B340" s="3">
        <v>45885</v>
      </c>
      <c r="C340" s="1" t="s">
        <v>113</v>
      </c>
      <c r="D340" s="1">
        <v>8</v>
      </c>
      <c r="E340" s="1" t="s">
        <v>229</v>
      </c>
      <c r="F340" s="1" t="s">
        <v>76</v>
      </c>
      <c r="G340" s="1" t="s">
        <v>23</v>
      </c>
      <c r="H340" s="1" t="s">
        <v>99</v>
      </c>
      <c r="I340" s="1" t="s">
        <v>108</v>
      </c>
      <c r="J340" s="1">
        <v>4</v>
      </c>
      <c r="K340" s="1">
        <v>11447.07</v>
      </c>
      <c r="L340" s="1">
        <v>0.2</v>
      </c>
      <c r="M340" s="1">
        <v>45788.28</v>
      </c>
      <c r="N340" s="1">
        <v>9157.6560000000009</v>
      </c>
      <c r="O340" s="1">
        <v>36630.624000000003</v>
      </c>
      <c r="P340" s="1">
        <v>24908.82432</v>
      </c>
      <c r="Q340" s="1">
        <v>11721.79968</v>
      </c>
      <c r="R340" s="1">
        <v>32</v>
      </c>
      <c r="S340" s="1" t="s">
        <v>26</v>
      </c>
    </row>
    <row r="341" spans="1:19" x14ac:dyDescent="0.35">
      <c r="A341" s="1" t="s">
        <v>620</v>
      </c>
      <c r="B341" s="3">
        <v>45838</v>
      </c>
      <c r="C341" s="1" t="s">
        <v>82</v>
      </c>
      <c r="D341" s="1">
        <v>6</v>
      </c>
      <c r="E341" s="1" t="s">
        <v>85</v>
      </c>
      <c r="F341" s="1" t="s">
        <v>22</v>
      </c>
      <c r="G341" s="1" t="s">
        <v>64</v>
      </c>
      <c r="H341" s="1" t="s">
        <v>99</v>
      </c>
      <c r="I341" s="1" t="s">
        <v>223</v>
      </c>
      <c r="J341" s="1">
        <v>3</v>
      </c>
      <c r="K341" s="1">
        <v>11108.06</v>
      </c>
      <c r="L341" s="1">
        <v>0.1</v>
      </c>
      <c r="M341" s="1">
        <v>33324.18</v>
      </c>
      <c r="N341" s="1">
        <v>3332.4180000000001</v>
      </c>
      <c r="O341" s="1">
        <v>29991.761999999999</v>
      </c>
      <c r="P341" s="1">
        <v>20394.398160000001</v>
      </c>
      <c r="Q341" s="1">
        <v>9597.3638399999982</v>
      </c>
      <c r="R341" s="1">
        <v>32</v>
      </c>
      <c r="S341" s="1" t="s">
        <v>60</v>
      </c>
    </row>
    <row r="342" spans="1:19" x14ac:dyDescent="0.35">
      <c r="A342" s="1" t="s">
        <v>621</v>
      </c>
      <c r="B342" s="3">
        <v>45712</v>
      </c>
      <c r="C342" s="1" t="s">
        <v>42</v>
      </c>
      <c r="D342" s="1">
        <v>2</v>
      </c>
      <c r="E342" s="1" t="s">
        <v>622</v>
      </c>
      <c r="F342" s="1" t="s">
        <v>111</v>
      </c>
      <c r="G342" s="1" t="s">
        <v>64</v>
      </c>
      <c r="H342" s="1" t="s">
        <v>99</v>
      </c>
      <c r="I342" s="1" t="s">
        <v>108</v>
      </c>
      <c r="J342" s="1">
        <v>7</v>
      </c>
      <c r="K342" s="1">
        <v>10332.15</v>
      </c>
      <c r="L342" s="1">
        <v>0.1</v>
      </c>
      <c r="M342" s="1">
        <v>72325.05</v>
      </c>
      <c r="N342" s="1">
        <v>7232.505000000001</v>
      </c>
      <c r="O342" s="1">
        <v>65092.544999999998</v>
      </c>
      <c r="P342" s="1">
        <v>44262.9306</v>
      </c>
      <c r="Q342" s="1">
        <v>20829.614399999999</v>
      </c>
      <c r="R342" s="1">
        <v>32</v>
      </c>
      <c r="S342" s="1" t="s">
        <v>26</v>
      </c>
    </row>
    <row r="343" spans="1:19" x14ac:dyDescent="0.35">
      <c r="A343" s="1" t="s">
        <v>623</v>
      </c>
      <c r="B343" s="3">
        <v>45817</v>
      </c>
      <c r="C343" s="1" t="s">
        <v>82</v>
      </c>
      <c r="D343" s="1">
        <v>6</v>
      </c>
      <c r="E343" s="1" t="s">
        <v>624</v>
      </c>
      <c r="F343" s="1" t="s">
        <v>52</v>
      </c>
      <c r="G343" s="1" t="s">
        <v>38</v>
      </c>
      <c r="H343" s="1" t="s">
        <v>53</v>
      </c>
      <c r="I343" s="1" t="s">
        <v>72</v>
      </c>
      <c r="J343" s="1">
        <v>1</v>
      </c>
      <c r="K343" s="1">
        <v>1554.75</v>
      </c>
      <c r="L343" s="1">
        <v>0.05</v>
      </c>
      <c r="M343" s="1">
        <v>1554.75</v>
      </c>
      <c r="N343" s="1">
        <v>77.737500000000011</v>
      </c>
      <c r="O343" s="1">
        <v>1477.0125</v>
      </c>
      <c r="P343" s="1">
        <v>856.66724999999997</v>
      </c>
      <c r="Q343" s="1">
        <v>620.34525000000008</v>
      </c>
      <c r="R343" s="1">
        <v>42.000000000000007</v>
      </c>
      <c r="S343" s="1" t="s">
        <v>26</v>
      </c>
    </row>
    <row r="344" spans="1:19" x14ac:dyDescent="0.35">
      <c r="A344" s="1" t="s">
        <v>625</v>
      </c>
      <c r="B344" s="3">
        <v>45814</v>
      </c>
      <c r="C344" s="1" t="s">
        <v>82</v>
      </c>
      <c r="D344" s="1">
        <v>6</v>
      </c>
      <c r="E344" s="1" t="s">
        <v>626</v>
      </c>
      <c r="F344" s="1" t="s">
        <v>58</v>
      </c>
      <c r="G344" s="1" t="s">
        <v>23</v>
      </c>
      <c r="H344" s="1" t="s">
        <v>99</v>
      </c>
      <c r="I344" s="1" t="s">
        <v>223</v>
      </c>
      <c r="J344" s="1">
        <v>2</v>
      </c>
      <c r="K344" s="1">
        <v>13391.73</v>
      </c>
      <c r="L344" s="1">
        <v>0.15</v>
      </c>
      <c r="M344" s="1">
        <v>26783.46</v>
      </c>
      <c r="N344" s="1">
        <v>4017.5189999999998</v>
      </c>
      <c r="O344" s="1">
        <v>22765.940999999999</v>
      </c>
      <c r="P344" s="1">
        <v>15480.83988</v>
      </c>
      <c r="Q344" s="1">
        <v>7285.1011199999994</v>
      </c>
      <c r="R344" s="1">
        <v>32</v>
      </c>
      <c r="S344" s="1" t="s">
        <v>93</v>
      </c>
    </row>
    <row r="345" spans="1:19" x14ac:dyDescent="0.35">
      <c r="A345" s="1" t="s">
        <v>627</v>
      </c>
      <c r="B345" s="3">
        <v>45969</v>
      </c>
      <c r="C345" s="1" t="s">
        <v>56</v>
      </c>
      <c r="D345" s="1">
        <v>11</v>
      </c>
      <c r="E345" s="1" t="s">
        <v>628</v>
      </c>
      <c r="F345" s="1" t="s">
        <v>43</v>
      </c>
      <c r="G345" s="1" t="s">
        <v>64</v>
      </c>
      <c r="H345" s="1" t="s">
        <v>24</v>
      </c>
      <c r="I345" s="1" t="s">
        <v>25</v>
      </c>
      <c r="J345" s="1">
        <v>2</v>
      </c>
      <c r="K345" s="1">
        <v>4045.25</v>
      </c>
      <c r="L345" s="1">
        <v>0.15</v>
      </c>
      <c r="M345" s="1">
        <v>8090.5</v>
      </c>
      <c r="N345" s="1">
        <v>1213.575</v>
      </c>
      <c r="O345" s="1">
        <v>6876.9250000000002</v>
      </c>
      <c r="P345" s="1">
        <v>3782.3087500000011</v>
      </c>
      <c r="Q345" s="1">
        <v>3094.61625</v>
      </c>
      <c r="R345" s="1">
        <v>44.999999999999993</v>
      </c>
      <c r="S345" s="1" t="s">
        <v>73</v>
      </c>
    </row>
    <row r="346" spans="1:19" x14ac:dyDescent="0.35">
      <c r="A346" s="1" t="s">
        <v>629</v>
      </c>
      <c r="B346" s="3">
        <v>45856</v>
      </c>
      <c r="C346" s="1" t="s">
        <v>62</v>
      </c>
      <c r="D346" s="1">
        <v>7</v>
      </c>
      <c r="E346" s="1" t="s">
        <v>454</v>
      </c>
      <c r="F346" s="1" t="s">
        <v>111</v>
      </c>
      <c r="G346" s="1" t="s">
        <v>38</v>
      </c>
      <c r="H346" s="1" t="s">
        <v>99</v>
      </c>
      <c r="I346" s="1" t="s">
        <v>108</v>
      </c>
      <c r="J346" s="1">
        <v>1</v>
      </c>
      <c r="K346" s="1">
        <v>16504.310000000001</v>
      </c>
      <c r="L346" s="1">
        <v>0.2</v>
      </c>
      <c r="M346" s="1">
        <v>16504.310000000001</v>
      </c>
      <c r="N346" s="1">
        <v>3300.862000000001</v>
      </c>
      <c r="O346" s="1">
        <v>13203.448</v>
      </c>
      <c r="P346" s="1">
        <v>8978.3446400000012</v>
      </c>
      <c r="Q346" s="1">
        <v>4225.1033599999992</v>
      </c>
      <c r="R346" s="1">
        <v>32</v>
      </c>
      <c r="S346" s="1" t="s">
        <v>26</v>
      </c>
    </row>
    <row r="347" spans="1:19" x14ac:dyDescent="0.35">
      <c r="A347" s="1" t="s">
        <v>630</v>
      </c>
      <c r="B347" s="3">
        <v>45978</v>
      </c>
      <c r="C347" s="1" t="s">
        <v>56</v>
      </c>
      <c r="D347" s="1">
        <v>11</v>
      </c>
      <c r="E347" s="1" t="s">
        <v>373</v>
      </c>
      <c r="F347" s="1" t="s">
        <v>43</v>
      </c>
      <c r="G347" s="1" t="s">
        <v>38</v>
      </c>
      <c r="H347" s="1" t="s">
        <v>39</v>
      </c>
      <c r="I347" s="1" t="s">
        <v>87</v>
      </c>
      <c r="J347" s="1">
        <v>7</v>
      </c>
      <c r="K347" s="1">
        <v>60296.69</v>
      </c>
      <c r="L347" s="1">
        <v>0.05</v>
      </c>
      <c r="M347" s="1">
        <v>422076.83</v>
      </c>
      <c r="N347" s="1">
        <v>21103.841499999999</v>
      </c>
      <c r="O347" s="1">
        <v>400972.98849999998</v>
      </c>
      <c r="P347" s="1">
        <v>312758.93102999998</v>
      </c>
      <c r="Q347" s="1">
        <v>88214.05747</v>
      </c>
      <c r="R347" s="1">
        <v>22</v>
      </c>
      <c r="S347" s="1" t="s">
        <v>73</v>
      </c>
    </row>
    <row r="348" spans="1:19" x14ac:dyDescent="0.35">
      <c r="A348" s="1" t="s">
        <v>631</v>
      </c>
      <c r="B348" s="3">
        <v>45939</v>
      </c>
      <c r="C348" s="1" t="s">
        <v>35</v>
      </c>
      <c r="D348" s="1">
        <v>10</v>
      </c>
      <c r="E348" s="1" t="s">
        <v>518</v>
      </c>
      <c r="F348" s="1" t="s">
        <v>52</v>
      </c>
      <c r="G348" s="1" t="s">
        <v>64</v>
      </c>
      <c r="H348" s="1" t="s">
        <v>39</v>
      </c>
      <c r="I348" s="1" t="s">
        <v>214</v>
      </c>
      <c r="J348" s="1">
        <v>2</v>
      </c>
      <c r="K348" s="1">
        <v>8446.9699999999993</v>
      </c>
      <c r="L348" s="1">
        <v>0.15</v>
      </c>
      <c r="M348" s="1">
        <v>16893.939999999999</v>
      </c>
      <c r="N348" s="1">
        <v>2534.0909999999999</v>
      </c>
      <c r="O348" s="1">
        <v>14359.849</v>
      </c>
      <c r="P348" s="1">
        <v>11200.682220000001</v>
      </c>
      <c r="Q348" s="1">
        <v>3159.16678</v>
      </c>
      <c r="R348" s="1">
        <v>22</v>
      </c>
      <c r="S348" s="1" t="s">
        <v>26</v>
      </c>
    </row>
    <row r="349" spans="1:19" x14ac:dyDescent="0.35">
      <c r="A349" s="1" t="s">
        <v>632</v>
      </c>
      <c r="B349" s="3">
        <v>45883</v>
      </c>
      <c r="C349" s="1" t="s">
        <v>113</v>
      </c>
      <c r="D349" s="1">
        <v>8</v>
      </c>
      <c r="E349" s="1" t="s">
        <v>633</v>
      </c>
      <c r="F349" s="1" t="s">
        <v>52</v>
      </c>
      <c r="G349" s="1" t="s">
        <v>23</v>
      </c>
      <c r="H349" s="1" t="s">
        <v>31</v>
      </c>
      <c r="I349" s="1" t="s">
        <v>32</v>
      </c>
      <c r="J349" s="1">
        <v>2</v>
      </c>
      <c r="K349" s="1">
        <v>2442.75</v>
      </c>
      <c r="L349" s="1">
        <v>0</v>
      </c>
      <c r="M349" s="1">
        <v>4885.5</v>
      </c>
      <c r="N349" s="1">
        <v>0</v>
      </c>
      <c r="O349" s="1">
        <v>4885.5</v>
      </c>
      <c r="P349" s="1">
        <v>2540.46</v>
      </c>
      <c r="Q349" s="1">
        <v>2345.04</v>
      </c>
      <c r="R349" s="1">
        <v>48</v>
      </c>
      <c r="S349" s="1" t="s">
        <v>73</v>
      </c>
    </row>
    <row r="350" spans="1:19" x14ac:dyDescent="0.35">
      <c r="A350" s="1" t="s">
        <v>634</v>
      </c>
      <c r="B350" s="3">
        <v>45959</v>
      </c>
      <c r="C350" s="1" t="s">
        <v>35</v>
      </c>
      <c r="D350" s="1">
        <v>10</v>
      </c>
      <c r="E350" s="1" t="s">
        <v>218</v>
      </c>
      <c r="F350" s="1" t="s">
        <v>30</v>
      </c>
      <c r="G350" s="1" t="s">
        <v>64</v>
      </c>
      <c r="H350" s="1" t="s">
        <v>31</v>
      </c>
      <c r="I350" s="1" t="s">
        <v>190</v>
      </c>
      <c r="J350" s="1">
        <v>7</v>
      </c>
      <c r="K350" s="1">
        <v>344.87</v>
      </c>
      <c r="L350" s="1">
        <v>0.05</v>
      </c>
      <c r="M350" s="1">
        <v>2414.09</v>
      </c>
      <c r="N350" s="1">
        <v>120.7045</v>
      </c>
      <c r="O350" s="1">
        <v>2293.3854999999999</v>
      </c>
      <c r="P350" s="1">
        <v>1192.5604599999999</v>
      </c>
      <c r="Q350" s="1">
        <v>1100.8250399999999</v>
      </c>
      <c r="R350" s="1">
        <v>48</v>
      </c>
      <c r="S350" s="1" t="s">
        <v>33</v>
      </c>
    </row>
    <row r="351" spans="1:19" x14ac:dyDescent="0.35">
      <c r="A351" s="1" t="s">
        <v>635</v>
      </c>
      <c r="B351" s="3">
        <v>45818</v>
      </c>
      <c r="C351" s="1" t="s">
        <v>82</v>
      </c>
      <c r="D351" s="1">
        <v>6</v>
      </c>
      <c r="E351" s="1" t="s">
        <v>571</v>
      </c>
      <c r="F351" s="1" t="s">
        <v>52</v>
      </c>
      <c r="G351" s="1" t="s">
        <v>64</v>
      </c>
      <c r="H351" s="1" t="s">
        <v>39</v>
      </c>
      <c r="I351" s="1" t="s">
        <v>234</v>
      </c>
      <c r="J351" s="1">
        <v>3</v>
      </c>
      <c r="K351" s="1">
        <v>53209.14</v>
      </c>
      <c r="L351" s="1">
        <v>0.2</v>
      </c>
      <c r="M351" s="1">
        <v>159627.42000000001</v>
      </c>
      <c r="N351" s="1">
        <v>31925.484</v>
      </c>
      <c r="O351" s="1">
        <v>127701.936</v>
      </c>
      <c r="P351" s="1">
        <v>99607.510079999993</v>
      </c>
      <c r="Q351" s="1">
        <v>28094.425919999991</v>
      </c>
      <c r="R351" s="1">
        <v>22</v>
      </c>
      <c r="S351" s="1" t="s">
        <v>26</v>
      </c>
    </row>
    <row r="352" spans="1:19" x14ac:dyDescent="0.35">
      <c r="A352" s="1" t="s">
        <v>636</v>
      </c>
      <c r="B352" s="3">
        <v>45909</v>
      </c>
      <c r="C352" s="1" t="s">
        <v>50</v>
      </c>
      <c r="D352" s="1">
        <v>9</v>
      </c>
      <c r="E352" s="1" t="s">
        <v>312</v>
      </c>
      <c r="F352" s="1" t="s">
        <v>47</v>
      </c>
      <c r="G352" s="1" t="s">
        <v>38</v>
      </c>
      <c r="H352" s="1" t="s">
        <v>53</v>
      </c>
      <c r="I352" s="1" t="s">
        <v>54</v>
      </c>
      <c r="J352" s="1">
        <v>2</v>
      </c>
      <c r="K352" s="1">
        <v>1354.1</v>
      </c>
      <c r="L352" s="1">
        <v>0.05</v>
      </c>
      <c r="M352" s="1">
        <v>2708.2</v>
      </c>
      <c r="N352" s="1">
        <v>135.41</v>
      </c>
      <c r="O352" s="1">
        <v>2572.79</v>
      </c>
      <c r="P352" s="1">
        <v>1492.2182</v>
      </c>
      <c r="Q352" s="1">
        <v>1080.5717999999999</v>
      </c>
      <c r="R352" s="1">
        <v>42.000000000000007</v>
      </c>
      <c r="S352" s="1" t="s">
        <v>73</v>
      </c>
    </row>
    <row r="353" spans="1:19" x14ac:dyDescent="0.35">
      <c r="A353" s="1" t="s">
        <v>637</v>
      </c>
      <c r="B353" s="3">
        <v>45917</v>
      </c>
      <c r="C353" s="1" t="s">
        <v>50</v>
      </c>
      <c r="D353" s="1">
        <v>9</v>
      </c>
      <c r="E353" s="1" t="s">
        <v>171</v>
      </c>
      <c r="F353" s="1" t="s">
        <v>111</v>
      </c>
      <c r="G353" s="1" t="s">
        <v>23</v>
      </c>
      <c r="H353" s="1" t="s">
        <v>24</v>
      </c>
      <c r="I353" s="1" t="s">
        <v>44</v>
      </c>
      <c r="J353" s="1">
        <v>3</v>
      </c>
      <c r="K353" s="1">
        <v>4526.67</v>
      </c>
      <c r="L353" s="1">
        <v>0.1</v>
      </c>
      <c r="M353" s="1">
        <v>13580.01</v>
      </c>
      <c r="N353" s="1">
        <v>1358.001</v>
      </c>
      <c r="O353" s="1">
        <v>12222.009</v>
      </c>
      <c r="P353" s="1">
        <v>6722.1049500000008</v>
      </c>
      <c r="Q353" s="1">
        <v>5499.9040499999992</v>
      </c>
      <c r="R353" s="1">
        <v>44.999999999999993</v>
      </c>
      <c r="S353" s="1" t="s">
        <v>93</v>
      </c>
    </row>
    <row r="354" spans="1:19" x14ac:dyDescent="0.35">
      <c r="A354" s="1" t="s">
        <v>638</v>
      </c>
      <c r="B354" s="3">
        <v>46019</v>
      </c>
      <c r="C354" s="1" t="s">
        <v>67</v>
      </c>
      <c r="D354" s="1">
        <v>12</v>
      </c>
      <c r="E354" s="1" t="s">
        <v>399</v>
      </c>
      <c r="F354" s="1" t="s">
        <v>76</v>
      </c>
      <c r="G354" s="1" t="s">
        <v>38</v>
      </c>
      <c r="H354" s="1" t="s">
        <v>77</v>
      </c>
      <c r="I354" s="1" t="s">
        <v>103</v>
      </c>
      <c r="J354" s="1">
        <v>4</v>
      </c>
      <c r="K354" s="1">
        <v>334.44</v>
      </c>
      <c r="L354" s="1">
        <v>0.15</v>
      </c>
      <c r="M354" s="1">
        <v>1337.76</v>
      </c>
      <c r="N354" s="1">
        <v>200.66399999999999</v>
      </c>
      <c r="O354" s="1">
        <v>1137.096</v>
      </c>
      <c r="P354" s="1">
        <v>818.70911999999998</v>
      </c>
      <c r="Q354" s="1">
        <v>318.38688000000002</v>
      </c>
      <c r="R354" s="1">
        <v>28</v>
      </c>
      <c r="S354" s="1" t="s">
        <v>73</v>
      </c>
    </row>
    <row r="355" spans="1:19" x14ac:dyDescent="0.35">
      <c r="A355" s="1" t="s">
        <v>639</v>
      </c>
      <c r="B355" s="3">
        <v>45999</v>
      </c>
      <c r="C355" s="1" t="s">
        <v>67</v>
      </c>
      <c r="D355" s="1">
        <v>12</v>
      </c>
      <c r="E355" s="1" t="s">
        <v>136</v>
      </c>
      <c r="F355" s="1" t="s">
        <v>111</v>
      </c>
      <c r="G355" s="1" t="s">
        <v>23</v>
      </c>
      <c r="H355" s="1" t="s">
        <v>31</v>
      </c>
      <c r="I355" s="1" t="s">
        <v>190</v>
      </c>
      <c r="J355" s="1">
        <v>6</v>
      </c>
      <c r="K355" s="1">
        <v>2190.11</v>
      </c>
      <c r="L355" s="1">
        <v>0.2</v>
      </c>
      <c r="M355" s="1">
        <v>13140.66</v>
      </c>
      <c r="N355" s="1">
        <v>2628.1320000000001</v>
      </c>
      <c r="O355" s="1">
        <v>10512.528</v>
      </c>
      <c r="P355" s="1">
        <v>5466.5145600000014</v>
      </c>
      <c r="Q355" s="1">
        <v>5046.0134399999997</v>
      </c>
      <c r="R355" s="1">
        <v>48</v>
      </c>
      <c r="S355" s="1" t="s">
        <v>93</v>
      </c>
    </row>
    <row r="356" spans="1:19" x14ac:dyDescent="0.35">
      <c r="A356" s="1" t="s">
        <v>640</v>
      </c>
      <c r="B356" s="3">
        <v>45873</v>
      </c>
      <c r="C356" s="1" t="s">
        <v>113</v>
      </c>
      <c r="D356" s="1">
        <v>8</v>
      </c>
      <c r="E356" s="1" t="s">
        <v>641</v>
      </c>
      <c r="F356" s="1" t="s">
        <v>52</v>
      </c>
      <c r="G356" s="1" t="s">
        <v>64</v>
      </c>
      <c r="H356" s="1" t="s">
        <v>99</v>
      </c>
      <c r="I356" s="1" t="s">
        <v>100</v>
      </c>
      <c r="J356" s="1">
        <v>4</v>
      </c>
      <c r="K356" s="1">
        <v>6502.48</v>
      </c>
      <c r="L356" s="1">
        <v>0.1</v>
      </c>
      <c r="M356" s="1">
        <v>26009.919999999998</v>
      </c>
      <c r="N356" s="1">
        <v>2600.9920000000002</v>
      </c>
      <c r="O356" s="1">
        <v>23408.928</v>
      </c>
      <c r="P356" s="1">
        <v>15918.071040000001</v>
      </c>
      <c r="Q356" s="1">
        <v>7490.8569599999992</v>
      </c>
      <c r="R356" s="1">
        <v>32</v>
      </c>
      <c r="S356" s="1" t="s">
        <v>60</v>
      </c>
    </row>
    <row r="357" spans="1:19" x14ac:dyDescent="0.35">
      <c r="A357" s="1" t="s">
        <v>642</v>
      </c>
      <c r="B357" s="3">
        <v>46006</v>
      </c>
      <c r="C357" s="1" t="s">
        <v>67</v>
      </c>
      <c r="D357" s="1">
        <v>12</v>
      </c>
      <c r="E357" s="1" t="s">
        <v>414</v>
      </c>
      <c r="F357" s="1" t="s">
        <v>52</v>
      </c>
      <c r="G357" s="1" t="s">
        <v>38</v>
      </c>
      <c r="H357" s="1" t="s">
        <v>53</v>
      </c>
      <c r="I357" s="1" t="s">
        <v>128</v>
      </c>
      <c r="J357" s="1">
        <v>4</v>
      </c>
      <c r="K357" s="1">
        <v>1689.84</v>
      </c>
      <c r="L357" s="1">
        <v>0</v>
      </c>
      <c r="M357" s="1">
        <v>6759.36</v>
      </c>
      <c r="N357" s="1">
        <v>0</v>
      </c>
      <c r="O357" s="1">
        <v>6759.36</v>
      </c>
      <c r="P357" s="1">
        <v>3920.4288000000001</v>
      </c>
      <c r="Q357" s="1">
        <v>2838.9312</v>
      </c>
      <c r="R357" s="1">
        <v>42.000000000000007</v>
      </c>
      <c r="S357" s="1" t="s">
        <v>73</v>
      </c>
    </row>
    <row r="358" spans="1:19" x14ac:dyDescent="0.35">
      <c r="A358" s="1" t="s">
        <v>643</v>
      </c>
      <c r="B358" s="3">
        <v>45786</v>
      </c>
      <c r="C358" s="1" t="s">
        <v>97</v>
      </c>
      <c r="D358" s="1">
        <v>5</v>
      </c>
      <c r="E358" s="1" t="s">
        <v>187</v>
      </c>
      <c r="F358" s="1" t="s">
        <v>69</v>
      </c>
      <c r="G358" s="1" t="s">
        <v>38</v>
      </c>
      <c r="H358" s="1" t="s">
        <v>39</v>
      </c>
      <c r="I358" s="1" t="s">
        <v>87</v>
      </c>
      <c r="J358" s="1">
        <v>5</v>
      </c>
      <c r="K358" s="1">
        <v>35448.31</v>
      </c>
      <c r="L358" s="1">
        <v>0.15</v>
      </c>
      <c r="M358" s="1">
        <v>177241.55</v>
      </c>
      <c r="N358" s="1">
        <v>26586.232499999998</v>
      </c>
      <c r="O358" s="1">
        <v>150655.3175</v>
      </c>
      <c r="P358" s="1">
        <v>117511.14765</v>
      </c>
      <c r="Q358" s="1">
        <v>33144.169849999991</v>
      </c>
      <c r="R358" s="1">
        <v>21.999999999999989</v>
      </c>
      <c r="S358" s="1" t="s">
        <v>26</v>
      </c>
    </row>
    <row r="359" spans="1:19" x14ac:dyDescent="0.35">
      <c r="A359" s="1" t="s">
        <v>644</v>
      </c>
      <c r="B359" s="3">
        <v>46003</v>
      </c>
      <c r="C359" s="1" t="s">
        <v>67</v>
      </c>
      <c r="D359" s="1">
        <v>12</v>
      </c>
      <c r="E359" s="1" t="s">
        <v>341</v>
      </c>
      <c r="F359" s="1" t="s">
        <v>47</v>
      </c>
      <c r="G359" s="1" t="s">
        <v>64</v>
      </c>
      <c r="H359" s="1" t="s">
        <v>77</v>
      </c>
      <c r="I359" s="1" t="s">
        <v>201</v>
      </c>
      <c r="J359" s="1">
        <v>1</v>
      </c>
      <c r="K359" s="1">
        <v>955.68</v>
      </c>
      <c r="L359" s="1">
        <v>0.05</v>
      </c>
      <c r="M359" s="1">
        <v>955.68</v>
      </c>
      <c r="N359" s="1">
        <v>47.783999999999999</v>
      </c>
      <c r="O359" s="1">
        <v>907.89599999999996</v>
      </c>
      <c r="P359" s="1">
        <v>653.68511999999998</v>
      </c>
      <c r="Q359" s="1">
        <v>254.21088</v>
      </c>
      <c r="R359" s="1">
        <v>28</v>
      </c>
      <c r="S359" s="1" t="s">
        <v>60</v>
      </c>
    </row>
    <row r="360" spans="1:19" x14ac:dyDescent="0.35">
      <c r="A360" s="1" t="s">
        <v>645</v>
      </c>
      <c r="B360" s="3">
        <v>45715</v>
      </c>
      <c r="C360" s="1" t="s">
        <v>42</v>
      </c>
      <c r="D360" s="1">
        <v>2</v>
      </c>
      <c r="E360" s="1" t="s">
        <v>646</v>
      </c>
      <c r="F360" s="1" t="s">
        <v>43</v>
      </c>
      <c r="G360" s="1" t="s">
        <v>64</v>
      </c>
      <c r="H360" s="1" t="s">
        <v>99</v>
      </c>
      <c r="I360" s="1" t="s">
        <v>120</v>
      </c>
      <c r="J360" s="1">
        <v>5</v>
      </c>
      <c r="K360" s="1">
        <v>24423.38</v>
      </c>
      <c r="L360" s="1">
        <v>0</v>
      </c>
      <c r="M360" s="1">
        <v>122116.9</v>
      </c>
      <c r="N360" s="1">
        <v>0</v>
      </c>
      <c r="O360" s="1">
        <v>122116.9</v>
      </c>
      <c r="P360" s="1">
        <v>83039.492000000013</v>
      </c>
      <c r="Q360" s="1">
        <v>39077.408000000003</v>
      </c>
      <c r="R360" s="1">
        <v>32</v>
      </c>
      <c r="S360" s="1" t="s">
        <v>73</v>
      </c>
    </row>
    <row r="361" spans="1:19" x14ac:dyDescent="0.35">
      <c r="A361" s="1" t="s">
        <v>647</v>
      </c>
      <c r="B361" s="3">
        <v>45850</v>
      </c>
      <c r="C361" s="1" t="s">
        <v>62</v>
      </c>
      <c r="D361" s="1">
        <v>7</v>
      </c>
      <c r="E361" s="1" t="s">
        <v>648</v>
      </c>
      <c r="F361" s="1" t="s">
        <v>58</v>
      </c>
      <c r="G361" s="1" t="s">
        <v>64</v>
      </c>
      <c r="H361" s="1" t="s">
        <v>39</v>
      </c>
      <c r="I361" s="1" t="s">
        <v>40</v>
      </c>
      <c r="J361" s="1">
        <v>6</v>
      </c>
      <c r="K361" s="1">
        <v>57405.91</v>
      </c>
      <c r="L361" s="1">
        <v>0.05</v>
      </c>
      <c r="M361" s="1">
        <v>344435.46</v>
      </c>
      <c r="N361" s="1">
        <v>17221.773000000001</v>
      </c>
      <c r="O361" s="1">
        <v>327213.68699999998</v>
      </c>
      <c r="P361" s="1">
        <v>255226.67585999999</v>
      </c>
      <c r="Q361" s="1">
        <v>71987.011139999988</v>
      </c>
      <c r="R361" s="1">
        <v>21.999999999999989</v>
      </c>
      <c r="S361" s="1" t="s">
        <v>26</v>
      </c>
    </row>
    <row r="362" spans="1:19" x14ac:dyDescent="0.35">
      <c r="A362" s="1" t="s">
        <v>649</v>
      </c>
      <c r="B362" s="3">
        <v>45806</v>
      </c>
      <c r="C362" s="1" t="s">
        <v>97</v>
      </c>
      <c r="D362" s="1">
        <v>5</v>
      </c>
      <c r="E362" s="1" t="s">
        <v>373</v>
      </c>
      <c r="F362" s="1" t="s">
        <v>22</v>
      </c>
      <c r="G362" s="1" t="s">
        <v>38</v>
      </c>
      <c r="H362" s="1" t="s">
        <v>53</v>
      </c>
      <c r="I362" s="1" t="s">
        <v>54</v>
      </c>
      <c r="J362" s="1">
        <v>4</v>
      </c>
      <c r="K362" s="1">
        <v>1921.06</v>
      </c>
      <c r="L362" s="1">
        <v>0.05</v>
      </c>
      <c r="M362" s="1">
        <v>7684.24</v>
      </c>
      <c r="N362" s="1">
        <v>384.21199999999999</v>
      </c>
      <c r="O362" s="1">
        <v>7300.0280000000002</v>
      </c>
      <c r="P362" s="1">
        <v>4234.0162399999999</v>
      </c>
      <c r="Q362" s="1">
        <v>3066.0117599999999</v>
      </c>
      <c r="R362" s="1">
        <v>42.000000000000007</v>
      </c>
      <c r="S362" s="1" t="s">
        <v>93</v>
      </c>
    </row>
    <row r="363" spans="1:19" x14ac:dyDescent="0.35">
      <c r="A363" s="1" t="s">
        <v>650</v>
      </c>
      <c r="B363" s="3">
        <v>45789</v>
      </c>
      <c r="C363" s="1" t="s">
        <v>97</v>
      </c>
      <c r="D363" s="1">
        <v>5</v>
      </c>
      <c r="E363" s="1" t="s">
        <v>648</v>
      </c>
      <c r="F363" s="1" t="s">
        <v>30</v>
      </c>
      <c r="G363" s="1" t="s">
        <v>64</v>
      </c>
      <c r="H363" s="1" t="s">
        <v>99</v>
      </c>
      <c r="I363" s="1" t="s">
        <v>100</v>
      </c>
      <c r="J363" s="1">
        <v>4</v>
      </c>
      <c r="K363" s="1">
        <v>13694.65</v>
      </c>
      <c r="L363" s="1">
        <v>0.05</v>
      </c>
      <c r="M363" s="1">
        <v>54778.6</v>
      </c>
      <c r="N363" s="1">
        <v>2738.93</v>
      </c>
      <c r="O363" s="1">
        <v>52039.67</v>
      </c>
      <c r="P363" s="1">
        <v>35386.975599999998</v>
      </c>
      <c r="Q363" s="1">
        <v>16652.6944</v>
      </c>
      <c r="R363" s="1">
        <v>32</v>
      </c>
      <c r="S363" s="1" t="s">
        <v>33</v>
      </c>
    </row>
    <row r="364" spans="1:19" x14ac:dyDescent="0.35">
      <c r="A364" s="1" t="s">
        <v>651</v>
      </c>
      <c r="B364" s="3">
        <v>45981</v>
      </c>
      <c r="C364" s="1" t="s">
        <v>56</v>
      </c>
      <c r="D364" s="1">
        <v>11</v>
      </c>
      <c r="E364" s="1" t="s">
        <v>291</v>
      </c>
      <c r="F364" s="1" t="s">
        <v>30</v>
      </c>
      <c r="G364" s="1" t="s">
        <v>38</v>
      </c>
      <c r="H364" s="1" t="s">
        <v>99</v>
      </c>
      <c r="I364" s="1" t="s">
        <v>120</v>
      </c>
      <c r="J364" s="1">
        <v>7</v>
      </c>
      <c r="K364" s="1">
        <v>22288.67</v>
      </c>
      <c r="L364" s="1">
        <v>0.1</v>
      </c>
      <c r="M364" s="1">
        <v>156020.69</v>
      </c>
      <c r="N364" s="1">
        <v>15602.069</v>
      </c>
      <c r="O364" s="1">
        <v>140418.62100000001</v>
      </c>
      <c r="P364" s="1">
        <v>95484.662280000019</v>
      </c>
      <c r="Q364" s="1">
        <v>44933.958720000002</v>
      </c>
      <c r="R364" s="1">
        <v>32</v>
      </c>
      <c r="S364" s="1" t="s">
        <v>33</v>
      </c>
    </row>
    <row r="365" spans="1:19" x14ac:dyDescent="0.35">
      <c r="A365" s="1" t="s">
        <v>652</v>
      </c>
      <c r="B365" s="3">
        <v>45681</v>
      </c>
      <c r="C365" s="1" t="s">
        <v>193</v>
      </c>
      <c r="D365" s="1">
        <v>1</v>
      </c>
      <c r="E365" s="1" t="s">
        <v>341</v>
      </c>
      <c r="F365" s="1" t="s">
        <v>30</v>
      </c>
      <c r="G365" s="1" t="s">
        <v>38</v>
      </c>
      <c r="H365" s="1" t="s">
        <v>99</v>
      </c>
      <c r="I365" s="1" t="s">
        <v>120</v>
      </c>
      <c r="J365" s="1">
        <v>4</v>
      </c>
      <c r="K365" s="1">
        <v>5910.89</v>
      </c>
      <c r="L365" s="1">
        <v>0.25</v>
      </c>
      <c r="M365" s="1">
        <v>23643.56</v>
      </c>
      <c r="N365" s="1">
        <v>5910.89</v>
      </c>
      <c r="O365" s="1">
        <v>17732.669999999998</v>
      </c>
      <c r="P365" s="1">
        <v>12058.2156</v>
      </c>
      <c r="Q365" s="1">
        <v>5674.4544000000014</v>
      </c>
      <c r="R365" s="1">
        <v>32</v>
      </c>
      <c r="S365" s="1" t="s">
        <v>93</v>
      </c>
    </row>
    <row r="366" spans="1:19" x14ac:dyDescent="0.35">
      <c r="A366" s="1" t="s">
        <v>653</v>
      </c>
      <c r="B366" s="3">
        <v>46008</v>
      </c>
      <c r="C366" s="1" t="s">
        <v>67</v>
      </c>
      <c r="D366" s="1">
        <v>12</v>
      </c>
      <c r="E366" s="1" t="s">
        <v>212</v>
      </c>
      <c r="F366" s="1" t="s">
        <v>52</v>
      </c>
      <c r="G366" s="1" t="s">
        <v>23</v>
      </c>
      <c r="H366" s="1" t="s">
        <v>77</v>
      </c>
      <c r="I366" s="1" t="s">
        <v>78</v>
      </c>
      <c r="J366" s="1">
        <v>5</v>
      </c>
      <c r="K366" s="1">
        <v>930.38</v>
      </c>
      <c r="L366" s="1">
        <v>0</v>
      </c>
      <c r="M366" s="1">
        <v>4651.8999999999996</v>
      </c>
      <c r="N366" s="1">
        <v>0</v>
      </c>
      <c r="O366" s="1">
        <v>4651.8999999999996</v>
      </c>
      <c r="P366" s="1">
        <v>3349.367999999999</v>
      </c>
      <c r="Q366" s="1">
        <v>1302.5319999999999</v>
      </c>
      <c r="R366" s="1">
        <v>28.000000000000011</v>
      </c>
      <c r="S366" s="1" t="s">
        <v>60</v>
      </c>
    </row>
    <row r="367" spans="1:19" x14ac:dyDescent="0.35">
      <c r="A367" s="1" t="s">
        <v>654</v>
      </c>
      <c r="B367" s="3">
        <v>45795</v>
      </c>
      <c r="C367" s="1" t="s">
        <v>97</v>
      </c>
      <c r="D367" s="1">
        <v>5</v>
      </c>
      <c r="E367" s="1" t="s">
        <v>256</v>
      </c>
      <c r="F367" s="1" t="s">
        <v>52</v>
      </c>
      <c r="G367" s="1" t="s">
        <v>38</v>
      </c>
      <c r="H367" s="1" t="s">
        <v>77</v>
      </c>
      <c r="I367" s="1" t="s">
        <v>103</v>
      </c>
      <c r="J367" s="1">
        <v>5</v>
      </c>
      <c r="K367" s="1">
        <v>399.53</v>
      </c>
      <c r="L367" s="1">
        <v>0.05</v>
      </c>
      <c r="M367" s="1">
        <v>1997.65</v>
      </c>
      <c r="N367" s="1">
        <v>99.882499999999993</v>
      </c>
      <c r="O367" s="1">
        <v>1897.7674999999999</v>
      </c>
      <c r="P367" s="1">
        <v>1366.3925999999999</v>
      </c>
      <c r="Q367" s="1">
        <v>531.37490000000003</v>
      </c>
      <c r="R367" s="1">
        <v>28</v>
      </c>
      <c r="S367" s="1" t="s">
        <v>33</v>
      </c>
    </row>
    <row r="368" spans="1:19" x14ac:dyDescent="0.35">
      <c r="A368" s="1" t="s">
        <v>655</v>
      </c>
      <c r="B368" s="3">
        <v>45989</v>
      </c>
      <c r="C368" s="1" t="s">
        <v>56</v>
      </c>
      <c r="D368" s="1">
        <v>11</v>
      </c>
      <c r="E368" s="1" t="s">
        <v>484</v>
      </c>
      <c r="F368" s="1" t="s">
        <v>111</v>
      </c>
      <c r="G368" s="1" t="s">
        <v>64</v>
      </c>
      <c r="H368" s="1" t="s">
        <v>77</v>
      </c>
      <c r="I368" s="1" t="s">
        <v>90</v>
      </c>
      <c r="J368" s="1">
        <v>3</v>
      </c>
      <c r="K368" s="1">
        <v>812.5</v>
      </c>
      <c r="L368" s="1">
        <v>0.15</v>
      </c>
      <c r="M368" s="1">
        <v>2437.5</v>
      </c>
      <c r="N368" s="1">
        <v>365.625</v>
      </c>
      <c r="O368" s="1">
        <v>2071.875</v>
      </c>
      <c r="P368" s="1">
        <v>1491.75</v>
      </c>
      <c r="Q368" s="1">
        <v>580.125</v>
      </c>
      <c r="R368" s="1">
        <v>28</v>
      </c>
      <c r="S368" s="1" t="s">
        <v>26</v>
      </c>
    </row>
    <row r="369" spans="1:19" x14ac:dyDescent="0.35">
      <c r="A369" s="1" t="s">
        <v>656</v>
      </c>
      <c r="B369" s="3">
        <v>45863</v>
      </c>
      <c r="C369" s="1" t="s">
        <v>62</v>
      </c>
      <c r="D369" s="1">
        <v>7</v>
      </c>
      <c r="E369" s="1" t="s">
        <v>657</v>
      </c>
      <c r="F369" s="1" t="s">
        <v>22</v>
      </c>
      <c r="G369" s="1" t="s">
        <v>23</v>
      </c>
      <c r="H369" s="1" t="s">
        <v>39</v>
      </c>
      <c r="I369" s="1" t="s">
        <v>155</v>
      </c>
      <c r="J369" s="1">
        <v>6</v>
      </c>
      <c r="K369" s="1">
        <v>27206.99</v>
      </c>
      <c r="L369" s="1">
        <v>0.3</v>
      </c>
      <c r="M369" s="1">
        <v>163241.94</v>
      </c>
      <c r="N369" s="1">
        <v>48972.582000000002</v>
      </c>
      <c r="O369" s="1">
        <v>114269.35799999999</v>
      </c>
      <c r="P369" s="1">
        <v>89130.09924000001</v>
      </c>
      <c r="Q369" s="1">
        <v>25139.258760000001</v>
      </c>
      <c r="R369" s="1">
        <v>21.999999999999989</v>
      </c>
      <c r="S369" s="1" t="s">
        <v>93</v>
      </c>
    </row>
    <row r="370" spans="1:19" x14ac:dyDescent="0.35">
      <c r="A370" s="1" t="s">
        <v>658</v>
      </c>
      <c r="B370" s="3">
        <v>45898</v>
      </c>
      <c r="C370" s="1" t="s">
        <v>113</v>
      </c>
      <c r="D370" s="1">
        <v>8</v>
      </c>
      <c r="E370" s="1" t="s">
        <v>281</v>
      </c>
      <c r="F370" s="1" t="s">
        <v>43</v>
      </c>
      <c r="G370" s="1" t="s">
        <v>64</v>
      </c>
      <c r="H370" s="1" t="s">
        <v>53</v>
      </c>
      <c r="I370" s="1" t="s">
        <v>128</v>
      </c>
      <c r="J370" s="1">
        <v>7</v>
      </c>
      <c r="K370" s="1">
        <v>1406.79</v>
      </c>
      <c r="L370" s="1">
        <v>0.15</v>
      </c>
      <c r="M370" s="1">
        <v>9847.5299999999988</v>
      </c>
      <c r="N370" s="1">
        <v>1477.1295</v>
      </c>
      <c r="O370" s="1">
        <v>8370.4004999999997</v>
      </c>
      <c r="P370" s="1">
        <v>4854.8322899999994</v>
      </c>
      <c r="Q370" s="1">
        <v>3515.5682099999999</v>
      </c>
      <c r="R370" s="1">
        <v>42.000000000000007</v>
      </c>
      <c r="S370" s="1" t="s">
        <v>73</v>
      </c>
    </row>
    <row r="371" spans="1:19" x14ac:dyDescent="0.35">
      <c r="A371" s="1" t="s">
        <v>659</v>
      </c>
      <c r="B371" s="3">
        <v>45871</v>
      </c>
      <c r="C371" s="1" t="s">
        <v>113</v>
      </c>
      <c r="D371" s="1">
        <v>8</v>
      </c>
      <c r="E371" s="1" t="s">
        <v>254</v>
      </c>
      <c r="F371" s="1" t="s">
        <v>111</v>
      </c>
      <c r="G371" s="1" t="s">
        <v>64</v>
      </c>
      <c r="H371" s="1" t="s">
        <v>39</v>
      </c>
      <c r="I371" s="1" t="s">
        <v>87</v>
      </c>
      <c r="J371" s="1">
        <v>1</v>
      </c>
      <c r="K371" s="1">
        <v>42288.57</v>
      </c>
      <c r="L371" s="1">
        <v>0.05</v>
      </c>
      <c r="M371" s="1">
        <v>42288.57</v>
      </c>
      <c r="N371" s="1">
        <v>2114.4285</v>
      </c>
      <c r="O371" s="1">
        <v>40174.141499999998</v>
      </c>
      <c r="P371" s="1">
        <v>31335.83037</v>
      </c>
      <c r="Q371" s="1">
        <v>8838.3111299999982</v>
      </c>
      <c r="R371" s="1">
        <v>22</v>
      </c>
      <c r="S371" s="1" t="s">
        <v>60</v>
      </c>
    </row>
    <row r="372" spans="1:19" x14ac:dyDescent="0.35">
      <c r="A372" s="1" t="s">
        <v>660</v>
      </c>
      <c r="B372" s="3">
        <v>45848</v>
      </c>
      <c r="C372" s="1" t="s">
        <v>62</v>
      </c>
      <c r="D372" s="1">
        <v>7</v>
      </c>
      <c r="E372" s="1" t="s">
        <v>605</v>
      </c>
      <c r="F372" s="1" t="s">
        <v>47</v>
      </c>
      <c r="G372" s="1" t="s">
        <v>38</v>
      </c>
      <c r="H372" s="1" t="s">
        <v>39</v>
      </c>
      <c r="I372" s="1" t="s">
        <v>40</v>
      </c>
      <c r="J372" s="1">
        <v>3</v>
      </c>
      <c r="K372" s="1">
        <v>29049</v>
      </c>
      <c r="L372" s="1">
        <v>0.25</v>
      </c>
      <c r="M372" s="1">
        <v>87147</v>
      </c>
      <c r="N372" s="1">
        <v>21786.75</v>
      </c>
      <c r="O372" s="1">
        <v>65360.25</v>
      </c>
      <c r="P372" s="1">
        <v>50980.995000000003</v>
      </c>
      <c r="Q372" s="1">
        <v>14379.254999999999</v>
      </c>
      <c r="R372" s="1">
        <v>22</v>
      </c>
      <c r="S372" s="1" t="s">
        <v>60</v>
      </c>
    </row>
    <row r="373" spans="1:19" x14ac:dyDescent="0.35">
      <c r="A373" s="1" t="s">
        <v>661</v>
      </c>
      <c r="B373" s="3">
        <v>45824</v>
      </c>
      <c r="C373" s="1" t="s">
        <v>82</v>
      </c>
      <c r="D373" s="1">
        <v>6</v>
      </c>
      <c r="E373" s="1" t="s">
        <v>662</v>
      </c>
      <c r="F373" s="1" t="s">
        <v>43</v>
      </c>
      <c r="G373" s="1" t="s">
        <v>64</v>
      </c>
      <c r="H373" s="1" t="s">
        <v>31</v>
      </c>
      <c r="I373" s="1" t="s">
        <v>59</v>
      </c>
      <c r="J373" s="1">
        <v>6</v>
      </c>
      <c r="K373" s="1">
        <v>1337.19</v>
      </c>
      <c r="L373" s="1">
        <v>0</v>
      </c>
      <c r="M373" s="1">
        <v>8023.14</v>
      </c>
      <c r="N373" s="1">
        <v>0</v>
      </c>
      <c r="O373" s="1">
        <v>8023.14</v>
      </c>
      <c r="P373" s="1">
        <v>4172.0328</v>
      </c>
      <c r="Q373" s="1">
        <v>3851.1071999999999</v>
      </c>
      <c r="R373" s="1">
        <v>48.000000000000007</v>
      </c>
      <c r="S373" s="1" t="s">
        <v>33</v>
      </c>
    </row>
    <row r="374" spans="1:19" x14ac:dyDescent="0.35">
      <c r="A374" s="1" t="s">
        <v>663</v>
      </c>
      <c r="B374" s="3">
        <v>45902</v>
      </c>
      <c r="C374" s="1" t="s">
        <v>50</v>
      </c>
      <c r="D374" s="1">
        <v>9</v>
      </c>
      <c r="E374" s="1" t="s">
        <v>664</v>
      </c>
      <c r="F374" s="1" t="s">
        <v>22</v>
      </c>
      <c r="G374" s="1" t="s">
        <v>64</v>
      </c>
      <c r="H374" s="1" t="s">
        <v>53</v>
      </c>
      <c r="I374" s="1" t="s">
        <v>185</v>
      </c>
      <c r="J374" s="1">
        <v>1</v>
      </c>
      <c r="K374" s="1">
        <v>1782.81</v>
      </c>
      <c r="L374" s="1">
        <v>0.15</v>
      </c>
      <c r="M374" s="1">
        <v>1782.81</v>
      </c>
      <c r="N374" s="1">
        <v>267.42149999999998</v>
      </c>
      <c r="O374" s="1">
        <v>1515.3885</v>
      </c>
      <c r="P374" s="1">
        <v>878.92532999999992</v>
      </c>
      <c r="Q374" s="1">
        <v>636.4631700000001</v>
      </c>
      <c r="R374" s="1">
        <v>42.000000000000007</v>
      </c>
      <c r="S374" s="1" t="s">
        <v>26</v>
      </c>
    </row>
    <row r="375" spans="1:19" x14ac:dyDescent="0.35">
      <c r="A375" s="1" t="s">
        <v>665</v>
      </c>
      <c r="B375" s="3">
        <v>45928</v>
      </c>
      <c r="C375" s="1" t="s">
        <v>50</v>
      </c>
      <c r="D375" s="1">
        <v>9</v>
      </c>
      <c r="E375" s="1" t="s">
        <v>666</v>
      </c>
      <c r="F375" s="1" t="s">
        <v>37</v>
      </c>
      <c r="G375" s="1" t="s">
        <v>64</v>
      </c>
      <c r="H375" s="1" t="s">
        <v>24</v>
      </c>
      <c r="I375" s="1" t="s">
        <v>44</v>
      </c>
      <c r="J375" s="1">
        <v>4</v>
      </c>
      <c r="K375" s="1">
        <v>2613.9499999999998</v>
      </c>
      <c r="L375" s="1">
        <v>0</v>
      </c>
      <c r="M375" s="1">
        <v>10455.799999999999</v>
      </c>
      <c r="N375" s="1">
        <v>0</v>
      </c>
      <c r="O375" s="1">
        <v>10455.799999999999</v>
      </c>
      <c r="P375" s="1">
        <v>5750.6900000000014</v>
      </c>
      <c r="Q375" s="1">
        <v>4705.1099999999988</v>
      </c>
      <c r="R375" s="1">
        <v>44.999999999999993</v>
      </c>
      <c r="S375" s="1" t="s">
        <v>93</v>
      </c>
    </row>
    <row r="376" spans="1:19" x14ac:dyDescent="0.35">
      <c r="A376" s="1" t="s">
        <v>667</v>
      </c>
      <c r="B376" s="3">
        <v>45904</v>
      </c>
      <c r="C376" s="1" t="s">
        <v>50</v>
      </c>
      <c r="D376" s="1">
        <v>9</v>
      </c>
      <c r="E376" s="1" t="s">
        <v>668</v>
      </c>
      <c r="F376" s="1" t="s">
        <v>69</v>
      </c>
      <c r="G376" s="1" t="s">
        <v>64</v>
      </c>
      <c r="H376" s="1" t="s">
        <v>24</v>
      </c>
      <c r="I376" s="1" t="s">
        <v>117</v>
      </c>
      <c r="J376" s="1">
        <v>3</v>
      </c>
      <c r="K376" s="1">
        <v>3255.98</v>
      </c>
      <c r="L376" s="1">
        <v>0.15</v>
      </c>
      <c r="M376" s="1">
        <v>9767.94</v>
      </c>
      <c r="N376" s="1">
        <v>1465.191</v>
      </c>
      <c r="O376" s="1">
        <v>8302.7489999999998</v>
      </c>
      <c r="P376" s="1">
        <v>4566.5119500000001</v>
      </c>
      <c r="Q376" s="1">
        <v>3736.2370500000002</v>
      </c>
      <c r="R376" s="1">
        <v>44.999999999999993</v>
      </c>
      <c r="S376" s="1" t="s">
        <v>93</v>
      </c>
    </row>
    <row r="377" spans="1:19" x14ac:dyDescent="0.35">
      <c r="A377" s="1" t="s">
        <v>669</v>
      </c>
      <c r="B377" s="3">
        <v>45940</v>
      </c>
      <c r="C377" s="1" t="s">
        <v>35</v>
      </c>
      <c r="D377" s="1">
        <v>10</v>
      </c>
      <c r="E377" s="1" t="s">
        <v>105</v>
      </c>
      <c r="F377" s="1" t="s">
        <v>37</v>
      </c>
      <c r="G377" s="1" t="s">
        <v>64</v>
      </c>
      <c r="H377" s="1" t="s">
        <v>77</v>
      </c>
      <c r="I377" s="1" t="s">
        <v>103</v>
      </c>
      <c r="J377" s="1">
        <v>5</v>
      </c>
      <c r="K377" s="1">
        <v>1155.74</v>
      </c>
      <c r="L377" s="1">
        <v>0.15</v>
      </c>
      <c r="M377" s="1">
        <v>5778.7</v>
      </c>
      <c r="N377" s="1">
        <v>866.80499999999995</v>
      </c>
      <c r="O377" s="1">
        <v>4911.8950000000004</v>
      </c>
      <c r="P377" s="1">
        <v>3536.5644000000002</v>
      </c>
      <c r="Q377" s="1">
        <v>1375.3306</v>
      </c>
      <c r="R377" s="1">
        <v>28</v>
      </c>
      <c r="S377" s="1" t="s">
        <v>33</v>
      </c>
    </row>
    <row r="378" spans="1:19" x14ac:dyDescent="0.35">
      <c r="A378" s="1" t="s">
        <v>670</v>
      </c>
      <c r="B378" s="3">
        <v>45808</v>
      </c>
      <c r="C378" s="1" t="s">
        <v>97</v>
      </c>
      <c r="D378" s="1">
        <v>5</v>
      </c>
      <c r="E378" s="1" t="s">
        <v>227</v>
      </c>
      <c r="F378" s="1" t="s">
        <v>30</v>
      </c>
      <c r="G378" s="1" t="s">
        <v>38</v>
      </c>
      <c r="H378" s="1" t="s">
        <v>99</v>
      </c>
      <c r="I378" s="1" t="s">
        <v>100</v>
      </c>
      <c r="J378" s="1">
        <v>6</v>
      </c>
      <c r="K378" s="1">
        <v>17635.82</v>
      </c>
      <c r="L378" s="1">
        <v>0.2</v>
      </c>
      <c r="M378" s="1">
        <v>105814.92</v>
      </c>
      <c r="N378" s="1">
        <v>21162.984</v>
      </c>
      <c r="O378" s="1">
        <v>84651.936000000002</v>
      </c>
      <c r="P378" s="1">
        <v>57563.316480000009</v>
      </c>
      <c r="Q378" s="1">
        <v>27088.619519999989</v>
      </c>
      <c r="R378" s="1">
        <v>31.999999999999989</v>
      </c>
      <c r="S378" s="1" t="s">
        <v>73</v>
      </c>
    </row>
    <row r="379" spans="1:19" x14ac:dyDescent="0.35">
      <c r="A379" s="1" t="s">
        <v>671</v>
      </c>
      <c r="B379" s="3">
        <v>45929</v>
      </c>
      <c r="C379" s="1" t="s">
        <v>50</v>
      </c>
      <c r="D379" s="1">
        <v>9</v>
      </c>
      <c r="E379" s="1" t="s">
        <v>336</v>
      </c>
      <c r="F379" s="1" t="s">
        <v>76</v>
      </c>
      <c r="G379" s="1" t="s">
        <v>64</v>
      </c>
      <c r="H379" s="1" t="s">
        <v>53</v>
      </c>
      <c r="I379" s="1" t="s">
        <v>72</v>
      </c>
      <c r="J379" s="1">
        <v>3</v>
      </c>
      <c r="K379" s="1">
        <v>129.18</v>
      </c>
      <c r="L379" s="1">
        <v>0.15</v>
      </c>
      <c r="M379" s="1">
        <v>387.54</v>
      </c>
      <c r="N379" s="1">
        <v>58.131</v>
      </c>
      <c r="O379" s="1">
        <v>329.40899999999999</v>
      </c>
      <c r="P379" s="1">
        <v>191.05722</v>
      </c>
      <c r="Q379" s="1">
        <v>138.35177999999999</v>
      </c>
      <c r="R379" s="1">
        <v>42.000000000000007</v>
      </c>
      <c r="S379" s="1" t="s">
        <v>93</v>
      </c>
    </row>
    <row r="380" spans="1:19" x14ac:dyDescent="0.35">
      <c r="A380" s="1" t="s">
        <v>672</v>
      </c>
      <c r="B380" s="3">
        <v>45988</v>
      </c>
      <c r="C380" s="1" t="s">
        <v>56</v>
      </c>
      <c r="D380" s="1">
        <v>11</v>
      </c>
      <c r="E380" s="1" t="s">
        <v>673</v>
      </c>
      <c r="F380" s="1" t="s">
        <v>43</v>
      </c>
      <c r="G380" s="1" t="s">
        <v>23</v>
      </c>
      <c r="H380" s="1" t="s">
        <v>31</v>
      </c>
      <c r="I380" s="1" t="s">
        <v>65</v>
      </c>
      <c r="J380" s="1">
        <v>3</v>
      </c>
      <c r="K380" s="1">
        <v>1558.46</v>
      </c>
      <c r="L380" s="1">
        <v>0.25</v>
      </c>
      <c r="M380" s="1">
        <v>4675.38</v>
      </c>
      <c r="N380" s="1">
        <v>1168.845</v>
      </c>
      <c r="O380" s="1">
        <v>3506.5349999999999</v>
      </c>
      <c r="P380" s="1">
        <v>1823.3982000000001</v>
      </c>
      <c r="Q380" s="1">
        <v>1683.1368</v>
      </c>
      <c r="R380" s="1">
        <v>47.999999999999993</v>
      </c>
      <c r="S380" s="1" t="s">
        <v>26</v>
      </c>
    </row>
    <row r="381" spans="1:19" x14ac:dyDescent="0.35">
      <c r="A381" s="1" t="s">
        <v>674</v>
      </c>
      <c r="B381" s="3">
        <v>45690</v>
      </c>
      <c r="C381" s="1" t="s">
        <v>42</v>
      </c>
      <c r="D381" s="1">
        <v>2</v>
      </c>
      <c r="E381" s="1" t="s">
        <v>675</v>
      </c>
      <c r="F381" s="1" t="s">
        <v>47</v>
      </c>
      <c r="G381" s="1" t="s">
        <v>23</v>
      </c>
      <c r="H381" s="1" t="s">
        <v>77</v>
      </c>
      <c r="I381" s="1" t="s">
        <v>103</v>
      </c>
      <c r="J381" s="1">
        <v>2</v>
      </c>
      <c r="K381" s="1">
        <v>547.67999999999995</v>
      </c>
      <c r="L381" s="1">
        <v>0.15</v>
      </c>
      <c r="M381" s="1">
        <v>1095.3599999999999</v>
      </c>
      <c r="N381" s="1">
        <v>164.304</v>
      </c>
      <c r="O381" s="1">
        <v>931.05599999999993</v>
      </c>
      <c r="P381" s="1">
        <v>670.36031999999989</v>
      </c>
      <c r="Q381" s="1">
        <v>260.69567999999998</v>
      </c>
      <c r="R381" s="1">
        <v>28.000000000000011</v>
      </c>
      <c r="S381" s="1" t="s">
        <v>60</v>
      </c>
    </row>
    <row r="382" spans="1:19" x14ac:dyDescent="0.35">
      <c r="A382" s="1" t="s">
        <v>676</v>
      </c>
      <c r="B382" s="3">
        <v>45798</v>
      </c>
      <c r="C382" s="1" t="s">
        <v>97</v>
      </c>
      <c r="D382" s="1">
        <v>5</v>
      </c>
      <c r="E382" s="1" t="s">
        <v>435</v>
      </c>
      <c r="F382" s="1" t="s">
        <v>69</v>
      </c>
      <c r="G382" s="1" t="s">
        <v>23</v>
      </c>
      <c r="H382" s="1" t="s">
        <v>24</v>
      </c>
      <c r="I382" s="1" t="s">
        <v>139</v>
      </c>
      <c r="J382" s="1">
        <v>6</v>
      </c>
      <c r="K382" s="1">
        <v>4534.18</v>
      </c>
      <c r="L382" s="1">
        <v>0</v>
      </c>
      <c r="M382" s="1">
        <v>27205.08</v>
      </c>
      <c r="N382" s="1">
        <v>0</v>
      </c>
      <c r="O382" s="1">
        <v>27205.08</v>
      </c>
      <c r="P382" s="1">
        <v>14962.794</v>
      </c>
      <c r="Q382" s="1">
        <v>12242.286</v>
      </c>
      <c r="R382" s="1">
        <v>44.999999999999993</v>
      </c>
      <c r="S382" s="1" t="s">
        <v>33</v>
      </c>
    </row>
    <row r="383" spans="1:19" x14ac:dyDescent="0.35">
      <c r="A383" s="1" t="s">
        <v>677</v>
      </c>
      <c r="B383" s="3">
        <v>45686</v>
      </c>
      <c r="C383" s="1" t="s">
        <v>193</v>
      </c>
      <c r="D383" s="1">
        <v>1</v>
      </c>
      <c r="E383" s="1" t="s">
        <v>626</v>
      </c>
      <c r="F383" s="1" t="s">
        <v>37</v>
      </c>
      <c r="G383" s="1" t="s">
        <v>64</v>
      </c>
      <c r="H383" s="1" t="s">
        <v>99</v>
      </c>
      <c r="I383" s="1" t="s">
        <v>145</v>
      </c>
      <c r="J383" s="1">
        <v>7</v>
      </c>
      <c r="K383" s="1">
        <v>12220.43</v>
      </c>
      <c r="L383" s="1">
        <v>0.3</v>
      </c>
      <c r="M383" s="1">
        <v>85543.010000000009</v>
      </c>
      <c r="N383" s="1">
        <v>25662.902999999998</v>
      </c>
      <c r="O383" s="1">
        <v>59880.107000000004</v>
      </c>
      <c r="P383" s="1">
        <v>40718.472759999997</v>
      </c>
      <c r="Q383" s="1">
        <v>19161.634239999999</v>
      </c>
      <c r="R383" s="1">
        <v>32</v>
      </c>
      <c r="S383" s="1" t="s">
        <v>73</v>
      </c>
    </row>
    <row r="384" spans="1:19" x14ac:dyDescent="0.35">
      <c r="A384" s="1" t="s">
        <v>678</v>
      </c>
      <c r="B384" s="3">
        <v>45982</v>
      </c>
      <c r="C384" s="1" t="s">
        <v>56</v>
      </c>
      <c r="D384" s="1">
        <v>11</v>
      </c>
      <c r="E384" s="1" t="s">
        <v>679</v>
      </c>
      <c r="F384" s="1" t="s">
        <v>76</v>
      </c>
      <c r="G384" s="1" t="s">
        <v>38</v>
      </c>
      <c r="H384" s="1" t="s">
        <v>24</v>
      </c>
      <c r="I384" s="1" t="s">
        <v>25</v>
      </c>
      <c r="J384" s="1">
        <v>6</v>
      </c>
      <c r="K384" s="1">
        <v>3555.22</v>
      </c>
      <c r="L384" s="1">
        <v>0.05</v>
      </c>
      <c r="M384" s="1">
        <v>21331.32</v>
      </c>
      <c r="N384" s="1">
        <v>1066.566</v>
      </c>
      <c r="O384" s="1">
        <v>20264.754000000001</v>
      </c>
      <c r="P384" s="1">
        <v>11145.6147</v>
      </c>
      <c r="Q384" s="1">
        <v>9119.1392999999989</v>
      </c>
      <c r="R384" s="1">
        <v>44.999999999999993</v>
      </c>
      <c r="S384" s="1" t="s">
        <v>26</v>
      </c>
    </row>
    <row r="385" spans="1:19" x14ac:dyDescent="0.35">
      <c r="A385" s="1" t="s">
        <v>680</v>
      </c>
      <c r="B385" s="3">
        <v>45923</v>
      </c>
      <c r="C385" s="1" t="s">
        <v>50</v>
      </c>
      <c r="D385" s="1">
        <v>9</v>
      </c>
      <c r="E385" s="1" t="s">
        <v>291</v>
      </c>
      <c r="F385" s="1" t="s">
        <v>37</v>
      </c>
      <c r="G385" s="1" t="s">
        <v>23</v>
      </c>
      <c r="H385" s="1" t="s">
        <v>99</v>
      </c>
      <c r="I385" s="1" t="s">
        <v>145</v>
      </c>
      <c r="J385" s="1">
        <v>1</v>
      </c>
      <c r="K385" s="1">
        <v>19153.63</v>
      </c>
      <c r="L385" s="1">
        <v>0.15</v>
      </c>
      <c r="M385" s="1">
        <v>19153.63</v>
      </c>
      <c r="N385" s="1">
        <v>2873.0445</v>
      </c>
      <c r="O385" s="1">
        <v>16280.585499999999</v>
      </c>
      <c r="P385" s="1">
        <v>11070.798140000001</v>
      </c>
      <c r="Q385" s="1">
        <v>5209.7873600000003</v>
      </c>
      <c r="R385" s="1">
        <v>32</v>
      </c>
      <c r="S385" s="1" t="s">
        <v>26</v>
      </c>
    </row>
    <row r="386" spans="1:19" x14ac:dyDescent="0.35">
      <c r="A386" s="1" t="s">
        <v>681</v>
      </c>
      <c r="B386" s="3">
        <v>45952</v>
      </c>
      <c r="C386" s="1" t="s">
        <v>35</v>
      </c>
      <c r="D386" s="1">
        <v>10</v>
      </c>
      <c r="E386" s="1" t="s">
        <v>387</v>
      </c>
      <c r="F386" s="1" t="s">
        <v>52</v>
      </c>
      <c r="G386" s="1" t="s">
        <v>38</v>
      </c>
      <c r="H386" s="1" t="s">
        <v>53</v>
      </c>
      <c r="I386" s="1" t="s">
        <v>72</v>
      </c>
      <c r="J386" s="1">
        <v>5</v>
      </c>
      <c r="K386" s="1">
        <v>2321.25</v>
      </c>
      <c r="L386" s="1">
        <v>0</v>
      </c>
      <c r="M386" s="1">
        <v>11606.25</v>
      </c>
      <c r="N386" s="1">
        <v>0</v>
      </c>
      <c r="O386" s="1">
        <v>11606.25</v>
      </c>
      <c r="P386" s="1">
        <v>6731.6249999999991</v>
      </c>
      <c r="Q386" s="1">
        <v>4874.6250000000009</v>
      </c>
      <c r="R386" s="1">
        <v>42.000000000000007</v>
      </c>
      <c r="S386" s="1" t="s">
        <v>26</v>
      </c>
    </row>
    <row r="387" spans="1:19" x14ac:dyDescent="0.35">
      <c r="A387" s="1" t="s">
        <v>682</v>
      </c>
      <c r="B387" s="3">
        <v>45979</v>
      </c>
      <c r="C387" s="1" t="s">
        <v>56</v>
      </c>
      <c r="D387" s="1">
        <v>11</v>
      </c>
      <c r="E387" s="1" t="s">
        <v>378</v>
      </c>
      <c r="F387" s="1" t="s">
        <v>37</v>
      </c>
      <c r="G387" s="1" t="s">
        <v>64</v>
      </c>
      <c r="H387" s="1" t="s">
        <v>77</v>
      </c>
      <c r="I387" s="1" t="s">
        <v>148</v>
      </c>
      <c r="J387" s="1">
        <v>5</v>
      </c>
      <c r="K387" s="1">
        <v>67.38</v>
      </c>
      <c r="L387" s="1">
        <v>0.3</v>
      </c>
      <c r="M387" s="1">
        <v>336.9</v>
      </c>
      <c r="N387" s="1">
        <v>101.07</v>
      </c>
      <c r="O387" s="1">
        <v>235.83</v>
      </c>
      <c r="P387" s="1">
        <v>169.79759999999999</v>
      </c>
      <c r="Q387" s="1">
        <v>66.032399999999996</v>
      </c>
      <c r="R387" s="1">
        <v>28</v>
      </c>
      <c r="S387" s="1" t="s">
        <v>60</v>
      </c>
    </row>
    <row r="388" spans="1:19" x14ac:dyDescent="0.35">
      <c r="A388" s="1" t="s">
        <v>683</v>
      </c>
      <c r="B388" s="3">
        <v>45757</v>
      </c>
      <c r="C388" s="1" t="s">
        <v>20</v>
      </c>
      <c r="D388" s="1">
        <v>4</v>
      </c>
      <c r="E388" s="1" t="s">
        <v>540</v>
      </c>
      <c r="F388" s="1" t="s">
        <v>37</v>
      </c>
      <c r="G388" s="1" t="s">
        <v>64</v>
      </c>
      <c r="H388" s="1" t="s">
        <v>53</v>
      </c>
      <c r="I388" s="1" t="s">
        <v>54</v>
      </c>
      <c r="J388" s="1">
        <v>4</v>
      </c>
      <c r="K388" s="1">
        <v>104.84</v>
      </c>
      <c r="L388" s="1">
        <v>0.05</v>
      </c>
      <c r="M388" s="1">
        <v>419.36</v>
      </c>
      <c r="N388" s="1">
        <v>20.968</v>
      </c>
      <c r="O388" s="1">
        <v>398.392</v>
      </c>
      <c r="P388" s="1">
        <v>231.06736000000001</v>
      </c>
      <c r="Q388" s="1">
        <v>167.32463999999999</v>
      </c>
      <c r="R388" s="1">
        <v>42.000000000000007</v>
      </c>
      <c r="S388" s="1" t="s">
        <v>93</v>
      </c>
    </row>
    <row r="389" spans="1:19" x14ac:dyDescent="0.35">
      <c r="A389" s="1" t="s">
        <v>684</v>
      </c>
      <c r="B389" s="3">
        <v>45736</v>
      </c>
      <c r="C389" s="1" t="s">
        <v>28</v>
      </c>
      <c r="D389" s="1">
        <v>3</v>
      </c>
      <c r="E389" s="1" t="s">
        <v>518</v>
      </c>
      <c r="F389" s="1" t="s">
        <v>52</v>
      </c>
      <c r="G389" s="1" t="s">
        <v>23</v>
      </c>
      <c r="H389" s="1" t="s">
        <v>53</v>
      </c>
      <c r="I389" s="1" t="s">
        <v>185</v>
      </c>
      <c r="J389" s="1">
        <v>6</v>
      </c>
      <c r="K389" s="1">
        <v>2353.7399999999998</v>
      </c>
      <c r="L389" s="1">
        <v>0</v>
      </c>
      <c r="M389" s="1">
        <v>14122.44</v>
      </c>
      <c r="N389" s="1">
        <v>0</v>
      </c>
      <c r="O389" s="1">
        <v>14122.44</v>
      </c>
      <c r="P389" s="1">
        <v>8191.0151999999989</v>
      </c>
      <c r="Q389" s="1">
        <v>5931.4247999999998</v>
      </c>
      <c r="R389" s="1">
        <v>42.000000000000007</v>
      </c>
      <c r="S389" s="1" t="s">
        <v>93</v>
      </c>
    </row>
    <row r="390" spans="1:19" x14ac:dyDescent="0.35">
      <c r="A390" s="1" t="s">
        <v>685</v>
      </c>
      <c r="B390" s="3">
        <v>45941</v>
      </c>
      <c r="C390" s="1" t="s">
        <v>35</v>
      </c>
      <c r="D390" s="1">
        <v>10</v>
      </c>
      <c r="E390" s="1" t="s">
        <v>248</v>
      </c>
      <c r="F390" s="1" t="s">
        <v>58</v>
      </c>
      <c r="G390" s="1" t="s">
        <v>38</v>
      </c>
      <c r="H390" s="1" t="s">
        <v>39</v>
      </c>
      <c r="I390" s="1" t="s">
        <v>87</v>
      </c>
      <c r="J390" s="1">
        <v>1</v>
      </c>
      <c r="K390" s="1">
        <v>29979.97</v>
      </c>
      <c r="L390" s="1">
        <v>0.25</v>
      </c>
      <c r="M390" s="1">
        <v>29979.97</v>
      </c>
      <c r="N390" s="1">
        <v>7494.9925000000003</v>
      </c>
      <c r="O390" s="1">
        <v>22484.977500000001</v>
      </c>
      <c r="P390" s="1">
        <v>17538.282449999999</v>
      </c>
      <c r="Q390" s="1">
        <v>4946.6950499999984</v>
      </c>
      <c r="R390" s="1">
        <v>21.999999999999989</v>
      </c>
      <c r="S390" s="1" t="s">
        <v>73</v>
      </c>
    </row>
    <row r="391" spans="1:19" x14ac:dyDescent="0.35">
      <c r="A391" s="1" t="s">
        <v>686</v>
      </c>
      <c r="B391" s="3">
        <v>45730</v>
      </c>
      <c r="C391" s="1" t="s">
        <v>28</v>
      </c>
      <c r="D391" s="1">
        <v>3</v>
      </c>
      <c r="E391" s="1" t="s">
        <v>407</v>
      </c>
      <c r="F391" s="1" t="s">
        <v>52</v>
      </c>
      <c r="G391" s="1" t="s">
        <v>64</v>
      </c>
      <c r="H391" s="1" t="s">
        <v>31</v>
      </c>
      <c r="I391" s="1" t="s">
        <v>32</v>
      </c>
      <c r="J391" s="1">
        <v>6</v>
      </c>
      <c r="K391" s="1">
        <v>822.18</v>
      </c>
      <c r="L391" s="1">
        <v>0.15</v>
      </c>
      <c r="M391" s="1">
        <v>4933.08</v>
      </c>
      <c r="N391" s="1">
        <v>739.96199999999999</v>
      </c>
      <c r="O391" s="1">
        <v>4193.1180000000004</v>
      </c>
      <c r="P391" s="1">
        <v>2180.4213599999998</v>
      </c>
      <c r="Q391" s="1">
        <v>2012.6966399999999</v>
      </c>
      <c r="R391" s="1">
        <v>48</v>
      </c>
      <c r="S391" s="1" t="s">
        <v>73</v>
      </c>
    </row>
    <row r="392" spans="1:19" x14ac:dyDescent="0.35">
      <c r="A392" s="1" t="s">
        <v>687</v>
      </c>
      <c r="B392" s="3">
        <v>45940</v>
      </c>
      <c r="C392" s="1" t="s">
        <v>35</v>
      </c>
      <c r="D392" s="1">
        <v>10</v>
      </c>
      <c r="E392" s="1" t="s">
        <v>688</v>
      </c>
      <c r="F392" s="1" t="s">
        <v>43</v>
      </c>
      <c r="G392" s="1" t="s">
        <v>38</v>
      </c>
      <c r="H392" s="1" t="s">
        <v>77</v>
      </c>
      <c r="I392" s="1" t="s">
        <v>103</v>
      </c>
      <c r="J392" s="1">
        <v>2</v>
      </c>
      <c r="K392" s="1">
        <v>156.52000000000001</v>
      </c>
      <c r="L392" s="1">
        <v>0.15</v>
      </c>
      <c r="M392" s="1">
        <v>313.04000000000002</v>
      </c>
      <c r="N392" s="1">
        <v>46.956000000000003</v>
      </c>
      <c r="O392" s="1">
        <v>266.084</v>
      </c>
      <c r="P392" s="1">
        <v>191.58047999999999</v>
      </c>
      <c r="Q392" s="1">
        <v>74.503520000000009</v>
      </c>
      <c r="R392" s="1">
        <v>28</v>
      </c>
      <c r="S392" s="1" t="s">
        <v>93</v>
      </c>
    </row>
    <row r="393" spans="1:19" x14ac:dyDescent="0.35">
      <c r="A393" s="1" t="s">
        <v>689</v>
      </c>
      <c r="B393" s="3">
        <v>45730</v>
      </c>
      <c r="C393" s="1" t="s">
        <v>28</v>
      </c>
      <c r="D393" s="1">
        <v>3</v>
      </c>
      <c r="E393" s="1" t="s">
        <v>163</v>
      </c>
      <c r="F393" s="1" t="s">
        <v>43</v>
      </c>
      <c r="G393" s="1" t="s">
        <v>64</v>
      </c>
      <c r="H393" s="1" t="s">
        <v>53</v>
      </c>
      <c r="I393" s="1" t="s">
        <v>54</v>
      </c>
      <c r="J393" s="1">
        <v>2</v>
      </c>
      <c r="K393" s="1">
        <v>2491.0300000000002</v>
      </c>
      <c r="L393" s="1">
        <v>0.05</v>
      </c>
      <c r="M393" s="1">
        <v>4982.0600000000004</v>
      </c>
      <c r="N393" s="1">
        <v>249.10300000000001</v>
      </c>
      <c r="O393" s="1">
        <v>4732.9570000000003</v>
      </c>
      <c r="P393" s="1">
        <v>2745.1150600000001</v>
      </c>
      <c r="Q393" s="1">
        <v>1987.84194</v>
      </c>
      <c r="R393" s="1">
        <v>42.000000000000007</v>
      </c>
      <c r="S393" s="1" t="s">
        <v>73</v>
      </c>
    </row>
    <row r="394" spans="1:19" x14ac:dyDescent="0.35">
      <c r="A394" s="1" t="s">
        <v>690</v>
      </c>
      <c r="B394" s="3">
        <v>45869</v>
      </c>
      <c r="C394" s="1" t="s">
        <v>62</v>
      </c>
      <c r="D394" s="1">
        <v>7</v>
      </c>
      <c r="E394" s="1" t="s">
        <v>142</v>
      </c>
      <c r="F394" s="1" t="s">
        <v>76</v>
      </c>
      <c r="G394" s="1" t="s">
        <v>64</v>
      </c>
      <c r="H394" s="1" t="s">
        <v>31</v>
      </c>
      <c r="I394" s="1" t="s">
        <v>65</v>
      </c>
      <c r="J394" s="1">
        <v>7</v>
      </c>
      <c r="K394" s="1">
        <v>857.59</v>
      </c>
      <c r="L394" s="1">
        <v>0.25</v>
      </c>
      <c r="M394" s="1">
        <v>6003.13</v>
      </c>
      <c r="N394" s="1">
        <v>1500.7825</v>
      </c>
      <c r="O394" s="1">
        <v>4502.3474999999999</v>
      </c>
      <c r="P394" s="1">
        <v>2341.2206999999999</v>
      </c>
      <c r="Q394" s="1">
        <v>2161.1268</v>
      </c>
      <c r="R394" s="1">
        <v>48.000000000000007</v>
      </c>
      <c r="S394" s="1" t="s">
        <v>26</v>
      </c>
    </row>
    <row r="395" spans="1:19" x14ac:dyDescent="0.35">
      <c r="A395" s="1" t="s">
        <v>691</v>
      </c>
      <c r="B395" s="3">
        <v>45947</v>
      </c>
      <c r="C395" s="1" t="s">
        <v>35</v>
      </c>
      <c r="D395" s="1">
        <v>10</v>
      </c>
      <c r="E395" s="1" t="s">
        <v>119</v>
      </c>
      <c r="F395" s="1" t="s">
        <v>47</v>
      </c>
      <c r="G395" s="1" t="s">
        <v>23</v>
      </c>
      <c r="H395" s="1" t="s">
        <v>53</v>
      </c>
      <c r="I395" s="1" t="s">
        <v>54</v>
      </c>
      <c r="J395" s="1">
        <v>5</v>
      </c>
      <c r="K395" s="1">
        <v>1119.45</v>
      </c>
      <c r="L395" s="1">
        <v>0.05</v>
      </c>
      <c r="M395" s="1">
        <v>5597.25</v>
      </c>
      <c r="N395" s="1">
        <v>279.86250000000001</v>
      </c>
      <c r="O395" s="1">
        <v>5317.3874999999998</v>
      </c>
      <c r="P395" s="1">
        <v>3084.08475</v>
      </c>
      <c r="Q395" s="1">
        <v>2233.3027499999998</v>
      </c>
      <c r="R395" s="1">
        <v>42.000000000000007</v>
      </c>
      <c r="S395" s="1" t="s">
        <v>73</v>
      </c>
    </row>
    <row r="396" spans="1:19" x14ac:dyDescent="0.35">
      <c r="A396" s="1" t="s">
        <v>692</v>
      </c>
      <c r="B396" s="3">
        <v>45695</v>
      </c>
      <c r="C396" s="1" t="s">
        <v>42</v>
      </c>
      <c r="D396" s="1">
        <v>2</v>
      </c>
      <c r="E396" s="1" t="s">
        <v>693</v>
      </c>
      <c r="F396" s="1" t="s">
        <v>69</v>
      </c>
      <c r="G396" s="1" t="s">
        <v>23</v>
      </c>
      <c r="H396" s="1" t="s">
        <v>53</v>
      </c>
      <c r="I396" s="1" t="s">
        <v>185</v>
      </c>
      <c r="J396" s="1">
        <v>4</v>
      </c>
      <c r="K396" s="1">
        <v>2338.5100000000002</v>
      </c>
      <c r="L396" s="1">
        <v>0.1</v>
      </c>
      <c r="M396" s="1">
        <v>9354.0400000000009</v>
      </c>
      <c r="N396" s="1">
        <v>935.40400000000011</v>
      </c>
      <c r="O396" s="1">
        <v>8418.6360000000004</v>
      </c>
      <c r="P396" s="1">
        <v>4882.8088799999996</v>
      </c>
      <c r="Q396" s="1">
        <v>3535.8271200000008</v>
      </c>
      <c r="R396" s="1">
        <v>42.000000000000007</v>
      </c>
      <c r="S396" s="1" t="s">
        <v>26</v>
      </c>
    </row>
    <row r="397" spans="1:19" x14ac:dyDescent="0.35">
      <c r="A397" s="1" t="s">
        <v>694</v>
      </c>
      <c r="B397" s="3">
        <v>45895</v>
      </c>
      <c r="C397" s="1" t="s">
        <v>113</v>
      </c>
      <c r="D397" s="1">
        <v>8</v>
      </c>
      <c r="E397" s="1" t="s">
        <v>328</v>
      </c>
      <c r="F397" s="1" t="s">
        <v>43</v>
      </c>
      <c r="G397" s="1" t="s">
        <v>38</v>
      </c>
      <c r="H397" s="1" t="s">
        <v>53</v>
      </c>
      <c r="I397" s="1" t="s">
        <v>185</v>
      </c>
      <c r="J397" s="1">
        <v>6</v>
      </c>
      <c r="K397" s="1">
        <v>990.67</v>
      </c>
      <c r="L397" s="1">
        <v>0.25</v>
      </c>
      <c r="M397" s="1">
        <v>5944.02</v>
      </c>
      <c r="N397" s="1">
        <v>1486.0050000000001</v>
      </c>
      <c r="O397" s="1">
        <v>4458.0149999999994</v>
      </c>
      <c r="P397" s="1">
        <v>2585.6486999999988</v>
      </c>
      <c r="Q397" s="1">
        <v>1872.3662999999999</v>
      </c>
      <c r="R397" s="1">
        <v>42.000000000000007</v>
      </c>
      <c r="S397" s="1" t="s">
        <v>33</v>
      </c>
    </row>
    <row r="398" spans="1:19" x14ac:dyDescent="0.35">
      <c r="A398" s="1" t="s">
        <v>695</v>
      </c>
      <c r="B398" s="3">
        <v>45941</v>
      </c>
      <c r="C398" s="1" t="s">
        <v>35</v>
      </c>
      <c r="D398" s="1">
        <v>10</v>
      </c>
      <c r="E398" s="1" t="s">
        <v>696</v>
      </c>
      <c r="F398" s="1" t="s">
        <v>111</v>
      </c>
      <c r="G398" s="1" t="s">
        <v>23</v>
      </c>
      <c r="H398" s="1" t="s">
        <v>39</v>
      </c>
      <c r="I398" s="1" t="s">
        <v>155</v>
      </c>
      <c r="J398" s="1">
        <v>6</v>
      </c>
      <c r="K398" s="1">
        <v>57009.96</v>
      </c>
      <c r="L398" s="1">
        <v>0</v>
      </c>
      <c r="M398" s="1">
        <v>342059.76</v>
      </c>
      <c r="N398" s="1">
        <v>0</v>
      </c>
      <c r="O398" s="1">
        <v>342059.76</v>
      </c>
      <c r="P398" s="1">
        <v>266806.6128</v>
      </c>
      <c r="Q398" s="1">
        <v>75253.147200000007</v>
      </c>
      <c r="R398" s="1">
        <v>22</v>
      </c>
      <c r="S398" s="1" t="s">
        <v>73</v>
      </c>
    </row>
    <row r="399" spans="1:19" x14ac:dyDescent="0.35">
      <c r="A399" s="1" t="s">
        <v>697</v>
      </c>
      <c r="B399" s="3">
        <v>46020</v>
      </c>
      <c r="C399" s="1" t="s">
        <v>67</v>
      </c>
      <c r="D399" s="1">
        <v>12</v>
      </c>
      <c r="E399" s="1" t="s">
        <v>338</v>
      </c>
      <c r="F399" s="1" t="s">
        <v>111</v>
      </c>
      <c r="G399" s="1" t="s">
        <v>38</v>
      </c>
      <c r="H399" s="1" t="s">
        <v>53</v>
      </c>
      <c r="I399" s="1" t="s">
        <v>72</v>
      </c>
      <c r="J399" s="1">
        <v>4</v>
      </c>
      <c r="K399" s="1">
        <v>2100.7399999999998</v>
      </c>
      <c r="L399" s="1">
        <v>0.1</v>
      </c>
      <c r="M399" s="1">
        <v>8402.9599999999991</v>
      </c>
      <c r="N399" s="1">
        <v>840.29599999999994</v>
      </c>
      <c r="O399" s="1">
        <v>7562.6639999999989</v>
      </c>
      <c r="P399" s="1">
        <v>4386.345119999999</v>
      </c>
      <c r="Q399" s="1">
        <v>3176.3188799999998</v>
      </c>
      <c r="R399" s="1">
        <v>42.000000000000007</v>
      </c>
      <c r="S399" s="1" t="s">
        <v>73</v>
      </c>
    </row>
    <row r="400" spans="1:19" x14ac:dyDescent="0.35">
      <c r="A400" s="1" t="s">
        <v>698</v>
      </c>
      <c r="B400" s="3">
        <v>46011</v>
      </c>
      <c r="C400" s="1" t="s">
        <v>67</v>
      </c>
      <c r="D400" s="1">
        <v>12</v>
      </c>
      <c r="E400" s="1" t="s">
        <v>363</v>
      </c>
      <c r="F400" s="1" t="s">
        <v>22</v>
      </c>
      <c r="G400" s="1" t="s">
        <v>64</v>
      </c>
      <c r="H400" s="1" t="s">
        <v>77</v>
      </c>
      <c r="I400" s="1" t="s">
        <v>90</v>
      </c>
      <c r="J400" s="1">
        <v>3</v>
      </c>
      <c r="K400" s="1">
        <v>738.67</v>
      </c>
      <c r="L400" s="1">
        <v>0.05</v>
      </c>
      <c r="M400" s="1">
        <v>2216.0100000000002</v>
      </c>
      <c r="N400" s="1">
        <v>110.8005</v>
      </c>
      <c r="O400" s="1">
        <v>2105.2094999999999</v>
      </c>
      <c r="P400" s="1">
        <v>1515.7508399999999</v>
      </c>
      <c r="Q400" s="1">
        <v>589.45866000000001</v>
      </c>
      <c r="R400" s="1">
        <v>28</v>
      </c>
      <c r="S400" s="1" t="s">
        <v>33</v>
      </c>
    </row>
    <row r="401" spans="1:19" x14ac:dyDescent="0.35">
      <c r="A401" s="1" t="s">
        <v>699</v>
      </c>
      <c r="B401" s="3">
        <v>45864</v>
      </c>
      <c r="C401" s="1" t="s">
        <v>62</v>
      </c>
      <c r="D401" s="1">
        <v>7</v>
      </c>
      <c r="E401" s="1" t="s">
        <v>439</v>
      </c>
      <c r="F401" s="1" t="s">
        <v>76</v>
      </c>
      <c r="G401" s="1" t="s">
        <v>23</v>
      </c>
      <c r="H401" s="1" t="s">
        <v>39</v>
      </c>
      <c r="I401" s="1" t="s">
        <v>155</v>
      </c>
      <c r="J401" s="1">
        <v>7</v>
      </c>
      <c r="K401" s="1">
        <v>48638.720000000001</v>
      </c>
      <c r="L401" s="1">
        <v>0</v>
      </c>
      <c r="M401" s="1">
        <v>340471.03999999998</v>
      </c>
      <c r="N401" s="1">
        <v>0</v>
      </c>
      <c r="O401" s="1">
        <v>340471.03999999998</v>
      </c>
      <c r="P401" s="1">
        <v>265567.41119999997</v>
      </c>
      <c r="Q401" s="1">
        <v>74903.628800000006</v>
      </c>
      <c r="R401" s="1">
        <v>22</v>
      </c>
      <c r="S401" s="1" t="s">
        <v>93</v>
      </c>
    </row>
    <row r="402" spans="1:19" x14ac:dyDescent="0.35">
      <c r="A402" s="1" t="s">
        <v>700</v>
      </c>
      <c r="B402" s="3">
        <v>45790</v>
      </c>
      <c r="C402" s="1" t="s">
        <v>97</v>
      </c>
      <c r="D402" s="1">
        <v>5</v>
      </c>
      <c r="E402" s="1" t="s">
        <v>701</v>
      </c>
      <c r="F402" s="1" t="s">
        <v>58</v>
      </c>
      <c r="G402" s="1" t="s">
        <v>38</v>
      </c>
      <c r="H402" s="1" t="s">
        <v>39</v>
      </c>
      <c r="I402" s="1" t="s">
        <v>40</v>
      </c>
      <c r="J402" s="1">
        <v>2</v>
      </c>
      <c r="K402" s="1">
        <v>61724.28</v>
      </c>
      <c r="L402" s="1">
        <v>0.15</v>
      </c>
      <c r="M402" s="1">
        <v>123448.56</v>
      </c>
      <c r="N402" s="1">
        <v>18517.284</v>
      </c>
      <c r="O402" s="1">
        <v>104931.276</v>
      </c>
      <c r="P402" s="1">
        <v>81846.395279999997</v>
      </c>
      <c r="Q402" s="1">
        <v>23084.880720000001</v>
      </c>
      <c r="R402" s="1">
        <v>22</v>
      </c>
      <c r="S402" s="1" t="s">
        <v>33</v>
      </c>
    </row>
    <row r="403" spans="1:19" x14ac:dyDescent="0.35">
      <c r="A403" s="1" t="s">
        <v>702</v>
      </c>
      <c r="B403" s="3">
        <v>45726</v>
      </c>
      <c r="C403" s="1" t="s">
        <v>28</v>
      </c>
      <c r="D403" s="1">
        <v>3</v>
      </c>
      <c r="E403" s="1" t="s">
        <v>89</v>
      </c>
      <c r="F403" s="1" t="s">
        <v>22</v>
      </c>
      <c r="G403" s="1" t="s">
        <v>64</v>
      </c>
      <c r="H403" s="1" t="s">
        <v>39</v>
      </c>
      <c r="I403" s="1" t="s">
        <v>155</v>
      </c>
      <c r="J403" s="1">
        <v>4</v>
      </c>
      <c r="K403" s="1">
        <v>60699.98</v>
      </c>
      <c r="L403" s="1">
        <v>0.1</v>
      </c>
      <c r="M403" s="1">
        <v>242799.92</v>
      </c>
      <c r="N403" s="1">
        <v>24279.991999999998</v>
      </c>
      <c r="O403" s="1">
        <v>218519.92800000001</v>
      </c>
      <c r="P403" s="1">
        <v>170445.54384</v>
      </c>
      <c r="Q403" s="1">
        <v>48074.384159999987</v>
      </c>
      <c r="R403" s="1">
        <v>21.999999999999989</v>
      </c>
      <c r="S403" s="1" t="s">
        <v>93</v>
      </c>
    </row>
    <row r="404" spans="1:19" x14ac:dyDescent="0.35">
      <c r="A404" s="1" t="s">
        <v>703</v>
      </c>
      <c r="B404" s="3">
        <v>45976</v>
      </c>
      <c r="C404" s="1" t="s">
        <v>56</v>
      </c>
      <c r="D404" s="1">
        <v>11</v>
      </c>
      <c r="E404" s="1" t="s">
        <v>515</v>
      </c>
      <c r="F404" s="1" t="s">
        <v>22</v>
      </c>
      <c r="G404" s="1" t="s">
        <v>64</v>
      </c>
      <c r="H404" s="1" t="s">
        <v>99</v>
      </c>
      <c r="I404" s="1" t="s">
        <v>108</v>
      </c>
      <c r="J404" s="1">
        <v>4</v>
      </c>
      <c r="K404" s="1">
        <v>22134.31</v>
      </c>
      <c r="L404" s="1">
        <v>0.2</v>
      </c>
      <c r="M404" s="1">
        <v>88537.24</v>
      </c>
      <c r="N404" s="1">
        <v>17707.448</v>
      </c>
      <c r="O404" s="1">
        <v>70829.792000000001</v>
      </c>
      <c r="P404" s="1">
        <v>48164.258560000002</v>
      </c>
      <c r="Q404" s="1">
        <v>22665.533439999999</v>
      </c>
      <c r="R404" s="1">
        <v>32</v>
      </c>
      <c r="S404" s="1" t="s">
        <v>73</v>
      </c>
    </row>
    <row r="405" spans="1:19" x14ac:dyDescent="0.35">
      <c r="A405" s="1" t="s">
        <v>704</v>
      </c>
      <c r="B405" s="3">
        <v>45834</v>
      </c>
      <c r="C405" s="1" t="s">
        <v>82</v>
      </c>
      <c r="D405" s="1">
        <v>6</v>
      </c>
      <c r="E405" s="1" t="s">
        <v>189</v>
      </c>
      <c r="F405" s="1" t="s">
        <v>43</v>
      </c>
      <c r="G405" s="1" t="s">
        <v>23</v>
      </c>
      <c r="H405" s="1" t="s">
        <v>99</v>
      </c>
      <c r="I405" s="1" t="s">
        <v>100</v>
      </c>
      <c r="J405" s="1">
        <v>2</v>
      </c>
      <c r="K405" s="1">
        <v>23675.22</v>
      </c>
      <c r="L405" s="1">
        <v>0.25</v>
      </c>
      <c r="M405" s="1">
        <v>47350.44</v>
      </c>
      <c r="N405" s="1">
        <v>11837.61</v>
      </c>
      <c r="O405" s="1">
        <v>35512.83</v>
      </c>
      <c r="P405" s="1">
        <v>24148.724399999999</v>
      </c>
      <c r="Q405" s="1">
        <v>11364.105600000001</v>
      </c>
      <c r="R405" s="1">
        <v>32</v>
      </c>
      <c r="S405" s="1" t="s">
        <v>93</v>
      </c>
    </row>
    <row r="406" spans="1:19" x14ac:dyDescent="0.35">
      <c r="A406" s="1" t="s">
        <v>705</v>
      </c>
      <c r="B406" s="3">
        <v>45692</v>
      </c>
      <c r="C406" s="1" t="s">
        <v>42</v>
      </c>
      <c r="D406" s="1">
        <v>2</v>
      </c>
      <c r="E406" s="1" t="s">
        <v>297</v>
      </c>
      <c r="F406" s="1" t="s">
        <v>22</v>
      </c>
      <c r="G406" s="1" t="s">
        <v>38</v>
      </c>
      <c r="H406" s="1" t="s">
        <v>77</v>
      </c>
      <c r="I406" s="1" t="s">
        <v>148</v>
      </c>
      <c r="J406" s="1">
        <v>1</v>
      </c>
      <c r="K406" s="1">
        <v>1037.6400000000001</v>
      </c>
      <c r="L406" s="1">
        <v>0.15</v>
      </c>
      <c r="M406" s="1">
        <v>1037.6400000000001</v>
      </c>
      <c r="N406" s="1">
        <v>155.64599999999999</v>
      </c>
      <c r="O406" s="1">
        <v>881.99400000000014</v>
      </c>
      <c r="P406" s="1">
        <v>635.03568000000007</v>
      </c>
      <c r="Q406" s="1">
        <v>246.9583200000001</v>
      </c>
      <c r="R406" s="1">
        <v>28</v>
      </c>
      <c r="S406" s="1" t="s">
        <v>60</v>
      </c>
    </row>
    <row r="407" spans="1:19" x14ac:dyDescent="0.35">
      <c r="A407" s="1" t="s">
        <v>706</v>
      </c>
      <c r="B407" s="3">
        <v>45942</v>
      </c>
      <c r="C407" s="1" t="s">
        <v>35</v>
      </c>
      <c r="D407" s="1">
        <v>10</v>
      </c>
      <c r="E407" s="1" t="s">
        <v>116</v>
      </c>
      <c r="F407" s="1" t="s">
        <v>22</v>
      </c>
      <c r="G407" s="1" t="s">
        <v>64</v>
      </c>
      <c r="H407" s="1" t="s">
        <v>31</v>
      </c>
      <c r="I407" s="1" t="s">
        <v>167</v>
      </c>
      <c r="J407" s="1">
        <v>7</v>
      </c>
      <c r="K407" s="1">
        <v>791.54</v>
      </c>
      <c r="L407" s="1">
        <v>0.15</v>
      </c>
      <c r="M407" s="1">
        <v>5540.78</v>
      </c>
      <c r="N407" s="1">
        <v>831.11699999999996</v>
      </c>
      <c r="O407" s="1">
        <v>4709.6629999999996</v>
      </c>
      <c r="P407" s="1">
        <v>2449.0247599999998</v>
      </c>
      <c r="Q407" s="1">
        <v>2260.6382400000002</v>
      </c>
      <c r="R407" s="1">
        <v>48</v>
      </c>
      <c r="S407" s="1" t="s">
        <v>93</v>
      </c>
    </row>
    <row r="408" spans="1:19" x14ac:dyDescent="0.35">
      <c r="A408" s="1" t="s">
        <v>707</v>
      </c>
      <c r="B408" s="3">
        <v>45791</v>
      </c>
      <c r="C408" s="1" t="s">
        <v>97</v>
      </c>
      <c r="D408" s="1">
        <v>5</v>
      </c>
      <c r="E408" s="1" t="s">
        <v>708</v>
      </c>
      <c r="F408" s="1" t="s">
        <v>37</v>
      </c>
      <c r="G408" s="1" t="s">
        <v>38</v>
      </c>
      <c r="H408" s="1" t="s">
        <v>24</v>
      </c>
      <c r="I408" s="1" t="s">
        <v>44</v>
      </c>
      <c r="J408" s="1">
        <v>2</v>
      </c>
      <c r="K408" s="1">
        <v>2132.33</v>
      </c>
      <c r="L408" s="1">
        <v>0.1</v>
      </c>
      <c r="M408" s="1">
        <v>4264.66</v>
      </c>
      <c r="N408" s="1">
        <v>426.46600000000001</v>
      </c>
      <c r="O408" s="1">
        <v>3838.194</v>
      </c>
      <c r="P408" s="1">
        <v>2111.0066999999999</v>
      </c>
      <c r="Q408" s="1">
        <v>1727.1873000000001</v>
      </c>
      <c r="R408" s="1">
        <v>44.999999999999993</v>
      </c>
      <c r="S408" s="1" t="s">
        <v>73</v>
      </c>
    </row>
    <row r="409" spans="1:19" x14ac:dyDescent="0.35">
      <c r="A409" s="1" t="s">
        <v>709</v>
      </c>
      <c r="B409" s="3">
        <v>45772</v>
      </c>
      <c r="C409" s="1" t="s">
        <v>20</v>
      </c>
      <c r="D409" s="1">
        <v>4</v>
      </c>
      <c r="E409" s="1" t="s">
        <v>710</v>
      </c>
      <c r="F409" s="1" t="s">
        <v>22</v>
      </c>
      <c r="G409" s="1" t="s">
        <v>38</v>
      </c>
      <c r="H409" s="1" t="s">
        <v>24</v>
      </c>
      <c r="I409" s="1" t="s">
        <v>25</v>
      </c>
      <c r="J409" s="1">
        <v>2</v>
      </c>
      <c r="K409" s="1">
        <v>3355.74</v>
      </c>
      <c r="L409" s="1">
        <v>0.15</v>
      </c>
      <c r="M409" s="1">
        <v>6711.48</v>
      </c>
      <c r="N409" s="1">
        <v>1006.722</v>
      </c>
      <c r="O409" s="1">
        <v>5704.7579999999998</v>
      </c>
      <c r="P409" s="1">
        <v>3137.6169</v>
      </c>
      <c r="Q409" s="1">
        <v>2567.1410999999998</v>
      </c>
      <c r="R409" s="1">
        <v>45</v>
      </c>
      <c r="S409" s="1" t="s">
        <v>33</v>
      </c>
    </row>
    <row r="410" spans="1:19" x14ac:dyDescent="0.35">
      <c r="A410" s="1" t="s">
        <v>711</v>
      </c>
      <c r="B410" s="3">
        <v>45809</v>
      </c>
      <c r="C410" s="1" t="s">
        <v>82</v>
      </c>
      <c r="D410" s="1">
        <v>6</v>
      </c>
      <c r="E410" s="1" t="s">
        <v>409</v>
      </c>
      <c r="F410" s="1" t="s">
        <v>69</v>
      </c>
      <c r="G410" s="1" t="s">
        <v>23</v>
      </c>
      <c r="H410" s="1" t="s">
        <v>53</v>
      </c>
      <c r="I410" s="1" t="s">
        <v>54</v>
      </c>
      <c r="J410" s="1">
        <v>5</v>
      </c>
      <c r="K410" s="1">
        <v>1095.3699999999999</v>
      </c>
      <c r="L410" s="1">
        <v>0.2</v>
      </c>
      <c r="M410" s="1">
        <v>5476.8499999999995</v>
      </c>
      <c r="N410" s="1">
        <v>1095.3699999999999</v>
      </c>
      <c r="O410" s="1">
        <v>4381.4799999999996</v>
      </c>
      <c r="P410" s="1">
        <v>2541.2584000000002</v>
      </c>
      <c r="Q410" s="1">
        <v>1840.2216000000001</v>
      </c>
      <c r="R410" s="1">
        <v>42</v>
      </c>
      <c r="S410" s="1" t="s">
        <v>60</v>
      </c>
    </row>
    <row r="411" spans="1:19" x14ac:dyDescent="0.35">
      <c r="A411" s="1" t="s">
        <v>712</v>
      </c>
      <c r="B411" s="3">
        <v>46011</v>
      </c>
      <c r="C411" s="1" t="s">
        <v>67</v>
      </c>
      <c r="D411" s="1">
        <v>12</v>
      </c>
      <c r="E411" s="1" t="s">
        <v>321</v>
      </c>
      <c r="F411" s="1" t="s">
        <v>76</v>
      </c>
      <c r="G411" s="1" t="s">
        <v>64</v>
      </c>
      <c r="H411" s="1" t="s">
        <v>53</v>
      </c>
      <c r="I411" s="1" t="s">
        <v>123</v>
      </c>
      <c r="J411" s="1">
        <v>5</v>
      </c>
      <c r="K411" s="1">
        <v>2189.2600000000002</v>
      </c>
      <c r="L411" s="1">
        <v>0.15</v>
      </c>
      <c r="M411" s="1">
        <v>10946.3</v>
      </c>
      <c r="N411" s="1">
        <v>1641.9449999999999</v>
      </c>
      <c r="O411" s="1">
        <v>9304.3550000000014</v>
      </c>
      <c r="P411" s="1">
        <v>5396.5259000000005</v>
      </c>
      <c r="Q411" s="1">
        <v>3907.8291000000008</v>
      </c>
      <c r="R411" s="1">
        <v>42.000000000000007</v>
      </c>
      <c r="S411" s="1" t="s">
        <v>93</v>
      </c>
    </row>
    <row r="412" spans="1:19" x14ac:dyDescent="0.35">
      <c r="A412" s="1" t="s">
        <v>713</v>
      </c>
      <c r="B412" s="3">
        <v>45952</v>
      </c>
      <c r="C412" s="1" t="s">
        <v>35</v>
      </c>
      <c r="D412" s="1">
        <v>10</v>
      </c>
      <c r="E412" s="1" t="s">
        <v>227</v>
      </c>
      <c r="F412" s="1" t="s">
        <v>37</v>
      </c>
      <c r="G412" s="1" t="s">
        <v>64</v>
      </c>
      <c r="H412" s="1" t="s">
        <v>99</v>
      </c>
      <c r="I412" s="1" t="s">
        <v>120</v>
      </c>
      <c r="J412" s="1">
        <v>1</v>
      </c>
      <c r="K412" s="1">
        <v>7140.67</v>
      </c>
      <c r="L412" s="1">
        <v>0.1</v>
      </c>
      <c r="M412" s="1">
        <v>7140.67</v>
      </c>
      <c r="N412" s="1">
        <v>714.06700000000001</v>
      </c>
      <c r="O412" s="1">
        <v>6426.6030000000001</v>
      </c>
      <c r="P412" s="1">
        <v>4370.09004</v>
      </c>
      <c r="Q412" s="1">
        <v>2056.51296</v>
      </c>
      <c r="R412" s="1">
        <v>32</v>
      </c>
      <c r="S412" s="1" t="s">
        <v>60</v>
      </c>
    </row>
    <row r="413" spans="1:19" x14ac:dyDescent="0.35">
      <c r="A413" s="1" t="s">
        <v>714</v>
      </c>
      <c r="B413" s="3">
        <v>45898</v>
      </c>
      <c r="C413" s="1" t="s">
        <v>113</v>
      </c>
      <c r="D413" s="1">
        <v>8</v>
      </c>
      <c r="E413" s="1" t="s">
        <v>378</v>
      </c>
      <c r="F413" s="1" t="s">
        <v>111</v>
      </c>
      <c r="G413" s="1" t="s">
        <v>38</v>
      </c>
      <c r="H413" s="1" t="s">
        <v>77</v>
      </c>
      <c r="I413" s="1" t="s">
        <v>201</v>
      </c>
      <c r="J413" s="1">
        <v>1</v>
      </c>
      <c r="K413" s="1">
        <v>1035.9100000000001</v>
      </c>
      <c r="L413" s="1">
        <v>0.15</v>
      </c>
      <c r="M413" s="1">
        <v>1035.9100000000001</v>
      </c>
      <c r="N413" s="1">
        <v>155.38650000000001</v>
      </c>
      <c r="O413" s="1">
        <v>880.52350000000001</v>
      </c>
      <c r="P413" s="1">
        <v>633.97691999999995</v>
      </c>
      <c r="Q413" s="1">
        <v>246.54658000000009</v>
      </c>
      <c r="R413" s="1">
        <v>28.000000000000011</v>
      </c>
      <c r="S413" s="1" t="s">
        <v>33</v>
      </c>
    </row>
    <row r="414" spans="1:19" x14ac:dyDescent="0.35">
      <c r="A414" s="1" t="s">
        <v>715</v>
      </c>
      <c r="B414" s="3">
        <v>45801</v>
      </c>
      <c r="C414" s="1" t="s">
        <v>97</v>
      </c>
      <c r="D414" s="1">
        <v>5</v>
      </c>
      <c r="E414" s="1" t="s">
        <v>218</v>
      </c>
      <c r="F414" s="1" t="s">
        <v>43</v>
      </c>
      <c r="G414" s="1" t="s">
        <v>23</v>
      </c>
      <c r="H414" s="1" t="s">
        <v>39</v>
      </c>
      <c r="I414" s="1" t="s">
        <v>87</v>
      </c>
      <c r="J414" s="1">
        <v>6</v>
      </c>
      <c r="K414" s="1">
        <v>49236.29</v>
      </c>
      <c r="L414" s="1">
        <v>0.1</v>
      </c>
      <c r="M414" s="1">
        <v>295417.74</v>
      </c>
      <c r="N414" s="1">
        <v>29541.774000000001</v>
      </c>
      <c r="O414" s="1">
        <v>265875.96600000001</v>
      </c>
      <c r="P414" s="1">
        <v>207383.25348000001</v>
      </c>
      <c r="Q414" s="1">
        <v>58492.712520000001</v>
      </c>
      <c r="R414" s="1">
        <v>22</v>
      </c>
      <c r="S414" s="1" t="s">
        <v>26</v>
      </c>
    </row>
    <row r="415" spans="1:19" x14ac:dyDescent="0.35">
      <c r="A415" s="1" t="s">
        <v>716</v>
      </c>
      <c r="B415" s="3">
        <v>46021</v>
      </c>
      <c r="C415" s="1" t="s">
        <v>67</v>
      </c>
      <c r="D415" s="1">
        <v>12</v>
      </c>
      <c r="E415" s="1" t="s">
        <v>105</v>
      </c>
      <c r="F415" s="1" t="s">
        <v>47</v>
      </c>
      <c r="G415" s="1" t="s">
        <v>64</v>
      </c>
      <c r="H415" s="1" t="s">
        <v>53</v>
      </c>
      <c r="I415" s="1" t="s">
        <v>123</v>
      </c>
      <c r="J415" s="1">
        <v>6</v>
      </c>
      <c r="K415" s="1">
        <v>1999.74</v>
      </c>
      <c r="L415" s="1">
        <v>0.1</v>
      </c>
      <c r="M415" s="1">
        <v>11998.44</v>
      </c>
      <c r="N415" s="1">
        <v>1199.8440000000001</v>
      </c>
      <c r="O415" s="1">
        <v>10798.596</v>
      </c>
      <c r="P415" s="1">
        <v>6263.1856800000014</v>
      </c>
      <c r="Q415" s="1">
        <v>4535.4103200000009</v>
      </c>
      <c r="R415" s="1">
        <v>42.000000000000007</v>
      </c>
      <c r="S415" s="1" t="s">
        <v>26</v>
      </c>
    </row>
    <row r="416" spans="1:19" x14ac:dyDescent="0.35">
      <c r="A416" s="1" t="s">
        <v>717</v>
      </c>
      <c r="B416" s="3">
        <v>45796</v>
      </c>
      <c r="C416" s="1" t="s">
        <v>97</v>
      </c>
      <c r="D416" s="1">
        <v>5</v>
      </c>
      <c r="E416" s="1" t="s">
        <v>465</v>
      </c>
      <c r="F416" s="1" t="s">
        <v>47</v>
      </c>
      <c r="G416" s="1" t="s">
        <v>23</v>
      </c>
      <c r="H416" s="1" t="s">
        <v>31</v>
      </c>
      <c r="I416" s="1" t="s">
        <v>59</v>
      </c>
      <c r="J416" s="1">
        <v>6</v>
      </c>
      <c r="K416" s="1">
        <v>1479.83</v>
      </c>
      <c r="L416" s="1">
        <v>0.2</v>
      </c>
      <c r="M416" s="1">
        <v>8878.98</v>
      </c>
      <c r="N416" s="1">
        <v>1775.796</v>
      </c>
      <c r="O416" s="1">
        <v>7103.1839999999993</v>
      </c>
      <c r="P416" s="1">
        <v>3693.6556799999998</v>
      </c>
      <c r="Q416" s="1">
        <v>3409.528319999999</v>
      </c>
      <c r="R416" s="1">
        <v>48</v>
      </c>
      <c r="S416" s="1" t="s">
        <v>60</v>
      </c>
    </row>
    <row r="417" spans="1:19" x14ac:dyDescent="0.35">
      <c r="A417" s="1" t="s">
        <v>718</v>
      </c>
      <c r="B417" s="3">
        <v>46017</v>
      </c>
      <c r="C417" s="1" t="s">
        <v>67</v>
      </c>
      <c r="D417" s="1">
        <v>12</v>
      </c>
      <c r="E417" s="1" t="s">
        <v>719</v>
      </c>
      <c r="F417" s="1" t="s">
        <v>47</v>
      </c>
      <c r="G417" s="1" t="s">
        <v>23</v>
      </c>
      <c r="H417" s="1" t="s">
        <v>24</v>
      </c>
      <c r="I417" s="1" t="s">
        <v>139</v>
      </c>
      <c r="J417" s="1">
        <v>7</v>
      </c>
      <c r="K417" s="1">
        <v>866.11</v>
      </c>
      <c r="L417" s="1">
        <v>0.15</v>
      </c>
      <c r="M417" s="1">
        <v>6062.77</v>
      </c>
      <c r="N417" s="1">
        <v>909.41550000000007</v>
      </c>
      <c r="O417" s="1">
        <v>5153.3545000000004</v>
      </c>
      <c r="P417" s="1">
        <v>2834.344975</v>
      </c>
      <c r="Q417" s="1">
        <v>2319.0095249999999</v>
      </c>
      <c r="R417" s="1">
        <v>44.999999999999993</v>
      </c>
      <c r="S417" s="1" t="s">
        <v>93</v>
      </c>
    </row>
    <row r="418" spans="1:19" x14ac:dyDescent="0.35">
      <c r="A418" s="1" t="s">
        <v>720</v>
      </c>
      <c r="B418" s="3">
        <v>45992</v>
      </c>
      <c r="C418" s="1" t="s">
        <v>67</v>
      </c>
      <c r="D418" s="1">
        <v>12</v>
      </c>
      <c r="E418" s="1" t="s">
        <v>721</v>
      </c>
      <c r="F418" s="1" t="s">
        <v>52</v>
      </c>
      <c r="G418" s="1" t="s">
        <v>23</v>
      </c>
      <c r="H418" s="1" t="s">
        <v>24</v>
      </c>
      <c r="I418" s="1" t="s">
        <v>25</v>
      </c>
      <c r="J418" s="1">
        <v>5</v>
      </c>
      <c r="K418" s="1">
        <v>3574.83</v>
      </c>
      <c r="L418" s="1">
        <v>0.1</v>
      </c>
      <c r="M418" s="1">
        <v>17874.150000000001</v>
      </c>
      <c r="N418" s="1">
        <v>1787.415</v>
      </c>
      <c r="O418" s="1">
        <v>16086.735000000001</v>
      </c>
      <c r="P418" s="1">
        <v>8847.7042500000007</v>
      </c>
      <c r="Q418" s="1">
        <v>7239.0307499999999</v>
      </c>
      <c r="R418" s="1">
        <v>44.999999999999993</v>
      </c>
      <c r="S418" s="1" t="s">
        <v>33</v>
      </c>
    </row>
    <row r="419" spans="1:19" x14ac:dyDescent="0.35">
      <c r="A419" s="1" t="s">
        <v>722</v>
      </c>
      <c r="B419" s="3">
        <v>45717</v>
      </c>
      <c r="C419" s="1" t="s">
        <v>28</v>
      </c>
      <c r="D419" s="1">
        <v>3</v>
      </c>
      <c r="E419" s="1" t="s">
        <v>723</v>
      </c>
      <c r="F419" s="1" t="s">
        <v>47</v>
      </c>
      <c r="G419" s="1" t="s">
        <v>23</v>
      </c>
      <c r="H419" s="1" t="s">
        <v>24</v>
      </c>
      <c r="I419" s="1" t="s">
        <v>117</v>
      </c>
      <c r="J419" s="1">
        <v>3</v>
      </c>
      <c r="K419" s="1">
        <v>4112.01</v>
      </c>
      <c r="L419" s="1">
        <v>0.15</v>
      </c>
      <c r="M419" s="1">
        <v>12336.03</v>
      </c>
      <c r="N419" s="1">
        <v>1850.4045000000001</v>
      </c>
      <c r="O419" s="1">
        <v>10485.6255</v>
      </c>
      <c r="P419" s="1">
        <v>5767.0940250000003</v>
      </c>
      <c r="Q419" s="1">
        <v>4718.5314749999998</v>
      </c>
      <c r="R419" s="1">
        <v>44.999999999999993</v>
      </c>
      <c r="S419" s="1" t="s">
        <v>60</v>
      </c>
    </row>
    <row r="420" spans="1:19" x14ac:dyDescent="0.35">
      <c r="A420" s="1" t="s">
        <v>724</v>
      </c>
      <c r="B420" s="3">
        <v>46005</v>
      </c>
      <c r="C420" s="1" t="s">
        <v>67</v>
      </c>
      <c r="D420" s="1">
        <v>12</v>
      </c>
      <c r="E420" s="1" t="s">
        <v>181</v>
      </c>
      <c r="F420" s="1" t="s">
        <v>43</v>
      </c>
      <c r="G420" s="1" t="s">
        <v>23</v>
      </c>
      <c r="H420" s="1" t="s">
        <v>24</v>
      </c>
      <c r="I420" s="1" t="s">
        <v>44</v>
      </c>
      <c r="J420" s="1">
        <v>2</v>
      </c>
      <c r="K420" s="1">
        <v>4750.45</v>
      </c>
      <c r="L420" s="1">
        <v>0.1</v>
      </c>
      <c r="M420" s="1">
        <v>9500.9</v>
      </c>
      <c r="N420" s="1">
        <v>950.09</v>
      </c>
      <c r="O420" s="1">
        <v>8550.81</v>
      </c>
      <c r="P420" s="1">
        <v>4702.9454999999998</v>
      </c>
      <c r="Q420" s="1">
        <v>3847.8645000000001</v>
      </c>
      <c r="R420" s="1">
        <v>45</v>
      </c>
      <c r="S420" s="1" t="s">
        <v>93</v>
      </c>
    </row>
    <row r="421" spans="1:19" x14ac:dyDescent="0.35">
      <c r="A421" s="1" t="s">
        <v>725</v>
      </c>
      <c r="B421" s="3">
        <v>45975</v>
      </c>
      <c r="C421" s="1" t="s">
        <v>56</v>
      </c>
      <c r="D421" s="1">
        <v>11</v>
      </c>
      <c r="E421" s="1" t="s">
        <v>726</v>
      </c>
      <c r="F421" s="1" t="s">
        <v>22</v>
      </c>
      <c r="G421" s="1" t="s">
        <v>64</v>
      </c>
      <c r="H421" s="1" t="s">
        <v>99</v>
      </c>
      <c r="I421" s="1" t="s">
        <v>108</v>
      </c>
      <c r="J421" s="1">
        <v>4</v>
      </c>
      <c r="K421" s="1">
        <v>5657.3</v>
      </c>
      <c r="L421" s="1">
        <v>0.15</v>
      </c>
      <c r="M421" s="1">
        <v>22629.200000000001</v>
      </c>
      <c r="N421" s="1">
        <v>3394.38</v>
      </c>
      <c r="O421" s="1">
        <v>19234.82</v>
      </c>
      <c r="P421" s="1">
        <v>13079.677600000001</v>
      </c>
      <c r="Q421" s="1">
        <v>6155.1423999999988</v>
      </c>
      <c r="R421" s="1">
        <v>32</v>
      </c>
      <c r="S421" s="1" t="s">
        <v>93</v>
      </c>
    </row>
    <row r="422" spans="1:19" x14ac:dyDescent="0.35">
      <c r="A422" s="1" t="s">
        <v>727</v>
      </c>
      <c r="B422" s="3">
        <v>45872</v>
      </c>
      <c r="C422" s="1" t="s">
        <v>113</v>
      </c>
      <c r="D422" s="1">
        <v>8</v>
      </c>
      <c r="E422" s="1" t="s">
        <v>578</v>
      </c>
      <c r="F422" s="1" t="s">
        <v>52</v>
      </c>
      <c r="G422" s="1" t="s">
        <v>23</v>
      </c>
      <c r="H422" s="1" t="s">
        <v>53</v>
      </c>
      <c r="I422" s="1" t="s">
        <v>54</v>
      </c>
      <c r="J422" s="1">
        <v>5</v>
      </c>
      <c r="K422" s="1">
        <v>1669.92</v>
      </c>
      <c r="L422" s="1">
        <v>0.25</v>
      </c>
      <c r="M422" s="1">
        <v>8349.6</v>
      </c>
      <c r="N422" s="1">
        <v>2087.4</v>
      </c>
      <c r="O422" s="1">
        <v>6262.2000000000007</v>
      </c>
      <c r="P422" s="1">
        <v>3632.076</v>
      </c>
      <c r="Q422" s="1">
        <v>2630.1240000000012</v>
      </c>
      <c r="R422" s="1">
        <v>42.000000000000007</v>
      </c>
      <c r="S422" s="1" t="s">
        <v>33</v>
      </c>
    </row>
    <row r="423" spans="1:19" x14ac:dyDescent="0.35">
      <c r="A423" s="1" t="s">
        <v>728</v>
      </c>
      <c r="B423" s="3">
        <v>45827</v>
      </c>
      <c r="C423" s="1" t="s">
        <v>82</v>
      </c>
      <c r="D423" s="1">
        <v>6</v>
      </c>
      <c r="E423" s="1" t="s">
        <v>729</v>
      </c>
      <c r="F423" s="1" t="s">
        <v>43</v>
      </c>
      <c r="G423" s="1" t="s">
        <v>64</v>
      </c>
      <c r="H423" s="1" t="s">
        <v>31</v>
      </c>
      <c r="I423" s="1" t="s">
        <v>190</v>
      </c>
      <c r="J423" s="1">
        <v>5</v>
      </c>
      <c r="K423" s="1">
        <v>2552.17</v>
      </c>
      <c r="L423" s="1">
        <v>0.1</v>
      </c>
      <c r="M423" s="1">
        <v>12760.85</v>
      </c>
      <c r="N423" s="1">
        <v>1276.085</v>
      </c>
      <c r="O423" s="1">
        <v>11484.764999999999</v>
      </c>
      <c r="P423" s="1">
        <v>5972.0778</v>
      </c>
      <c r="Q423" s="1">
        <v>5512.6871999999994</v>
      </c>
      <c r="R423" s="1">
        <v>48</v>
      </c>
      <c r="S423" s="1" t="s">
        <v>73</v>
      </c>
    </row>
    <row r="424" spans="1:19" x14ac:dyDescent="0.35">
      <c r="A424" s="1" t="s">
        <v>730</v>
      </c>
      <c r="B424" s="3">
        <v>45751</v>
      </c>
      <c r="C424" s="1" t="s">
        <v>20</v>
      </c>
      <c r="D424" s="1">
        <v>4</v>
      </c>
      <c r="E424" s="1" t="s">
        <v>731</v>
      </c>
      <c r="F424" s="1" t="s">
        <v>37</v>
      </c>
      <c r="G424" s="1" t="s">
        <v>23</v>
      </c>
      <c r="H424" s="1" t="s">
        <v>77</v>
      </c>
      <c r="I424" s="1" t="s">
        <v>201</v>
      </c>
      <c r="J424" s="1">
        <v>4</v>
      </c>
      <c r="K424" s="1">
        <v>883</v>
      </c>
      <c r="L424" s="1">
        <v>0.15</v>
      </c>
      <c r="M424" s="1">
        <v>3532</v>
      </c>
      <c r="N424" s="1">
        <v>529.79999999999995</v>
      </c>
      <c r="O424" s="1">
        <v>3002.2</v>
      </c>
      <c r="P424" s="1">
        <v>2161.5839999999998</v>
      </c>
      <c r="Q424" s="1">
        <v>840.61599999999999</v>
      </c>
      <c r="R424" s="1">
        <v>28</v>
      </c>
      <c r="S424" s="1" t="s">
        <v>33</v>
      </c>
    </row>
    <row r="425" spans="1:19" x14ac:dyDescent="0.35">
      <c r="A425" s="1" t="s">
        <v>732</v>
      </c>
      <c r="B425" s="3">
        <v>46003</v>
      </c>
      <c r="C425" s="1" t="s">
        <v>67</v>
      </c>
      <c r="D425" s="1">
        <v>12</v>
      </c>
      <c r="E425" s="1" t="s">
        <v>633</v>
      </c>
      <c r="F425" s="1" t="s">
        <v>43</v>
      </c>
      <c r="G425" s="1" t="s">
        <v>38</v>
      </c>
      <c r="H425" s="1" t="s">
        <v>99</v>
      </c>
      <c r="I425" s="1" t="s">
        <v>100</v>
      </c>
      <c r="J425" s="1">
        <v>6</v>
      </c>
      <c r="K425" s="1">
        <v>20415.43</v>
      </c>
      <c r="L425" s="1">
        <v>0.05</v>
      </c>
      <c r="M425" s="1">
        <v>122492.58</v>
      </c>
      <c r="N425" s="1">
        <v>6124.6290000000008</v>
      </c>
      <c r="O425" s="1">
        <v>116367.951</v>
      </c>
      <c r="P425" s="1">
        <v>79130.206680000003</v>
      </c>
      <c r="Q425" s="1">
        <v>37237.744319999998</v>
      </c>
      <c r="R425" s="1">
        <v>32</v>
      </c>
      <c r="S425" s="1" t="s">
        <v>26</v>
      </c>
    </row>
    <row r="426" spans="1:19" x14ac:dyDescent="0.35">
      <c r="A426" s="1" t="s">
        <v>733</v>
      </c>
      <c r="B426" s="3">
        <v>45879</v>
      </c>
      <c r="C426" s="1" t="s">
        <v>113</v>
      </c>
      <c r="D426" s="1">
        <v>8</v>
      </c>
      <c r="E426" s="1" t="s">
        <v>450</v>
      </c>
      <c r="F426" s="1" t="s">
        <v>58</v>
      </c>
      <c r="G426" s="1" t="s">
        <v>38</v>
      </c>
      <c r="H426" s="1" t="s">
        <v>31</v>
      </c>
      <c r="I426" s="1" t="s">
        <v>32</v>
      </c>
      <c r="J426" s="1">
        <v>1</v>
      </c>
      <c r="K426" s="1">
        <v>1944.79</v>
      </c>
      <c r="L426" s="1">
        <v>0.2</v>
      </c>
      <c r="M426" s="1">
        <v>1944.79</v>
      </c>
      <c r="N426" s="1">
        <v>388.95800000000003</v>
      </c>
      <c r="O426" s="1">
        <v>1555.8320000000001</v>
      </c>
      <c r="P426" s="1">
        <v>809.03264000000001</v>
      </c>
      <c r="Q426" s="1">
        <v>746.79935999999987</v>
      </c>
      <c r="R426" s="1">
        <v>47.999999999999993</v>
      </c>
      <c r="S426" s="1" t="s">
        <v>93</v>
      </c>
    </row>
    <row r="427" spans="1:19" x14ac:dyDescent="0.35">
      <c r="A427" s="1" t="s">
        <v>734</v>
      </c>
      <c r="B427" s="3">
        <v>45864</v>
      </c>
      <c r="C427" s="1" t="s">
        <v>62</v>
      </c>
      <c r="D427" s="1">
        <v>7</v>
      </c>
      <c r="E427" s="1" t="s">
        <v>154</v>
      </c>
      <c r="F427" s="1" t="s">
        <v>76</v>
      </c>
      <c r="G427" s="1" t="s">
        <v>64</v>
      </c>
      <c r="H427" s="1" t="s">
        <v>24</v>
      </c>
      <c r="I427" s="1" t="s">
        <v>139</v>
      </c>
      <c r="J427" s="1">
        <v>7</v>
      </c>
      <c r="K427" s="1">
        <v>5908.18</v>
      </c>
      <c r="L427" s="1">
        <v>0.2</v>
      </c>
      <c r="M427" s="1">
        <v>41357.26</v>
      </c>
      <c r="N427" s="1">
        <v>8271.4520000000011</v>
      </c>
      <c r="O427" s="1">
        <v>33085.807999999997</v>
      </c>
      <c r="P427" s="1">
        <v>18197.1944</v>
      </c>
      <c r="Q427" s="1">
        <v>14888.613600000001</v>
      </c>
      <c r="R427" s="1">
        <v>44.999999999999993</v>
      </c>
      <c r="S427" s="1" t="s">
        <v>93</v>
      </c>
    </row>
    <row r="428" spans="1:19" x14ac:dyDescent="0.35">
      <c r="A428" s="1" t="s">
        <v>735</v>
      </c>
      <c r="B428" s="3">
        <v>45753</v>
      </c>
      <c r="C428" s="1" t="s">
        <v>20</v>
      </c>
      <c r="D428" s="1">
        <v>4</v>
      </c>
      <c r="E428" s="1" t="s">
        <v>331</v>
      </c>
      <c r="F428" s="1" t="s">
        <v>52</v>
      </c>
      <c r="G428" s="1" t="s">
        <v>64</v>
      </c>
      <c r="H428" s="1" t="s">
        <v>53</v>
      </c>
      <c r="I428" s="1" t="s">
        <v>128</v>
      </c>
      <c r="J428" s="1">
        <v>7</v>
      </c>
      <c r="K428" s="1">
        <v>1437.61</v>
      </c>
      <c r="L428" s="1">
        <v>0</v>
      </c>
      <c r="M428" s="1">
        <v>10063.27</v>
      </c>
      <c r="N428" s="1">
        <v>0</v>
      </c>
      <c r="O428" s="1">
        <v>10063.27</v>
      </c>
      <c r="P428" s="1">
        <v>5836.6965999999984</v>
      </c>
      <c r="Q428" s="1">
        <v>4226.5734000000002</v>
      </c>
      <c r="R428" s="1">
        <v>42.000000000000007</v>
      </c>
      <c r="S428" s="1" t="s">
        <v>93</v>
      </c>
    </row>
    <row r="429" spans="1:19" x14ac:dyDescent="0.35">
      <c r="A429" s="1" t="s">
        <v>736</v>
      </c>
      <c r="B429" s="3">
        <v>45761</v>
      </c>
      <c r="C429" s="1" t="s">
        <v>20</v>
      </c>
      <c r="D429" s="1">
        <v>4</v>
      </c>
      <c r="E429" s="1" t="s">
        <v>272</v>
      </c>
      <c r="F429" s="1" t="s">
        <v>52</v>
      </c>
      <c r="G429" s="1" t="s">
        <v>38</v>
      </c>
      <c r="H429" s="1" t="s">
        <v>31</v>
      </c>
      <c r="I429" s="1" t="s">
        <v>59</v>
      </c>
      <c r="J429" s="1">
        <v>6</v>
      </c>
      <c r="K429" s="1">
        <v>511.28</v>
      </c>
      <c r="L429" s="1">
        <v>0.15</v>
      </c>
      <c r="M429" s="1">
        <v>3067.68</v>
      </c>
      <c r="N429" s="1">
        <v>460.15199999999999</v>
      </c>
      <c r="O429" s="1">
        <v>2607.5279999999998</v>
      </c>
      <c r="P429" s="1">
        <v>1355.9145599999999</v>
      </c>
      <c r="Q429" s="1">
        <v>1251.6134400000001</v>
      </c>
      <c r="R429" s="1">
        <v>48</v>
      </c>
      <c r="S429" s="1" t="s">
        <v>33</v>
      </c>
    </row>
    <row r="430" spans="1:19" x14ac:dyDescent="0.35">
      <c r="A430" s="1" t="s">
        <v>737</v>
      </c>
      <c r="B430" s="3">
        <v>45956</v>
      </c>
      <c r="C430" s="1" t="s">
        <v>35</v>
      </c>
      <c r="D430" s="1">
        <v>10</v>
      </c>
      <c r="E430" s="1" t="s">
        <v>346</v>
      </c>
      <c r="F430" s="1" t="s">
        <v>76</v>
      </c>
      <c r="G430" s="1" t="s">
        <v>38</v>
      </c>
      <c r="H430" s="1" t="s">
        <v>31</v>
      </c>
      <c r="I430" s="1" t="s">
        <v>59</v>
      </c>
      <c r="J430" s="1">
        <v>7</v>
      </c>
      <c r="K430" s="1">
        <v>2844.45</v>
      </c>
      <c r="L430" s="1">
        <v>0.15</v>
      </c>
      <c r="M430" s="1">
        <v>19911.150000000001</v>
      </c>
      <c r="N430" s="1">
        <v>2986.6725000000001</v>
      </c>
      <c r="O430" s="1">
        <v>16924.477500000001</v>
      </c>
      <c r="P430" s="1">
        <v>8800.7282999999989</v>
      </c>
      <c r="Q430" s="1">
        <v>8123.7491999999984</v>
      </c>
      <c r="R430" s="1">
        <v>48</v>
      </c>
      <c r="S430" s="1" t="s">
        <v>26</v>
      </c>
    </row>
    <row r="431" spans="1:19" x14ac:dyDescent="0.35">
      <c r="A431" s="1" t="s">
        <v>738</v>
      </c>
      <c r="B431" s="3">
        <v>45844</v>
      </c>
      <c r="C431" s="1" t="s">
        <v>62</v>
      </c>
      <c r="D431" s="1">
        <v>7</v>
      </c>
      <c r="E431" s="1" t="s">
        <v>285</v>
      </c>
      <c r="F431" s="1" t="s">
        <v>52</v>
      </c>
      <c r="G431" s="1" t="s">
        <v>23</v>
      </c>
      <c r="H431" s="1" t="s">
        <v>31</v>
      </c>
      <c r="I431" s="1" t="s">
        <v>32</v>
      </c>
      <c r="J431" s="1">
        <v>3</v>
      </c>
      <c r="K431" s="1">
        <v>1539.84</v>
      </c>
      <c r="L431" s="1">
        <v>0</v>
      </c>
      <c r="M431" s="1">
        <v>4619.5200000000004</v>
      </c>
      <c r="N431" s="1">
        <v>0</v>
      </c>
      <c r="O431" s="1">
        <v>4619.5200000000004</v>
      </c>
      <c r="P431" s="1">
        <v>2402.1504</v>
      </c>
      <c r="Q431" s="1">
        <v>2217.3696</v>
      </c>
      <c r="R431" s="1">
        <v>47.999999999999993</v>
      </c>
      <c r="S431" s="1" t="s">
        <v>60</v>
      </c>
    </row>
    <row r="432" spans="1:19" x14ac:dyDescent="0.35">
      <c r="A432" s="1" t="s">
        <v>739</v>
      </c>
      <c r="B432" s="3">
        <v>46013</v>
      </c>
      <c r="C432" s="1" t="s">
        <v>67</v>
      </c>
      <c r="D432" s="1">
        <v>12</v>
      </c>
      <c r="E432" s="1" t="s">
        <v>513</v>
      </c>
      <c r="F432" s="1" t="s">
        <v>37</v>
      </c>
      <c r="G432" s="1" t="s">
        <v>38</v>
      </c>
      <c r="H432" s="1" t="s">
        <v>53</v>
      </c>
      <c r="I432" s="1" t="s">
        <v>185</v>
      </c>
      <c r="J432" s="1">
        <v>2</v>
      </c>
      <c r="K432" s="1">
        <v>1452.15</v>
      </c>
      <c r="L432" s="1">
        <v>0.15</v>
      </c>
      <c r="M432" s="1">
        <v>2904.3</v>
      </c>
      <c r="N432" s="1">
        <v>435.64499999999998</v>
      </c>
      <c r="O432" s="1">
        <v>2468.6550000000002</v>
      </c>
      <c r="P432" s="1">
        <v>1431.8199</v>
      </c>
      <c r="Q432" s="1">
        <v>1036.8351</v>
      </c>
      <c r="R432" s="1">
        <v>42.000000000000007</v>
      </c>
      <c r="S432" s="1" t="s">
        <v>33</v>
      </c>
    </row>
    <row r="433" spans="1:19" x14ac:dyDescent="0.35">
      <c r="A433" s="1" t="s">
        <v>740</v>
      </c>
      <c r="B433" s="3">
        <v>45718</v>
      </c>
      <c r="C433" s="1" t="s">
        <v>28</v>
      </c>
      <c r="D433" s="1">
        <v>3</v>
      </c>
      <c r="E433" s="1" t="s">
        <v>509</v>
      </c>
      <c r="F433" s="1" t="s">
        <v>43</v>
      </c>
      <c r="G433" s="1" t="s">
        <v>38</v>
      </c>
      <c r="H433" s="1" t="s">
        <v>31</v>
      </c>
      <c r="I433" s="1" t="s">
        <v>190</v>
      </c>
      <c r="J433" s="1">
        <v>7</v>
      </c>
      <c r="K433" s="1">
        <v>2618.91</v>
      </c>
      <c r="L433" s="1">
        <v>0.15</v>
      </c>
      <c r="M433" s="1">
        <v>18332.37</v>
      </c>
      <c r="N433" s="1">
        <v>2749.8555000000001</v>
      </c>
      <c r="O433" s="1">
        <v>15582.514499999999</v>
      </c>
      <c r="P433" s="1">
        <v>8102.9075400000002</v>
      </c>
      <c r="Q433" s="1">
        <v>7479.6069599999992</v>
      </c>
      <c r="R433" s="1">
        <v>48</v>
      </c>
      <c r="S433" s="1" t="s">
        <v>73</v>
      </c>
    </row>
    <row r="434" spans="1:19" x14ac:dyDescent="0.35">
      <c r="A434" s="1" t="s">
        <v>741</v>
      </c>
      <c r="B434" s="3">
        <v>45840</v>
      </c>
      <c r="C434" s="1" t="s">
        <v>62</v>
      </c>
      <c r="D434" s="1">
        <v>7</v>
      </c>
      <c r="E434" s="1" t="s">
        <v>269</v>
      </c>
      <c r="F434" s="1" t="s">
        <v>47</v>
      </c>
      <c r="G434" s="1" t="s">
        <v>23</v>
      </c>
      <c r="H434" s="1" t="s">
        <v>24</v>
      </c>
      <c r="I434" s="1" t="s">
        <v>117</v>
      </c>
      <c r="J434" s="1">
        <v>5</v>
      </c>
      <c r="K434" s="1">
        <v>3981.9</v>
      </c>
      <c r="L434" s="1">
        <v>0.1</v>
      </c>
      <c r="M434" s="1">
        <v>19909.5</v>
      </c>
      <c r="N434" s="1">
        <v>1990.95</v>
      </c>
      <c r="O434" s="1">
        <v>17918.55</v>
      </c>
      <c r="P434" s="1">
        <v>9855.2025000000012</v>
      </c>
      <c r="Q434" s="1">
        <v>8063.347499999998</v>
      </c>
      <c r="R434" s="1">
        <v>44.999999999999993</v>
      </c>
      <c r="S434" s="1" t="s">
        <v>73</v>
      </c>
    </row>
    <row r="435" spans="1:19" x14ac:dyDescent="0.35">
      <c r="A435" s="1" t="s">
        <v>742</v>
      </c>
      <c r="B435" s="3">
        <v>45823</v>
      </c>
      <c r="C435" s="1" t="s">
        <v>82</v>
      </c>
      <c r="D435" s="1">
        <v>6</v>
      </c>
      <c r="E435" s="1" t="s">
        <v>743</v>
      </c>
      <c r="F435" s="1" t="s">
        <v>22</v>
      </c>
      <c r="G435" s="1" t="s">
        <v>23</v>
      </c>
      <c r="H435" s="1" t="s">
        <v>39</v>
      </c>
      <c r="I435" s="1" t="s">
        <v>214</v>
      </c>
      <c r="J435" s="1">
        <v>6</v>
      </c>
      <c r="K435" s="1">
        <v>11040.84</v>
      </c>
      <c r="L435" s="1">
        <v>0.1</v>
      </c>
      <c r="M435" s="1">
        <v>66245.040000000008</v>
      </c>
      <c r="N435" s="1">
        <v>6624.5040000000008</v>
      </c>
      <c r="O435" s="1">
        <v>59620.536000000007</v>
      </c>
      <c r="P435" s="1">
        <v>46504.018080000009</v>
      </c>
      <c r="Q435" s="1">
        <v>13116.51792</v>
      </c>
      <c r="R435" s="1">
        <v>21.999999999999989</v>
      </c>
      <c r="S435" s="1" t="s">
        <v>26</v>
      </c>
    </row>
    <row r="436" spans="1:19" x14ac:dyDescent="0.35">
      <c r="A436" s="1" t="s">
        <v>744</v>
      </c>
      <c r="B436" s="3">
        <v>45934</v>
      </c>
      <c r="C436" s="1" t="s">
        <v>35</v>
      </c>
      <c r="D436" s="1">
        <v>10</v>
      </c>
      <c r="E436" s="1" t="s">
        <v>272</v>
      </c>
      <c r="F436" s="1" t="s">
        <v>37</v>
      </c>
      <c r="G436" s="1" t="s">
        <v>23</v>
      </c>
      <c r="H436" s="1" t="s">
        <v>24</v>
      </c>
      <c r="I436" s="1" t="s">
        <v>25</v>
      </c>
      <c r="J436" s="1">
        <v>5</v>
      </c>
      <c r="K436" s="1">
        <v>799.15</v>
      </c>
      <c r="L436" s="1">
        <v>0.15</v>
      </c>
      <c r="M436" s="1">
        <v>3995.75</v>
      </c>
      <c r="N436" s="1">
        <v>599.36249999999995</v>
      </c>
      <c r="O436" s="1">
        <v>3396.3874999999998</v>
      </c>
      <c r="P436" s="1">
        <v>1868.0131249999999</v>
      </c>
      <c r="Q436" s="1">
        <v>1528.3743750000001</v>
      </c>
      <c r="R436" s="1">
        <v>45</v>
      </c>
      <c r="S436" s="1" t="s">
        <v>60</v>
      </c>
    </row>
    <row r="437" spans="1:19" x14ac:dyDescent="0.35">
      <c r="A437" s="1" t="s">
        <v>745</v>
      </c>
      <c r="B437" s="3">
        <v>45721</v>
      </c>
      <c r="C437" s="1" t="s">
        <v>28</v>
      </c>
      <c r="D437" s="1">
        <v>3</v>
      </c>
      <c r="E437" s="1" t="s">
        <v>363</v>
      </c>
      <c r="F437" s="1" t="s">
        <v>47</v>
      </c>
      <c r="G437" s="1" t="s">
        <v>38</v>
      </c>
      <c r="H437" s="1" t="s">
        <v>24</v>
      </c>
      <c r="I437" s="1" t="s">
        <v>117</v>
      </c>
      <c r="J437" s="1">
        <v>1</v>
      </c>
      <c r="K437" s="1">
        <v>1486.46</v>
      </c>
      <c r="L437" s="1">
        <v>0.15</v>
      </c>
      <c r="M437" s="1">
        <v>1486.46</v>
      </c>
      <c r="N437" s="1">
        <v>222.96899999999999</v>
      </c>
      <c r="O437" s="1">
        <v>1263.491</v>
      </c>
      <c r="P437" s="1">
        <v>694.92005000000006</v>
      </c>
      <c r="Q437" s="1">
        <v>568.57094999999993</v>
      </c>
      <c r="R437" s="1">
        <v>44.999999999999993</v>
      </c>
      <c r="S437" s="1" t="s">
        <v>93</v>
      </c>
    </row>
    <row r="438" spans="1:19" x14ac:dyDescent="0.35">
      <c r="A438" s="1" t="s">
        <v>746</v>
      </c>
      <c r="B438" s="3">
        <v>45799</v>
      </c>
      <c r="C438" s="1" t="s">
        <v>97</v>
      </c>
      <c r="D438" s="1">
        <v>5</v>
      </c>
      <c r="E438" s="1" t="s">
        <v>559</v>
      </c>
      <c r="F438" s="1" t="s">
        <v>30</v>
      </c>
      <c r="G438" s="1" t="s">
        <v>23</v>
      </c>
      <c r="H438" s="1" t="s">
        <v>99</v>
      </c>
      <c r="I438" s="1" t="s">
        <v>108</v>
      </c>
      <c r="J438" s="1">
        <v>4</v>
      </c>
      <c r="K438" s="1">
        <v>17921.400000000001</v>
      </c>
      <c r="L438" s="1">
        <v>0</v>
      </c>
      <c r="M438" s="1">
        <v>71685.600000000006</v>
      </c>
      <c r="N438" s="1">
        <v>0</v>
      </c>
      <c r="O438" s="1">
        <v>71685.600000000006</v>
      </c>
      <c r="P438" s="1">
        <v>48746.208000000013</v>
      </c>
      <c r="Q438" s="1">
        <v>22939.392</v>
      </c>
      <c r="R438" s="1">
        <v>32</v>
      </c>
      <c r="S438" s="1" t="s">
        <v>26</v>
      </c>
    </row>
    <row r="439" spans="1:19" x14ac:dyDescent="0.35">
      <c r="A439" s="1" t="s">
        <v>747</v>
      </c>
      <c r="B439" s="3">
        <v>45813</v>
      </c>
      <c r="C439" s="1" t="s">
        <v>82</v>
      </c>
      <c r="D439" s="1">
        <v>6</v>
      </c>
      <c r="E439" s="1" t="s">
        <v>748</v>
      </c>
      <c r="F439" s="1" t="s">
        <v>47</v>
      </c>
      <c r="G439" s="1" t="s">
        <v>23</v>
      </c>
      <c r="H439" s="1" t="s">
        <v>99</v>
      </c>
      <c r="I439" s="1" t="s">
        <v>145</v>
      </c>
      <c r="J439" s="1">
        <v>6</v>
      </c>
      <c r="K439" s="1">
        <v>22336.35</v>
      </c>
      <c r="L439" s="1">
        <v>0.15</v>
      </c>
      <c r="M439" s="1">
        <v>134018.1</v>
      </c>
      <c r="N439" s="1">
        <v>20102.715</v>
      </c>
      <c r="O439" s="1">
        <v>113915.38499999999</v>
      </c>
      <c r="P439" s="1">
        <v>77462.46179999999</v>
      </c>
      <c r="Q439" s="1">
        <v>36452.92319999999</v>
      </c>
      <c r="R439" s="1">
        <v>32</v>
      </c>
      <c r="S439" s="1" t="s">
        <v>26</v>
      </c>
    </row>
    <row r="440" spans="1:19" x14ac:dyDescent="0.35">
      <c r="A440" s="1" t="s">
        <v>749</v>
      </c>
      <c r="B440" s="3">
        <v>46021</v>
      </c>
      <c r="C440" s="1" t="s">
        <v>67</v>
      </c>
      <c r="D440" s="1">
        <v>12</v>
      </c>
      <c r="E440" s="1" t="s">
        <v>708</v>
      </c>
      <c r="F440" s="1" t="s">
        <v>58</v>
      </c>
      <c r="G440" s="1" t="s">
        <v>38</v>
      </c>
      <c r="H440" s="1" t="s">
        <v>53</v>
      </c>
      <c r="I440" s="1" t="s">
        <v>128</v>
      </c>
      <c r="J440" s="1">
        <v>6</v>
      </c>
      <c r="K440" s="1">
        <v>1786.34</v>
      </c>
      <c r="L440" s="1">
        <v>0</v>
      </c>
      <c r="M440" s="1">
        <v>10718.04</v>
      </c>
      <c r="N440" s="1">
        <v>0</v>
      </c>
      <c r="O440" s="1">
        <v>10718.04</v>
      </c>
      <c r="P440" s="1">
        <v>6216.4631999999992</v>
      </c>
      <c r="Q440" s="1">
        <v>4501.5767999999998</v>
      </c>
      <c r="R440" s="1">
        <v>42.000000000000007</v>
      </c>
      <c r="S440" s="1" t="s">
        <v>93</v>
      </c>
    </row>
    <row r="441" spans="1:19" x14ac:dyDescent="0.35">
      <c r="A441" s="1" t="s">
        <v>750</v>
      </c>
      <c r="B441" s="3">
        <v>45896</v>
      </c>
      <c r="C441" s="1" t="s">
        <v>113</v>
      </c>
      <c r="D441" s="1">
        <v>8</v>
      </c>
      <c r="E441" s="1" t="s">
        <v>222</v>
      </c>
      <c r="F441" s="1" t="s">
        <v>69</v>
      </c>
      <c r="G441" s="1" t="s">
        <v>38</v>
      </c>
      <c r="H441" s="1" t="s">
        <v>53</v>
      </c>
      <c r="I441" s="1" t="s">
        <v>72</v>
      </c>
      <c r="J441" s="1">
        <v>5</v>
      </c>
      <c r="K441" s="1">
        <v>2020.18</v>
      </c>
      <c r="L441" s="1">
        <v>0.25</v>
      </c>
      <c r="M441" s="1">
        <v>10100.9</v>
      </c>
      <c r="N441" s="1">
        <v>2525.2249999999999</v>
      </c>
      <c r="O441" s="1">
        <v>7575.6749999999993</v>
      </c>
      <c r="P441" s="1">
        <v>4393.8914999999997</v>
      </c>
      <c r="Q441" s="1">
        <v>3181.7835</v>
      </c>
      <c r="R441" s="1">
        <v>42</v>
      </c>
      <c r="S441" s="1" t="s">
        <v>93</v>
      </c>
    </row>
    <row r="442" spans="1:19" x14ac:dyDescent="0.35">
      <c r="A442" s="1" t="s">
        <v>751</v>
      </c>
      <c r="B442" s="3">
        <v>45891</v>
      </c>
      <c r="C442" s="1" t="s">
        <v>113</v>
      </c>
      <c r="D442" s="1">
        <v>8</v>
      </c>
      <c r="E442" s="1" t="s">
        <v>378</v>
      </c>
      <c r="F442" s="1" t="s">
        <v>111</v>
      </c>
      <c r="G442" s="1" t="s">
        <v>23</v>
      </c>
      <c r="H442" s="1" t="s">
        <v>39</v>
      </c>
      <c r="I442" s="1" t="s">
        <v>234</v>
      </c>
      <c r="J442" s="1">
        <v>7</v>
      </c>
      <c r="K442" s="1">
        <v>42373.25</v>
      </c>
      <c r="L442" s="1">
        <v>0.15</v>
      </c>
      <c r="M442" s="1">
        <v>296612.75</v>
      </c>
      <c r="N442" s="1">
        <v>44491.912499999999</v>
      </c>
      <c r="O442" s="1">
        <v>252120.83749999999</v>
      </c>
      <c r="P442" s="1">
        <v>196654.25325000001</v>
      </c>
      <c r="Q442" s="1">
        <v>55466.584249999993</v>
      </c>
      <c r="R442" s="1">
        <v>21.999999999999989</v>
      </c>
      <c r="S442" s="1" t="s">
        <v>33</v>
      </c>
    </row>
    <row r="443" spans="1:19" x14ac:dyDescent="0.35">
      <c r="A443" s="1" t="s">
        <v>752</v>
      </c>
      <c r="B443" s="3">
        <v>45888</v>
      </c>
      <c r="C443" s="1" t="s">
        <v>113</v>
      </c>
      <c r="D443" s="1">
        <v>8</v>
      </c>
      <c r="E443" s="1" t="s">
        <v>753</v>
      </c>
      <c r="F443" s="1" t="s">
        <v>69</v>
      </c>
      <c r="G443" s="1" t="s">
        <v>23</v>
      </c>
      <c r="H443" s="1" t="s">
        <v>31</v>
      </c>
      <c r="I443" s="1" t="s">
        <v>190</v>
      </c>
      <c r="J443" s="1">
        <v>7</v>
      </c>
      <c r="K443" s="1">
        <v>1506.67</v>
      </c>
      <c r="L443" s="1">
        <v>0.15</v>
      </c>
      <c r="M443" s="1">
        <v>10546.69</v>
      </c>
      <c r="N443" s="1">
        <v>1582.0035</v>
      </c>
      <c r="O443" s="1">
        <v>8964.6864999999998</v>
      </c>
      <c r="P443" s="1">
        <v>4661.6369800000002</v>
      </c>
      <c r="Q443" s="1">
        <v>4303.0495199999996</v>
      </c>
      <c r="R443" s="1">
        <v>48</v>
      </c>
      <c r="S443" s="1" t="s">
        <v>73</v>
      </c>
    </row>
    <row r="444" spans="1:19" x14ac:dyDescent="0.35">
      <c r="A444" s="1" t="s">
        <v>754</v>
      </c>
      <c r="B444" s="3">
        <v>45728</v>
      </c>
      <c r="C444" s="1" t="s">
        <v>28</v>
      </c>
      <c r="D444" s="1">
        <v>3</v>
      </c>
      <c r="E444" s="1" t="s">
        <v>549</v>
      </c>
      <c r="F444" s="1" t="s">
        <v>37</v>
      </c>
      <c r="G444" s="1" t="s">
        <v>38</v>
      </c>
      <c r="H444" s="1" t="s">
        <v>24</v>
      </c>
      <c r="I444" s="1" t="s">
        <v>139</v>
      </c>
      <c r="J444" s="1">
        <v>2</v>
      </c>
      <c r="K444" s="1">
        <v>1761.51</v>
      </c>
      <c r="L444" s="1">
        <v>0.1</v>
      </c>
      <c r="M444" s="1">
        <v>3523.02</v>
      </c>
      <c r="N444" s="1">
        <v>352.30200000000002</v>
      </c>
      <c r="O444" s="1">
        <v>3170.7179999999998</v>
      </c>
      <c r="P444" s="1">
        <v>1743.8949</v>
      </c>
      <c r="Q444" s="1">
        <v>1426.8231000000001</v>
      </c>
      <c r="R444" s="1">
        <v>44.999999999999993</v>
      </c>
      <c r="S444" s="1" t="s">
        <v>33</v>
      </c>
    </row>
    <row r="445" spans="1:19" x14ac:dyDescent="0.35">
      <c r="A445" s="1" t="s">
        <v>755</v>
      </c>
      <c r="B445" s="3">
        <v>45950</v>
      </c>
      <c r="C445" s="1" t="s">
        <v>35</v>
      </c>
      <c r="D445" s="1">
        <v>10</v>
      </c>
      <c r="E445" s="1" t="s">
        <v>756</v>
      </c>
      <c r="F445" s="1" t="s">
        <v>22</v>
      </c>
      <c r="G445" s="1" t="s">
        <v>38</v>
      </c>
      <c r="H445" s="1" t="s">
        <v>77</v>
      </c>
      <c r="I445" s="1" t="s">
        <v>78</v>
      </c>
      <c r="J445" s="1">
        <v>1</v>
      </c>
      <c r="K445" s="1">
        <v>1162.93</v>
      </c>
      <c r="L445" s="1">
        <v>0.1</v>
      </c>
      <c r="M445" s="1">
        <v>1162.93</v>
      </c>
      <c r="N445" s="1">
        <v>116.29300000000001</v>
      </c>
      <c r="O445" s="1">
        <v>1046.6369999999999</v>
      </c>
      <c r="P445" s="1">
        <v>753.57864000000006</v>
      </c>
      <c r="Q445" s="1">
        <v>293.05836000000011</v>
      </c>
      <c r="R445" s="1">
        <v>28.000000000000011</v>
      </c>
      <c r="S445" s="1" t="s">
        <v>33</v>
      </c>
    </row>
    <row r="446" spans="1:19" x14ac:dyDescent="0.35">
      <c r="A446" s="1" t="s">
        <v>757</v>
      </c>
      <c r="B446" s="3">
        <v>45795</v>
      </c>
      <c r="C446" s="1" t="s">
        <v>97</v>
      </c>
      <c r="D446" s="1">
        <v>5</v>
      </c>
      <c r="E446" s="1" t="s">
        <v>136</v>
      </c>
      <c r="F446" s="1" t="s">
        <v>111</v>
      </c>
      <c r="G446" s="1" t="s">
        <v>23</v>
      </c>
      <c r="H446" s="1" t="s">
        <v>24</v>
      </c>
      <c r="I446" s="1" t="s">
        <v>48</v>
      </c>
      <c r="J446" s="1">
        <v>1</v>
      </c>
      <c r="K446" s="1">
        <v>2445.33</v>
      </c>
      <c r="L446" s="1">
        <v>0.1</v>
      </c>
      <c r="M446" s="1">
        <v>2445.33</v>
      </c>
      <c r="N446" s="1">
        <v>244.53299999999999</v>
      </c>
      <c r="O446" s="1">
        <v>2200.797</v>
      </c>
      <c r="P446" s="1">
        <v>1210.4383499999999</v>
      </c>
      <c r="Q446" s="1">
        <v>990.3586499999999</v>
      </c>
      <c r="R446" s="1">
        <v>44.999999999999993</v>
      </c>
      <c r="S446" s="1" t="s">
        <v>73</v>
      </c>
    </row>
    <row r="447" spans="1:19" x14ac:dyDescent="0.35">
      <c r="A447" s="1" t="s">
        <v>758</v>
      </c>
      <c r="B447" s="3">
        <v>45823</v>
      </c>
      <c r="C447" s="1" t="s">
        <v>82</v>
      </c>
      <c r="D447" s="1">
        <v>6</v>
      </c>
      <c r="E447" s="1" t="s">
        <v>169</v>
      </c>
      <c r="F447" s="1" t="s">
        <v>111</v>
      </c>
      <c r="G447" s="1" t="s">
        <v>23</v>
      </c>
      <c r="H447" s="1" t="s">
        <v>77</v>
      </c>
      <c r="I447" s="1" t="s">
        <v>201</v>
      </c>
      <c r="J447" s="1">
        <v>2</v>
      </c>
      <c r="K447" s="1">
        <v>1003.71</v>
      </c>
      <c r="L447" s="1">
        <v>0.15</v>
      </c>
      <c r="M447" s="1">
        <v>2007.42</v>
      </c>
      <c r="N447" s="1">
        <v>301.113</v>
      </c>
      <c r="O447" s="1">
        <v>1706.307</v>
      </c>
      <c r="P447" s="1">
        <v>1228.5410400000001</v>
      </c>
      <c r="Q447" s="1">
        <v>477.76596000000001</v>
      </c>
      <c r="R447" s="1">
        <v>28</v>
      </c>
      <c r="S447" s="1" t="s">
        <v>26</v>
      </c>
    </row>
    <row r="448" spans="1:19" x14ac:dyDescent="0.35">
      <c r="A448" s="1" t="s">
        <v>759</v>
      </c>
      <c r="B448" s="3">
        <v>45769</v>
      </c>
      <c r="C448" s="1" t="s">
        <v>20</v>
      </c>
      <c r="D448" s="1">
        <v>4</v>
      </c>
      <c r="E448" s="1" t="s">
        <v>177</v>
      </c>
      <c r="F448" s="1" t="s">
        <v>37</v>
      </c>
      <c r="G448" s="1" t="s">
        <v>64</v>
      </c>
      <c r="H448" s="1" t="s">
        <v>24</v>
      </c>
      <c r="I448" s="1" t="s">
        <v>44</v>
      </c>
      <c r="J448" s="1">
        <v>6</v>
      </c>
      <c r="K448" s="1">
        <v>5314.73</v>
      </c>
      <c r="L448" s="1">
        <v>0.1</v>
      </c>
      <c r="M448" s="1">
        <v>31888.38</v>
      </c>
      <c r="N448" s="1">
        <v>3188.8380000000002</v>
      </c>
      <c r="O448" s="1">
        <v>28699.542000000001</v>
      </c>
      <c r="P448" s="1">
        <v>15784.748100000001</v>
      </c>
      <c r="Q448" s="1">
        <v>12914.793900000001</v>
      </c>
      <c r="R448" s="1">
        <v>44.999999999999993</v>
      </c>
      <c r="S448" s="1" t="s">
        <v>93</v>
      </c>
    </row>
    <row r="449" spans="1:19" x14ac:dyDescent="0.35">
      <c r="A449" s="1" t="s">
        <v>760</v>
      </c>
      <c r="B449" s="3">
        <v>45841</v>
      </c>
      <c r="C449" s="1" t="s">
        <v>62</v>
      </c>
      <c r="D449" s="1">
        <v>7</v>
      </c>
      <c r="E449" s="1" t="s">
        <v>479</v>
      </c>
      <c r="F449" s="1" t="s">
        <v>69</v>
      </c>
      <c r="G449" s="1" t="s">
        <v>64</v>
      </c>
      <c r="H449" s="1" t="s">
        <v>99</v>
      </c>
      <c r="I449" s="1" t="s">
        <v>145</v>
      </c>
      <c r="J449" s="1">
        <v>1</v>
      </c>
      <c r="K449" s="1">
        <v>6791.33</v>
      </c>
      <c r="L449" s="1">
        <v>0.1</v>
      </c>
      <c r="M449" s="1">
        <v>6791.33</v>
      </c>
      <c r="N449" s="1">
        <v>679.13300000000004</v>
      </c>
      <c r="O449" s="1">
        <v>6112.1970000000001</v>
      </c>
      <c r="P449" s="1">
        <v>4156.29396</v>
      </c>
      <c r="Q449" s="1">
        <v>1955.9030399999999</v>
      </c>
      <c r="R449" s="1">
        <v>32</v>
      </c>
      <c r="S449" s="1" t="s">
        <v>93</v>
      </c>
    </row>
    <row r="450" spans="1:19" x14ac:dyDescent="0.35">
      <c r="A450" s="1" t="s">
        <v>761</v>
      </c>
      <c r="B450" s="3">
        <v>45994</v>
      </c>
      <c r="C450" s="1" t="s">
        <v>67</v>
      </c>
      <c r="D450" s="1">
        <v>12</v>
      </c>
      <c r="E450" s="1" t="s">
        <v>359</v>
      </c>
      <c r="F450" s="1" t="s">
        <v>43</v>
      </c>
      <c r="G450" s="1" t="s">
        <v>38</v>
      </c>
      <c r="H450" s="1" t="s">
        <v>39</v>
      </c>
      <c r="I450" s="1" t="s">
        <v>234</v>
      </c>
      <c r="J450" s="1">
        <v>4</v>
      </c>
      <c r="K450" s="1">
        <v>8901.92</v>
      </c>
      <c r="L450" s="1">
        <v>0.1</v>
      </c>
      <c r="M450" s="1">
        <v>35607.68</v>
      </c>
      <c r="N450" s="1">
        <v>3560.768</v>
      </c>
      <c r="O450" s="1">
        <v>32046.912</v>
      </c>
      <c r="P450" s="1">
        <v>24996.591359999999</v>
      </c>
      <c r="Q450" s="1">
        <v>7050.3206399999981</v>
      </c>
      <c r="R450" s="1">
        <v>21.999999999999989</v>
      </c>
      <c r="S450" s="1" t="s">
        <v>33</v>
      </c>
    </row>
    <row r="451" spans="1:19" x14ac:dyDescent="0.35">
      <c r="A451" s="1" t="s">
        <v>762</v>
      </c>
      <c r="B451" s="3">
        <v>45695</v>
      </c>
      <c r="C451" s="1" t="s">
        <v>42</v>
      </c>
      <c r="D451" s="1">
        <v>2</v>
      </c>
      <c r="E451" s="1" t="s">
        <v>479</v>
      </c>
      <c r="F451" s="1" t="s">
        <v>22</v>
      </c>
      <c r="G451" s="1" t="s">
        <v>38</v>
      </c>
      <c r="H451" s="1" t="s">
        <v>53</v>
      </c>
      <c r="I451" s="1" t="s">
        <v>72</v>
      </c>
      <c r="J451" s="1">
        <v>4</v>
      </c>
      <c r="K451" s="1">
        <v>967.37</v>
      </c>
      <c r="L451" s="1">
        <v>0.2</v>
      </c>
      <c r="M451" s="1">
        <v>3869.48</v>
      </c>
      <c r="N451" s="1">
        <v>773.89600000000007</v>
      </c>
      <c r="O451" s="1">
        <v>3095.5839999999998</v>
      </c>
      <c r="P451" s="1">
        <v>1795.4387200000001</v>
      </c>
      <c r="Q451" s="1">
        <v>1300.14528</v>
      </c>
      <c r="R451" s="1">
        <v>42</v>
      </c>
      <c r="S451" s="1" t="s">
        <v>26</v>
      </c>
    </row>
    <row r="452" spans="1:19" x14ac:dyDescent="0.35">
      <c r="A452" s="1" t="s">
        <v>763</v>
      </c>
      <c r="B452" s="3">
        <v>46002</v>
      </c>
      <c r="C452" s="1" t="s">
        <v>67</v>
      </c>
      <c r="D452" s="1">
        <v>12</v>
      </c>
      <c r="E452" s="1" t="s">
        <v>764</v>
      </c>
      <c r="F452" s="1" t="s">
        <v>43</v>
      </c>
      <c r="G452" s="1" t="s">
        <v>23</v>
      </c>
      <c r="H452" s="1" t="s">
        <v>77</v>
      </c>
      <c r="I452" s="1" t="s">
        <v>103</v>
      </c>
      <c r="J452" s="1">
        <v>5</v>
      </c>
      <c r="K452" s="1">
        <v>1073.3699999999999</v>
      </c>
      <c r="L452" s="1">
        <v>0.2</v>
      </c>
      <c r="M452" s="1">
        <v>5366.8499999999995</v>
      </c>
      <c r="N452" s="1">
        <v>1073.3699999999999</v>
      </c>
      <c r="O452" s="1">
        <v>4293.4799999999996</v>
      </c>
      <c r="P452" s="1">
        <v>3091.3056000000001</v>
      </c>
      <c r="Q452" s="1">
        <v>1202.1744000000001</v>
      </c>
      <c r="R452" s="1">
        <v>28</v>
      </c>
      <c r="S452" s="1" t="s">
        <v>33</v>
      </c>
    </row>
    <row r="453" spans="1:19" x14ac:dyDescent="0.35">
      <c r="A453" s="1" t="s">
        <v>765</v>
      </c>
      <c r="B453" s="3">
        <v>45696</v>
      </c>
      <c r="C453" s="1" t="s">
        <v>42</v>
      </c>
      <c r="D453" s="1">
        <v>2</v>
      </c>
      <c r="E453" s="1" t="s">
        <v>394</v>
      </c>
      <c r="F453" s="1" t="s">
        <v>111</v>
      </c>
      <c r="G453" s="1" t="s">
        <v>23</v>
      </c>
      <c r="H453" s="1" t="s">
        <v>39</v>
      </c>
      <c r="I453" s="1" t="s">
        <v>40</v>
      </c>
      <c r="J453" s="1">
        <v>5</v>
      </c>
      <c r="K453" s="1">
        <v>45715.03</v>
      </c>
      <c r="L453" s="1">
        <v>0.05</v>
      </c>
      <c r="M453" s="1">
        <v>228575.15</v>
      </c>
      <c r="N453" s="1">
        <v>11428.7575</v>
      </c>
      <c r="O453" s="1">
        <v>217146.39249999999</v>
      </c>
      <c r="P453" s="1">
        <v>169374.18614999999</v>
      </c>
      <c r="Q453" s="1">
        <v>47772.206349999993</v>
      </c>
      <c r="R453" s="1">
        <v>22</v>
      </c>
      <c r="S453" s="1" t="s">
        <v>33</v>
      </c>
    </row>
    <row r="454" spans="1:19" x14ac:dyDescent="0.35">
      <c r="A454" s="1" t="s">
        <v>766</v>
      </c>
      <c r="B454" s="3">
        <v>45788</v>
      </c>
      <c r="C454" s="1" t="s">
        <v>97</v>
      </c>
      <c r="D454" s="1">
        <v>5</v>
      </c>
      <c r="E454" s="1" t="s">
        <v>767</v>
      </c>
      <c r="F454" s="1" t="s">
        <v>22</v>
      </c>
      <c r="G454" s="1" t="s">
        <v>23</v>
      </c>
      <c r="H454" s="1" t="s">
        <v>31</v>
      </c>
      <c r="I454" s="1" t="s">
        <v>167</v>
      </c>
      <c r="J454" s="1">
        <v>6</v>
      </c>
      <c r="K454" s="1">
        <v>2924.85</v>
      </c>
      <c r="L454" s="1">
        <v>0.05</v>
      </c>
      <c r="M454" s="1">
        <v>17549.099999999999</v>
      </c>
      <c r="N454" s="1">
        <v>877.45499999999993</v>
      </c>
      <c r="O454" s="1">
        <v>16671.645</v>
      </c>
      <c r="P454" s="1">
        <v>8669.2553999999982</v>
      </c>
      <c r="Q454" s="1">
        <v>8002.3895999999986</v>
      </c>
      <c r="R454" s="1">
        <v>48</v>
      </c>
      <c r="S454" s="1" t="s">
        <v>26</v>
      </c>
    </row>
    <row r="455" spans="1:19" x14ac:dyDescent="0.35">
      <c r="A455" s="1" t="s">
        <v>768</v>
      </c>
      <c r="B455" s="3">
        <v>45913</v>
      </c>
      <c r="C455" s="1" t="s">
        <v>50</v>
      </c>
      <c r="D455" s="1">
        <v>9</v>
      </c>
      <c r="E455" s="1" t="s">
        <v>283</v>
      </c>
      <c r="F455" s="1" t="s">
        <v>111</v>
      </c>
      <c r="G455" s="1" t="s">
        <v>23</v>
      </c>
      <c r="H455" s="1" t="s">
        <v>53</v>
      </c>
      <c r="I455" s="1" t="s">
        <v>72</v>
      </c>
      <c r="J455" s="1">
        <v>4</v>
      </c>
      <c r="K455" s="1">
        <v>1436.28</v>
      </c>
      <c r="L455" s="1">
        <v>0.2</v>
      </c>
      <c r="M455" s="1">
        <v>5745.12</v>
      </c>
      <c r="N455" s="1">
        <v>1149.0239999999999</v>
      </c>
      <c r="O455" s="1">
        <v>4596.0959999999995</v>
      </c>
      <c r="P455" s="1">
        <v>2665.7356799999998</v>
      </c>
      <c r="Q455" s="1">
        <v>1930.36032</v>
      </c>
      <c r="R455" s="1">
        <v>42</v>
      </c>
      <c r="S455" s="1" t="s">
        <v>60</v>
      </c>
    </row>
    <row r="456" spans="1:19" x14ac:dyDescent="0.35">
      <c r="A456" s="1" t="s">
        <v>769</v>
      </c>
      <c r="B456" s="3">
        <v>45784</v>
      </c>
      <c r="C456" s="1" t="s">
        <v>97</v>
      </c>
      <c r="D456" s="1">
        <v>5</v>
      </c>
      <c r="E456" s="1" t="s">
        <v>231</v>
      </c>
      <c r="F456" s="1" t="s">
        <v>37</v>
      </c>
      <c r="G456" s="1" t="s">
        <v>23</v>
      </c>
      <c r="H456" s="1" t="s">
        <v>39</v>
      </c>
      <c r="I456" s="1" t="s">
        <v>87</v>
      </c>
      <c r="J456" s="1">
        <v>7</v>
      </c>
      <c r="K456" s="1">
        <v>20437.830000000002</v>
      </c>
      <c r="L456" s="1">
        <v>0.25</v>
      </c>
      <c r="M456" s="1">
        <v>143064.81</v>
      </c>
      <c r="N456" s="1">
        <v>35766.202499999999</v>
      </c>
      <c r="O456" s="1">
        <v>107298.6075</v>
      </c>
      <c r="P456" s="1">
        <v>83692.913849999997</v>
      </c>
      <c r="Q456" s="1">
        <v>23605.693650000001</v>
      </c>
      <c r="R456" s="1">
        <v>22</v>
      </c>
      <c r="S456" s="1" t="s">
        <v>33</v>
      </c>
    </row>
    <row r="457" spans="1:19" x14ac:dyDescent="0.35">
      <c r="A457" s="1" t="s">
        <v>770</v>
      </c>
      <c r="B457" s="3">
        <v>45862</v>
      </c>
      <c r="C457" s="1" t="s">
        <v>62</v>
      </c>
      <c r="D457" s="1">
        <v>7</v>
      </c>
      <c r="E457" s="1" t="s">
        <v>171</v>
      </c>
      <c r="F457" s="1" t="s">
        <v>30</v>
      </c>
      <c r="G457" s="1" t="s">
        <v>23</v>
      </c>
      <c r="H457" s="1" t="s">
        <v>39</v>
      </c>
      <c r="I457" s="1" t="s">
        <v>214</v>
      </c>
      <c r="J457" s="1">
        <v>6</v>
      </c>
      <c r="K457" s="1">
        <v>23126.1</v>
      </c>
      <c r="L457" s="1">
        <v>0.15</v>
      </c>
      <c r="M457" s="1">
        <v>138756.6</v>
      </c>
      <c r="N457" s="1">
        <v>20813.489999999991</v>
      </c>
      <c r="O457" s="1">
        <v>117943.11</v>
      </c>
      <c r="P457" s="1">
        <v>91995.625799999994</v>
      </c>
      <c r="Q457" s="1">
        <v>25947.484199999992</v>
      </c>
      <c r="R457" s="1">
        <v>21.999999999999989</v>
      </c>
      <c r="S457" s="1" t="s">
        <v>26</v>
      </c>
    </row>
    <row r="458" spans="1:19" x14ac:dyDescent="0.35">
      <c r="A458" s="1" t="s">
        <v>771</v>
      </c>
      <c r="B458" s="3">
        <v>45766</v>
      </c>
      <c r="C458" s="1" t="s">
        <v>20</v>
      </c>
      <c r="D458" s="1">
        <v>4</v>
      </c>
      <c r="E458" s="1" t="s">
        <v>250</v>
      </c>
      <c r="F458" s="1" t="s">
        <v>76</v>
      </c>
      <c r="G458" s="1" t="s">
        <v>64</v>
      </c>
      <c r="H458" s="1" t="s">
        <v>77</v>
      </c>
      <c r="I458" s="1" t="s">
        <v>78</v>
      </c>
      <c r="J458" s="1">
        <v>3</v>
      </c>
      <c r="K458" s="1">
        <v>323.87</v>
      </c>
      <c r="L458" s="1">
        <v>0.25</v>
      </c>
      <c r="M458" s="1">
        <v>971.61</v>
      </c>
      <c r="N458" s="1">
        <v>242.9025</v>
      </c>
      <c r="O458" s="1">
        <v>728.70749999999998</v>
      </c>
      <c r="P458" s="1">
        <v>524.6694</v>
      </c>
      <c r="Q458" s="1">
        <v>204.03809999999999</v>
      </c>
      <c r="R458" s="1">
        <v>28</v>
      </c>
      <c r="S458" s="1" t="s">
        <v>73</v>
      </c>
    </row>
    <row r="459" spans="1:19" x14ac:dyDescent="0.35">
      <c r="A459" s="1" t="s">
        <v>772</v>
      </c>
      <c r="B459" s="3">
        <v>45903</v>
      </c>
      <c r="C459" s="1" t="s">
        <v>50</v>
      </c>
      <c r="D459" s="1">
        <v>9</v>
      </c>
      <c r="E459" s="1" t="s">
        <v>169</v>
      </c>
      <c r="F459" s="1" t="s">
        <v>47</v>
      </c>
      <c r="G459" s="1" t="s">
        <v>64</v>
      </c>
      <c r="H459" s="1" t="s">
        <v>99</v>
      </c>
      <c r="I459" s="1" t="s">
        <v>145</v>
      </c>
      <c r="J459" s="1">
        <v>7</v>
      </c>
      <c r="K459" s="1">
        <v>15930.49</v>
      </c>
      <c r="L459" s="1">
        <v>0.3</v>
      </c>
      <c r="M459" s="1">
        <v>111513.43</v>
      </c>
      <c r="N459" s="1">
        <v>33454.028999999988</v>
      </c>
      <c r="O459" s="1">
        <v>78059.400999999998</v>
      </c>
      <c r="P459" s="1">
        <v>53080.392679999997</v>
      </c>
      <c r="Q459" s="1">
        <v>24979.00831999999</v>
      </c>
      <c r="R459" s="1">
        <v>32</v>
      </c>
      <c r="S459" s="1" t="s">
        <v>93</v>
      </c>
    </row>
    <row r="460" spans="1:19" x14ac:dyDescent="0.35">
      <c r="A460" s="1" t="s">
        <v>773</v>
      </c>
      <c r="B460" s="3">
        <v>45828</v>
      </c>
      <c r="C460" s="1" t="s">
        <v>82</v>
      </c>
      <c r="D460" s="1">
        <v>6</v>
      </c>
      <c r="E460" s="1" t="s">
        <v>774</v>
      </c>
      <c r="F460" s="1" t="s">
        <v>43</v>
      </c>
      <c r="G460" s="1" t="s">
        <v>23</v>
      </c>
      <c r="H460" s="1" t="s">
        <v>31</v>
      </c>
      <c r="I460" s="1" t="s">
        <v>59</v>
      </c>
      <c r="J460" s="1">
        <v>6</v>
      </c>
      <c r="K460" s="1">
        <v>874.68</v>
      </c>
      <c r="L460" s="1">
        <v>0.1</v>
      </c>
      <c r="M460" s="1">
        <v>5248.08</v>
      </c>
      <c r="N460" s="1">
        <v>524.80799999999999</v>
      </c>
      <c r="O460" s="1">
        <v>4723.2719999999999</v>
      </c>
      <c r="P460" s="1">
        <v>2456.1014399999999</v>
      </c>
      <c r="Q460" s="1">
        <v>2267.17056</v>
      </c>
      <c r="R460" s="1">
        <v>48.000000000000007</v>
      </c>
      <c r="S460" s="1" t="s">
        <v>93</v>
      </c>
    </row>
    <row r="461" spans="1:19" x14ac:dyDescent="0.35">
      <c r="A461" s="1" t="s">
        <v>775</v>
      </c>
      <c r="B461" s="3">
        <v>45837</v>
      </c>
      <c r="C461" s="1" t="s">
        <v>82</v>
      </c>
      <c r="D461" s="1">
        <v>6</v>
      </c>
      <c r="E461" s="1" t="s">
        <v>220</v>
      </c>
      <c r="F461" s="1" t="s">
        <v>69</v>
      </c>
      <c r="G461" s="1" t="s">
        <v>38</v>
      </c>
      <c r="H461" s="1" t="s">
        <v>77</v>
      </c>
      <c r="I461" s="1" t="s">
        <v>201</v>
      </c>
      <c r="J461" s="1">
        <v>1</v>
      </c>
      <c r="K461" s="1">
        <v>1030.93</v>
      </c>
      <c r="L461" s="1">
        <v>0.25</v>
      </c>
      <c r="M461" s="1">
        <v>1030.93</v>
      </c>
      <c r="N461" s="1">
        <v>257.73250000000002</v>
      </c>
      <c r="O461" s="1">
        <v>773.19749999999999</v>
      </c>
      <c r="P461" s="1">
        <v>556.70219999999995</v>
      </c>
      <c r="Q461" s="1">
        <v>216.49529999999999</v>
      </c>
      <c r="R461" s="1">
        <v>28.000000000000011</v>
      </c>
      <c r="S461" s="1" t="s">
        <v>60</v>
      </c>
    </row>
    <row r="462" spans="1:19" x14ac:dyDescent="0.35">
      <c r="A462" s="1" t="s">
        <v>776</v>
      </c>
      <c r="B462" s="3">
        <v>45945</v>
      </c>
      <c r="C462" s="1" t="s">
        <v>35</v>
      </c>
      <c r="D462" s="1">
        <v>10</v>
      </c>
      <c r="E462" s="1" t="s">
        <v>777</v>
      </c>
      <c r="F462" s="1" t="s">
        <v>76</v>
      </c>
      <c r="G462" s="1" t="s">
        <v>38</v>
      </c>
      <c r="H462" s="1" t="s">
        <v>24</v>
      </c>
      <c r="I462" s="1" t="s">
        <v>44</v>
      </c>
      <c r="J462" s="1">
        <v>1</v>
      </c>
      <c r="K462" s="1">
        <v>4753.6000000000004</v>
      </c>
      <c r="L462" s="1">
        <v>0.25</v>
      </c>
      <c r="M462" s="1">
        <v>4753.6000000000004</v>
      </c>
      <c r="N462" s="1">
        <v>1188.4000000000001</v>
      </c>
      <c r="O462" s="1">
        <v>3565.2</v>
      </c>
      <c r="P462" s="1">
        <v>1960.86</v>
      </c>
      <c r="Q462" s="1">
        <v>1604.34</v>
      </c>
      <c r="R462" s="1">
        <v>44.999999999999993</v>
      </c>
      <c r="S462" s="1" t="s">
        <v>26</v>
      </c>
    </row>
    <row r="463" spans="1:19" x14ac:dyDescent="0.35">
      <c r="A463" s="1" t="s">
        <v>778</v>
      </c>
      <c r="B463" s="3">
        <v>45796</v>
      </c>
      <c r="C463" s="1" t="s">
        <v>97</v>
      </c>
      <c r="D463" s="1">
        <v>5</v>
      </c>
      <c r="E463" s="1" t="s">
        <v>648</v>
      </c>
      <c r="F463" s="1" t="s">
        <v>111</v>
      </c>
      <c r="G463" s="1" t="s">
        <v>64</v>
      </c>
      <c r="H463" s="1" t="s">
        <v>53</v>
      </c>
      <c r="I463" s="1" t="s">
        <v>54</v>
      </c>
      <c r="J463" s="1">
        <v>7</v>
      </c>
      <c r="K463" s="1">
        <v>1954.65</v>
      </c>
      <c r="L463" s="1">
        <v>0.05</v>
      </c>
      <c r="M463" s="1">
        <v>13682.55</v>
      </c>
      <c r="N463" s="1">
        <v>684.12750000000005</v>
      </c>
      <c r="O463" s="1">
        <v>12998.422500000001</v>
      </c>
      <c r="P463" s="1">
        <v>7539.0850499999997</v>
      </c>
      <c r="Q463" s="1">
        <v>5459.3374500000009</v>
      </c>
      <c r="R463" s="1">
        <v>42.000000000000007</v>
      </c>
      <c r="S463" s="1" t="s">
        <v>93</v>
      </c>
    </row>
    <row r="464" spans="1:19" x14ac:dyDescent="0.35">
      <c r="A464" s="1" t="s">
        <v>779</v>
      </c>
      <c r="B464" s="3">
        <v>45849</v>
      </c>
      <c r="C464" s="1" t="s">
        <v>62</v>
      </c>
      <c r="D464" s="1">
        <v>7</v>
      </c>
      <c r="E464" s="1" t="s">
        <v>68</v>
      </c>
      <c r="F464" s="1" t="s">
        <v>30</v>
      </c>
      <c r="G464" s="1" t="s">
        <v>64</v>
      </c>
      <c r="H464" s="1" t="s">
        <v>53</v>
      </c>
      <c r="I464" s="1" t="s">
        <v>123</v>
      </c>
      <c r="J464" s="1">
        <v>6</v>
      </c>
      <c r="K464" s="1">
        <v>310.12</v>
      </c>
      <c r="L464" s="1">
        <v>0.05</v>
      </c>
      <c r="M464" s="1">
        <v>1860.72</v>
      </c>
      <c r="N464" s="1">
        <v>93.036000000000001</v>
      </c>
      <c r="O464" s="1">
        <v>1767.684</v>
      </c>
      <c r="P464" s="1">
        <v>1025.2567200000001</v>
      </c>
      <c r="Q464" s="1">
        <v>742.42728000000011</v>
      </c>
      <c r="R464" s="1">
        <v>42.000000000000007</v>
      </c>
      <c r="S464" s="1" t="s">
        <v>26</v>
      </c>
    </row>
    <row r="465" spans="1:19" x14ac:dyDescent="0.35">
      <c r="A465" s="1" t="s">
        <v>780</v>
      </c>
      <c r="B465" s="3">
        <v>45720</v>
      </c>
      <c r="C465" s="1" t="s">
        <v>28</v>
      </c>
      <c r="D465" s="1">
        <v>3</v>
      </c>
      <c r="E465" s="1" t="s">
        <v>105</v>
      </c>
      <c r="F465" s="1" t="s">
        <v>30</v>
      </c>
      <c r="G465" s="1" t="s">
        <v>23</v>
      </c>
      <c r="H465" s="1" t="s">
        <v>53</v>
      </c>
      <c r="I465" s="1" t="s">
        <v>72</v>
      </c>
      <c r="J465" s="1">
        <v>7</v>
      </c>
      <c r="K465" s="1">
        <v>737.19</v>
      </c>
      <c r="L465" s="1">
        <v>0.15</v>
      </c>
      <c r="M465" s="1">
        <v>5160.33</v>
      </c>
      <c r="N465" s="1">
        <v>774.04949999999997</v>
      </c>
      <c r="O465" s="1">
        <v>4386.2804999999998</v>
      </c>
      <c r="P465" s="1">
        <v>2544.0426900000002</v>
      </c>
      <c r="Q465" s="1">
        <v>1842.2378100000001</v>
      </c>
      <c r="R465" s="1">
        <v>42.000000000000007</v>
      </c>
      <c r="S465" s="1" t="s">
        <v>73</v>
      </c>
    </row>
    <row r="466" spans="1:19" x14ac:dyDescent="0.35">
      <c r="A466" s="1" t="s">
        <v>781</v>
      </c>
      <c r="B466" s="3">
        <v>45695</v>
      </c>
      <c r="C466" s="1" t="s">
        <v>42</v>
      </c>
      <c r="D466" s="1">
        <v>2</v>
      </c>
      <c r="E466" s="1" t="s">
        <v>782</v>
      </c>
      <c r="F466" s="1" t="s">
        <v>58</v>
      </c>
      <c r="G466" s="1" t="s">
        <v>23</v>
      </c>
      <c r="H466" s="1" t="s">
        <v>31</v>
      </c>
      <c r="I466" s="1" t="s">
        <v>65</v>
      </c>
      <c r="J466" s="1">
        <v>3</v>
      </c>
      <c r="K466" s="1">
        <v>1870.89</v>
      </c>
      <c r="L466" s="1">
        <v>0.1</v>
      </c>
      <c r="M466" s="1">
        <v>5612.67</v>
      </c>
      <c r="N466" s="1">
        <v>561.26700000000005</v>
      </c>
      <c r="O466" s="1">
        <v>5051.4030000000002</v>
      </c>
      <c r="P466" s="1">
        <v>2626.7295600000002</v>
      </c>
      <c r="Q466" s="1">
        <v>2424.67344</v>
      </c>
      <c r="R466" s="1">
        <v>48</v>
      </c>
      <c r="S466" s="1" t="s">
        <v>33</v>
      </c>
    </row>
    <row r="467" spans="1:19" x14ac:dyDescent="0.35">
      <c r="A467" s="1" t="s">
        <v>783</v>
      </c>
      <c r="B467" s="3">
        <v>45715</v>
      </c>
      <c r="C467" s="1" t="s">
        <v>42</v>
      </c>
      <c r="D467" s="1">
        <v>2</v>
      </c>
      <c r="E467" s="1" t="s">
        <v>540</v>
      </c>
      <c r="F467" s="1" t="s">
        <v>37</v>
      </c>
      <c r="G467" s="1" t="s">
        <v>38</v>
      </c>
      <c r="H467" s="1" t="s">
        <v>39</v>
      </c>
      <c r="I467" s="1" t="s">
        <v>40</v>
      </c>
      <c r="J467" s="1">
        <v>1</v>
      </c>
      <c r="K467" s="1">
        <v>27772.5</v>
      </c>
      <c r="L467" s="1">
        <v>0.1</v>
      </c>
      <c r="M467" s="1">
        <v>27772.5</v>
      </c>
      <c r="N467" s="1">
        <v>2777.25</v>
      </c>
      <c r="O467" s="1">
        <v>24995.25</v>
      </c>
      <c r="P467" s="1">
        <v>19496.294999999998</v>
      </c>
      <c r="Q467" s="1">
        <v>5498.9549999999981</v>
      </c>
      <c r="R467" s="1">
        <v>21.999999999999989</v>
      </c>
      <c r="S467" s="1" t="s">
        <v>33</v>
      </c>
    </row>
    <row r="468" spans="1:19" x14ac:dyDescent="0.35">
      <c r="A468" s="1" t="s">
        <v>784</v>
      </c>
      <c r="B468" s="3">
        <v>45867</v>
      </c>
      <c r="C468" s="1" t="s">
        <v>62</v>
      </c>
      <c r="D468" s="1">
        <v>7</v>
      </c>
      <c r="E468" s="1" t="s">
        <v>248</v>
      </c>
      <c r="F468" s="1" t="s">
        <v>30</v>
      </c>
      <c r="G468" s="1" t="s">
        <v>38</v>
      </c>
      <c r="H468" s="1" t="s">
        <v>39</v>
      </c>
      <c r="I468" s="1" t="s">
        <v>155</v>
      </c>
      <c r="J468" s="1">
        <v>7</v>
      </c>
      <c r="K468" s="1">
        <v>64136.21</v>
      </c>
      <c r="L468" s="1">
        <v>0.25</v>
      </c>
      <c r="M468" s="1">
        <v>448953.47</v>
      </c>
      <c r="N468" s="1">
        <v>112238.36749999999</v>
      </c>
      <c r="O468" s="1">
        <v>336715.10249999998</v>
      </c>
      <c r="P468" s="1">
        <v>262637.77995</v>
      </c>
      <c r="Q468" s="1">
        <v>74077.322549999983</v>
      </c>
      <c r="R468" s="1">
        <v>22</v>
      </c>
      <c r="S468" s="1" t="s">
        <v>60</v>
      </c>
    </row>
    <row r="469" spans="1:19" x14ac:dyDescent="0.35">
      <c r="A469" s="1" t="s">
        <v>785</v>
      </c>
      <c r="B469" s="3">
        <v>45947</v>
      </c>
      <c r="C469" s="1" t="s">
        <v>35</v>
      </c>
      <c r="D469" s="1">
        <v>10</v>
      </c>
      <c r="E469" s="1" t="s">
        <v>222</v>
      </c>
      <c r="F469" s="1" t="s">
        <v>37</v>
      </c>
      <c r="G469" s="1" t="s">
        <v>23</v>
      </c>
      <c r="H469" s="1" t="s">
        <v>53</v>
      </c>
      <c r="I469" s="1" t="s">
        <v>128</v>
      </c>
      <c r="J469" s="1">
        <v>2</v>
      </c>
      <c r="K469" s="1">
        <v>112.06</v>
      </c>
      <c r="L469" s="1">
        <v>0</v>
      </c>
      <c r="M469" s="1">
        <v>224.12</v>
      </c>
      <c r="N469" s="1">
        <v>0</v>
      </c>
      <c r="O469" s="1">
        <v>224.12</v>
      </c>
      <c r="P469" s="1">
        <v>129.9896</v>
      </c>
      <c r="Q469" s="1">
        <v>94.130400000000009</v>
      </c>
      <c r="R469" s="1">
        <v>42.000000000000007</v>
      </c>
      <c r="S469" s="1" t="s">
        <v>26</v>
      </c>
    </row>
    <row r="470" spans="1:19" x14ac:dyDescent="0.35">
      <c r="A470" s="1" t="s">
        <v>786</v>
      </c>
      <c r="B470" s="3">
        <v>45809</v>
      </c>
      <c r="C470" s="1" t="s">
        <v>82</v>
      </c>
      <c r="D470" s="1">
        <v>6</v>
      </c>
      <c r="E470" s="1" t="s">
        <v>354</v>
      </c>
      <c r="F470" s="1" t="s">
        <v>69</v>
      </c>
      <c r="G470" s="1" t="s">
        <v>64</v>
      </c>
      <c r="H470" s="1" t="s">
        <v>31</v>
      </c>
      <c r="I470" s="1" t="s">
        <v>65</v>
      </c>
      <c r="J470" s="1">
        <v>3</v>
      </c>
      <c r="K470" s="1">
        <v>2698.26</v>
      </c>
      <c r="L470" s="1">
        <v>0</v>
      </c>
      <c r="M470" s="1">
        <v>8094.7800000000007</v>
      </c>
      <c r="N470" s="1">
        <v>0</v>
      </c>
      <c r="O470" s="1">
        <v>8094.7800000000007</v>
      </c>
      <c r="P470" s="1">
        <v>4209.2856000000002</v>
      </c>
      <c r="Q470" s="1">
        <v>3885.4944</v>
      </c>
      <c r="R470" s="1">
        <v>48.000000000000007</v>
      </c>
      <c r="S470" s="1" t="s">
        <v>33</v>
      </c>
    </row>
    <row r="471" spans="1:19" x14ac:dyDescent="0.35">
      <c r="A471" s="1" t="s">
        <v>787</v>
      </c>
      <c r="B471" s="3">
        <v>45939</v>
      </c>
      <c r="C471" s="1" t="s">
        <v>35</v>
      </c>
      <c r="D471" s="1">
        <v>10</v>
      </c>
      <c r="E471" s="1" t="s">
        <v>788</v>
      </c>
      <c r="F471" s="1" t="s">
        <v>22</v>
      </c>
      <c r="G471" s="1" t="s">
        <v>38</v>
      </c>
      <c r="H471" s="1" t="s">
        <v>99</v>
      </c>
      <c r="I471" s="1" t="s">
        <v>223</v>
      </c>
      <c r="J471" s="1">
        <v>7</v>
      </c>
      <c r="K471" s="1">
        <v>22403.200000000001</v>
      </c>
      <c r="L471" s="1">
        <v>0.25</v>
      </c>
      <c r="M471" s="1">
        <v>156822.39999999999</v>
      </c>
      <c r="N471" s="1">
        <v>39205.599999999999</v>
      </c>
      <c r="O471" s="1">
        <v>117616.8</v>
      </c>
      <c r="P471" s="1">
        <v>79979.423999999999</v>
      </c>
      <c r="Q471" s="1">
        <v>37637.375999999989</v>
      </c>
      <c r="R471" s="1">
        <v>32</v>
      </c>
      <c r="S471" s="1" t="s">
        <v>60</v>
      </c>
    </row>
    <row r="472" spans="1:19" x14ac:dyDescent="0.35">
      <c r="A472" s="1" t="s">
        <v>789</v>
      </c>
      <c r="B472" s="3">
        <v>45723</v>
      </c>
      <c r="C472" s="1" t="s">
        <v>28</v>
      </c>
      <c r="D472" s="1">
        <v>3</v>
      </c>
      <c r="E472" s="1" t="s">
        <v>774</v>
      </c>
      <c r="F472" s="1" t="s">
        <v>52</v>
      </c>
      <c r="G472" s="1" t="s">
        <v>64</v>
      </c>
      <c r="H472" s="1" t="s">
        <v>77</v>
      </c>
      <c r="I472" s="1" t="s">
        <v>78</v>
      </c>
      <c r="J472" s="1">
        <v>3</v>
      </c>
      <c r="K472" s="1">
        <v>443.42</v>
      </c>
      <c r="L472" s="1">
        <v>0.1</v>
      </c>
      <c r="M472" s="1">
        <v>1330.26</v>
      </c>
      <c r="N472" s="1">
        <v>133.02600000000001</v>
      </c>
      <c r="O472" s="1">
        <v>1197.2339999999999</v>
      </c>
      <c r="P472" s="1">
        <v>862.00847999999996</v>
      </c>
      <c r="Q472" s="1">
        <v>335.22552000000002</v>
      </c>
      <c r="R472" s="1">
        <v>28</v>
      </c>
      <c r="S472" s="1" t="s">
        <v>60</v>
      </c>
    </row>
    <row r="473" spans="1:19" x14ac:dyDescent="0.35">
      <c r="A473" s="1" t="s">
        <v>790</v>
      </c>
      <c r="B473" s="3">
        <v>45951</v>
      </c>
      <c r="C473" s="1" t="s">
        <v>35</v>
      </c>
      <c r="D473" s="1">
        <v>10</v>
      </c>
      <c r="E473" s="1" t="s">
        <v>175</v>
      </c>
      <c r="F473" s="1" t="s">
        <v>111</v>
      </c>
      <c r="G473" s="1" t="s">
        <v>64</v>
      </c>
      <c r="H473" s="1" t="s">
        <v>31</v>
      </c>
      <c r="I473" s="1" t="s">
        <v>32</v>
      </c>
      <c r="J473" s="1">
        <v>7</v>
      </c>
      <c r="K473" s="1">
        <v>3334.67</v>
      </c>
      <c r="L473" s="1">
        <v>0.05</v>
      </c>
      <c r="M473" s="1">
        <v>23342.69</v>
      </c>
      <c r="N473" s="1">
        <v>1167.1344999999999</v>
      </c>
      <c r="O473" s="1">
        <v>22175.555499999999</v>
      </c>
      <c r="P473" s="1">
        <v>11531.288860000001</v>
      </c>
      <c r="Q473" s="1">
        <v>10644.26664</v>
      </c>
      <c r="R473" s="1">
        <v>47.999999999999993</v>
      </c>
      <c r="S473" s="1" t="s">
        <v>93</v>
      </c>
    </row>
    <row r="474" spans="1:19" x14ac:dyDescent="0.35">
      <c r="A474" s="1" t="s">
        <v>791</v>
      </c>
      <c r="B474" s="3">
        <v>45727</v>
      </c>
      <c r="C474" s="1" t="s">
        <v>28</v>
      </c>
      <c r="D474" s="1">
        <v>3</v>
      </c>
      <c r="E474" s="1" t="s">
        <v>641</v>
      </c>
      <c r="F474" s="1" t="s">
        <v>47</v>
      </c>
      <c r="G474" s="1" t="s">
        <v>64</v>
      </c>
      <c r="H474" s="1" t="s">
        <v>39</v>
      </c>
      <c r="I474" s="1" t="s">
        <v>234</v>
      </c>
      <c r="J474" s="1">
        <v>3</v>
      </c>
      <c r="K474" s="1">
        <v>27605.59</v>
      </c>
      <c r="L474" s="1">
        <v>0.15</v>
      </c>
      <c r="M474" s="1">
        <v>82816.77</v>
      </c>
      <c r="N474" s="1">
        <v>12422.5155</v>
      </c>
      <c r="O474" s="1">
        <v>70394.25450000001</v>
      </c>
      <c r="P474" s="1">
        <v>54907.518510000009</v>
      </c>
      <c r="Q474" s="1">
        <v>15486.735989999999</v>
      </c>
      <c r="R474" s="1">
        <v>22</v>
      </c>
      <c r="S474" s="1" t="s">
        <v>26</v>
      </c>
    </row>
    <row r="475" spans="1:19" x14ac:dyDescent="0.35">
      <c r="A475" s="1" t="s">
        <v>792</v>
      </c>
      <c r="B475" s="3">
        <v>45871</v>
      </c>
      <c r="C475" s="1" t="s">
        <v>113</v>
      </c>
      <c r="D475" s="1">
        <v>8</v>
      </c>
      <c r="E475" s="1" t="s">
        <v>767</v>
      </c>
      <c r="F475" s="1" t="s">
        <v>22</v>
      </c>
      <c r="G475" s="1" t="s">
        <v>38</v>
      </c>
      <c r="H475" s="1" t="s">
        <v>53</v>
      </c>
      <c r="I475" s="1" t="s">
        <v>123</v>
      </c>
      <c r="J475" s="1">
        <v>2</v>
      </c>
      <c r="K475" s="1">
        <v>1445.39</v>
      </c>
      <c r="L475" s="1">
        <v>0.25</v>
      </c>
      <c r="M475" s="1">
        <v>2890.78</v>
      </c>
      <c r="N475" s="1">
        <v>722.69500000000005</v>
      </c>
      <c r="O475" s="1">
        <v>2168.085</v>
      </c>
      <c r="P475" s="1">
        <v>1257.4893</v>
      </c>
      <c r="Q475" s="1">
        <v>910.59570000000008</v>
      </c>
      <c r="R475" s="1">
        <v>42.000000000000007</v>
      </c>
      <c r="S475" s="1" t="s">
        <v>93</v>
      </c>
    </row>
    <row r="476" spans="1:19" x14ac:dyDescent="0.35">
      <c r="A476" s="1" t="s">
        <v>793</v>
      </c>
      <c r="B476" s="3">
        <v>45894</v>
      </c>
      <c r="C476" s="1" t="s">
        <v>113</v>
      </c>
      <c r="D476" s="1">
        <v>8</v>
      </c>
      <c r="E476" s="1" t="s">
        <v>675</v>
      </c>
      <c r="F476" s="1" t="s">
        <v>43</v>
      </c>
      <c r="G476" s="1" t="s">
        <v>38</v>
      </c>
      <c r="H476" s="1" t="s">
        <v>31</v>
      </c>
      <c r="I476" s="1" t="s">
        <v>32</v>
      </c>
      <c r="J476" s="1">
        <v>7</v>
      </c>
      <c r="K476" s="1">
        <v>1393.09</v>
      </c>
      <c r="L476" s="1">
        <v>0</v>
      </c>
      <c r="M476" s="1">
        <v>9751.6299999999992</v>
      </c>
      <c r="N476" s="1">
        <v>0</v>
      </c>
      <c r="O476" s="1">
        <v>9751.6299999999992</v>
      </c>
      <c r="P476" s="1">
        <v>5070.8476000000001</v>
      </c>
      <c r="Q476" s="1">
        <v>4680.7823999999991</v>
      </c>
      <c r="R476" s="1">
        <v>47.999999999999993</v>
      </c>
      <c r="S476" s="1" t="s">
        <v>60</v>
      </c>
    </row>
    <row r="477" spans="1:19" x14ac:dyDescent="0.35">
      <c r="A477" s="1" t="s">
        <v>794</v>
      </c>
      <c r="B477" s="3">
        <v>46017</v>
      </c>
      <c r="C477" s="1" t="s">
        <v>67</v>
      </c>
      <c r="D477" s="1">
        <v>12</v>
      </c>
      <c r="E477" s="1" t="s">
        <v>165</v>
      </c>
      <c r="F477" s="1" t="s">
        <v>30</v>
      </c>
      <c r="G477" s="1" t="s">
        <v>38</v>
      </c>
      <c r="H477" s="1" t="s">
        <v>24</v>
      </c>
      <c r="I477" s="1" t="s">
        <v>139</v>
      </c>
      <c r="J477" s="1">
        <v>3</v>
      </c>
      <c r="K477" s="1">
        <v>4122.95</v>
      </c>
      <c r="L477" s="1">
        <v>0.1</v>
      </c>
      <c r="M477" s="1">
        <v>12368.85</v>
      </c>
      <c r="N477" s="1">
        <v>1236.885</v>
      </c>
      <c r="O477" s="1">
        <v>11131.965</v>
      </c>
      <c r="P477" s="1">
        <v>6122.5807499999992</v>
      </c>
      <c r="Q477" s="1">
        <v>5009.3842499999992</v>
      </c>
      <c r="R477" s="1">
        <v>45</v>
      </c>
      <c r="S477" s="1" t="s">
        <v>93</v>
      </c>
    </row>
    <row r="478" spans="1:19" x14ac:dyDescent="0.35">
      <c r="A478" s="1" t="s">
        <v>795</v>
      </c>
      <c r="B478" s="3">
        <v>45877</v>
      </c>
      <c r="C478" s="1" t="s">
        <v>113</v>
      </c>
      <c r="D478" s="1">
        <v>8</v>
      </c>
      <c r="E478" s="1" t="s">
        <v>796</v>
      </c>
      <c r="F478" s="1" t="s">
        <v>47</v>
      </c>
      <c r="G478" s="1" t="s">
        <v>38</v>
      </c>
      <c r="H478" s="1" t="s">
        <v>99</v>
      </c>
      <c r="I478" s="1" t="s">
        <v>108</v>
      </c>
      <c r="J478" s="1">
        <v>6</v>
      </c>
      <c r="K478" s="1">
        <v>8342.59</v>
      </c>
      <c r="L478" s="1">
        <v>0.3</v>
      </c>
      <c r="M478" s="1">
        <v>50055.54</v>
      </c>
      <c r="N478" s="1">
        <v>15016.662</v>
      </c>
      <c r="O478" s="1">
        <v>35038.877999999997</v>
      </c>
      <c r="P478" s="1">
        <v>23826.437040000001</v>
      </c>
      <c r="Q478" s="1">
        <v>11212.44096</v>
      </c>
      <c r="R478" s="1">
        <v>31.999999999999989</v>
      </c>
      <c r="S478" s="1" t="s">
        <v>60</v>
      </c>
    </row>
    <row r="479" spans="1:19" x14ac:dyDescent="0.35">
      <c r="A479" s="1" t="s">
        <v>797</v>
      </c>
      <c r="B479" s="3">
        <v>45733</v>
      </c>
      <c r="C479" s="1" t="s">
        <v>28</v>
      </c>
      <c r="D479" s="1">
        <v>3</v>
      </c>
      <c r="E479" s="1" t="s">
        <v>212</v>
      </c>
      <c r="F479" s="1" t="s">
        <v>37</v>
      </c>
      <c r="G479" s="1" t="s">
        <v>23</v>
      </c>
      <c r="H479" s="1" t="s">
        <v>39</v>
      </c>
      <c r="I479" s="1" t="s">
        <v>214</v>
      </c>
      <c r="J479" s="1">
        <v>7</v>
      </c>
      <c r="K479" s="1">
        <v>20440.810000000001</v>
      </c>
      <c r="L479" s="1">
        <v>0.3</v>
      </c>
      <c r="M479" s="1">
        <v>143085.67000000001</v>
      </c>
      <c r="N479" s="1">
        <v>42925.701000000001</v>
      </c>
      <c r="O479" s="1">
        <v>100159.969</v>
      </c>
      <c r="P479" s="1">
        <v>78124.77582000001</v>
      </c>
      <c r="Q479" s="1">
        <v>22035.193179999998</v>
      </c>
      <c r="R479" s="1">
        <v>22</v>
      </c>
      <c r="S479" s="1" t="s">
        <v>93</v>
      </c>
    </row>
    <row r="480" spans="1:19" x14ac:dyDescent="0.35">
      <c r="A480" s="1" t="s">
        <v>798</v>
      </c>
      <c r="B480" s="3">
        <v>45992</v>
      </c>
      <c r="C480" s="1" t="s">
        <v>67</v>
      </c>
      <c r="D480" s="1">
        <v>12</v>
      </c>
      <c r="E480" s="1" t="s">
        <v>194</v>
      </c>
      <c r="F480" s="1" t="s">
        <v>76</v>
      </c>
      <c r="G480" s="1" t="s">
        <v>64</v>
      </c>
      <c r="H480" s="1" t="s">
        <v>39</v>
      </c>
      <c r="I480" s="1" t="s">
        <v>214</v>
      </c>
      <c r="J480" s="1">
        <v>6</v>
      </c>
      <c r="K480" s="1">
        <v>35208.97</v>
      </c>
      <c r="L480" s="1">
        <v>0.1</v>
      </c>
      <c r="M480" s="1">
        <v>211253.82</v>
      </c>
      <c r="N480" s="1">
        <v>21125.382000000001</v>
      </c>
      <c r="O480" s="1">
        <v>190128.43799999999</v>
      </c>
      <c r="P480" s="1">
        <v>148300.18164</v>
      </c>
      <c r="Q480" s="1">
        <v>41828.256359999999</v>
      </c>
      <c r="R480" s="1">
        <v>22</v>
      </c>
      <c r="S480" s="1" t="s">
        <v>93</v>
      </c>
    </row>
    <row r="481" spans="1:19" x14ac:dyDescent="0.35">
      <c r="A481" s="1" t="s">
        <v>799</v>
      </c>
      <c r="B481" s="3">
        <v>45802</v>
      </c>
      <c r="C481" s="1" t="s">
        <v>97</v>
      </c>
      <c r="D481" s="1">
        <v>5</v>
      </c>
      <c r="E481" s="1" t="s">
        <v>346</v>
      </c>
      <c r="F481" s="1" t="s">
        <v>30</v>
      </c>
      <c r="G481" s="1" t="s">
        <v>64</v>
      </c>
      <c r="H481" s="1" t="s">
        <v>77</v>
      </c>
      <c r="I481" s="1" t="s">
        <v>78</v>
      </c>
      <c r="J481" s="1">
        <v>1</v>
      </c>
      <c r="K481" s="1">
        <v>462.08</v>
      </c>
      <c r="L481" s="1">
        <v>0.25</v>
      </c>
      <c r="M481" s="1">
        <v>462.08</v>
      </c>
      <c r="N481" s="1">
        <v>115.52</v>
      </c>
      <c r="O481" s="1">
        <v>346.56</v>
      </c>
      <c r="P481" s="1">
        <v>249.5232</v>
      </c>
      <c r="Q481" s="1">
        <v>97.036799999999999</v>
      </c>
      <c r="R481" s="1">
        <v>28</v>
      </c>
      <c r="S481" s="1" t="s">
        <v>26</v>
      </c>
    </row>
    <row r="482" spans="1:19" x14ac:dyDescent="0.35">
      <c r="A482" s="1" t="s">
        <v>800</v>
      </c>
      <c r="B482" s="3">
        <v>45926</v>
      </c>
      <c r="C482" s="1" t="s">
        <v>50</v>
      </c>
      <c r="D482" s="1">
        <v>9</v>
      </c>
      <c r="E482" s="1" t="s">
        <v>204</v>
      </c>
      <c r="F482" s="1" t="s">
        <v>111</v>
      </c>
      <c r="G482" s="1" t="s">
        <v>23</v>
      </c>
      <c r="H482" s="1" t="s">
        <v>39</v>
      </c>
      <c r="I482" s="1" t="s">
        <v>214</v>
      </c>
      <c r="J482" s="1">
        <v>7</v>
      </c>
      <c r="K482" s="1">
        <v>25287.3</v>
      </c>
      <c r="L482" s="1">
        <v>0.25</v>
      </c>
      <c r="M482" s="1">
        <v>177011.1</v>
      </c>
      <c r="N482" s="1">
        <v>44252.775000000001</v>
      </c>
      <c r="O482" s="1">
        <v>132758.32500000001</v>
      </c>
      <c r="P482" s="1">
        <v>103551.4935</v>
      </c>
      <c r="Q482" s="1">
        <v>29206.8315</v>
      </c>
      <c r="R482" s="1">
        <v>22</v>
      </c>
      <c r="S482" s="1" t="s">
        <v>60</v>
      </c>
    </row>
    <row r="483" spans="1:19" x14ac:dyDescent="0.35">
      <c r="A483" s="1" t="s">
        <v>801</v>
      </c>
      <c r="B483" s="3">
        <v>45874</v>
      </c>
      <c r="C483" s="1" t="s">
        <v>113</v>
      </c>
      <c r="D483" s="1">
        <v>8</v>
      </c>
      <c r="E483" s="1" t="s">
        <v>608</v>
      </c>
      <c r="F483" s="1" t="s">
        <v>47</v>
      </c>
      <c r="G483" s="1" t="s">
        <v>23</v>
      </c>
      <c r="H483" s="1" t="s">
        <v>99</v>
      </c>
      <c r="I483" s="1" t="s">
        <v>108</v>
      </c>
      <c r="J483" s="1">
        <v>2</v>
      </c>
      <c r="K483" s="1">
        <v>23584.95</v>
      </c>
      <c r="L483" s="1">
        <v>0.1</v>
      </c>
      <c r="M483" s="1">
        <v>47169.9</v>
      </c>
      <c r="N483" s="1">
        <v>4716.9900000000007</v>
      </c>
      <c r="O483" s="1">
        <v>42452.91</v>
      </c>
      <c r="P483" s="1">
        <v>28867.978800000001</v>
      </c>
      <c r="Q483" s="1">
        <v>13584.931200000001</v>
      </c>
      <c r="R483" s="1">
        <v>32</v>
      </c>
      <c r="S483" s="1" t="s">
        <v>60</v>
      </c>
    </row>
    <row r="484" spans="1:19" x14ac:dyDescent="0.35">
      <c r="A484" s="1" t="s">
        <v>802</v>
      </c>
      <c r="B484" s="3">
        <v>45906</v>
      </c>
      <c r="C484" s="1" t="s">
        <v>50</v>
      </c>
      <c r="D484" s="1">
        <v>9</v>
      </c>
      <c r="E484" s="1" t="s">
        <v>409</v>
      </c>
      <c r="F484" s="1" t="s">
        <v>69</v>
      </c>
      <c r="G484" s="1" t="s">
        <v>64</v>
      </c>
      <c r="H484" s="1" t="s">
        <v>77</v>
      </c>
      <c r="I484" s="1" t="s">
        <v>90</v>
      </c>
      <c r="J484" s="1">
        <v>6</v>
      </c>
      <c r="K484" s="1">
        <v>128.72</v>
      </c>
      <c r="L484" s="1">
        <v>0.1</v>
      </c>
      <c r="M484" s="1">
        <v>772.31999999999994</v>
      </c>
      <c r="N484" s="1">
        <v>77.231999999999999</v>
      </c>
      <c r="O484" s="1">
        <v>695.08799999999997</v>
      </c>
      <c r="P484" s="1">
        <v>500.46336000000002</v>
      </c>
      <c r="Q484" s="1">
        <v>194.62464</v>
      </c>
      <c r="R484" s="1">
        <v>28</v>
      </c>
      <c r="S484" s="1" t="s">
        <v>26</v>
      </c>
    </row>
    <row r="485" spans="1:19" x14ac:dyDescent="0.35">
      <c r="A485" s="1" t="s">
        <v>803</v>
      </c>
      <c r="B485" s="3">
        <v>45757</v>
      </c>
      <c r="C485" s="1" t="s">
        <v>20</v>
      </c>
      <c r="D485" s="1">
        <v>4</v>
      </c>
      <c r="E485" s="1" t="s">
        <v>196</v>
      </c>
      <c r="F485" s="1" t="s">
        <v>22</v>
      </c>
      <c r="G485" s="1" t="s">
        <v>38</v>
      </c>
      <c r="H485" s="1" t="s">
        <v>53</v>
      </c>
      <c r="I485" s="1" t="s">
        <v>54</v>
      </c>
      <c r="J485" s="1">
        <v>2</v>
      </c>
      <c r="K485" s="1">
        <v>2100.75</v>
      </c>
      <c r="L485" s="1">
        <v>0.2</v>
      </c>
      <c r="M485" s="1">
        <v>4201.5</v>
      </c>
      <c r="N485" s="1">
        <v>840.30000000000007</v>
      </c>
      <c r="O485" s="1">
        <v>3361.2</v>
      </c>
      <c r="P485" s="1">
        <v>1949.4960000000001</v>
      </c>
      <c r="Q485" s="1">
        <v>1411.704</v>
      </c>
      <c r="R485" s="1">
        <v>42</v>
      </c>
      <c r="S485" s="1" t="s">
        <v>60</v>
      </c>
    </row>
    <row r="486" spans="1:19" x14ac:dyDescent="0.35">
      <c r="A486" s="1" t="s">
        <v>804</v>
      </c>
      <c r="B486" s="3">
        <v>46012</v>
      </c>
      <c r="C486" s="1" t="s">
        <v>67</v>
      </c>
      <c r="D486" s="1">
        <v>12</v>
      </c>
      <c r="E486" s="1" t="s">
        <v>321</v>
      </c>
      <c r="F486" s="1" t="s">
        <v>58</v>
      </c>
      <c r="G486" s="1" t="s">
        <v>38</v>
      </c>
      <c r="H486" s="1" t="s">
        <v>24</v>
      </c>
      <c r="I486" s="1" t="s">
        <v>48</v>
      </c>
      <c r="J486" s="1">
        <v>5</v>
      </c>
      <c r="K486" s="1">
        <v>3424.14</v>
      </c>
      <c r="L486" s="1">
        <v>0.1</v>
      </c>
      <c r="M486" s="1">
        <v>17120.7</v>
      </c>
      <c r="N486" s="1">
        <v>1712.07</v>
      </c>
      <c r="O486" s="1">
        <v>15408.63</v>
      </c>
      <c r="P486" s="1">
        <v>8474.7465000000011</v>
      </c>
      <c r="Q486" s="1">
        <v>6933.8834999999999</v>
      </c>
      <c r="R486" s="1">
        <v>44.999999999999993</v>
      </c>
      <c r="S486" s="1" t="s">
        <v>33</v>
      </c>
    </row>
    <row r="487" spans="1:19" x14ac:dyDescent="0.35">
      <c r="A487" s="1" t="s">
        <v>805</v>
      </c>
      <c r="B487" s="3">
        <v>46003</v>
      </c>
      <c r="C487" s="1" t="s">
        <v>67</v>
      </c>
      <c r="D487" s="1">
        <v>12</v>
      </c>
      <c r="E487" s="1" t="s">
        <v>181</v>
      </c>
      <c r="F487" s="1" t="s">
        <v>30</v>
      </c>
      <c r="G487" s="1" t="s">
        <v>38</v>
      </c>
      <c r="H487" s="1" t="s">
        <v>24</v>
      </c>
      <c r="I487" s="1" t="s">
        <v>25</v>
      </c>
      <c r="J487" s="1">
        <v>5</v>
      </c>
      <c r="K487" s="1">
        <v>4405.63</v>
      </c>
      <c r="L487" s="1">
        <v>0</v>
      </c>
      <c r="M487" s="1">
        <v>22028.15</v>
      </c>
      <c r="N487" s="1">
        <v>0</v>
      </c>
      <c r="O487" s="1">
        <v>22028.15</v>
      </c>
      <c r="P487" s="1">
        <v>12115.4825</v>
      </c>
      <c r="Q487" s="1">
        <v>9912.6674999999996</v>
      </c>
      <c r="R487" s="1">
        <v>44.999999999999993</v>
      </c>
      <c r="S487" s="1" t="s">
        <v>60</v>
      </c>
    </row>
    <row r="488" spans="1:19" x14ac:dyDescent="0.35">
      <c r="A488" s="1" t="s">
        <v>806</v>
      </c>
      <c r="B488" s="3">
        <v>45702</v>
      </c>
      <c r="C488" s="1" t="s">
        <v>42</v>
      </c>
      <c r="D488" s="1">
        <v>2</v>
      </c>
      <c r="E488" s="1" t="s">
        <v>513</v>
      </c>
      <c r="F488" s="1" t="s">
        <v>43</v>
      </c>
      <c r="G488" s="1" t="s">
        <v>38</v>
      </c>
      <c r="H488" s="1" t="s">
        <v>99</v>
      </c>
      <c r="I488" s="1" t="s">
        <v>145</v>
      </c>
      <c r="J488" s="1">
        <v>7</v>
      </c>
      <c r="K488" s="1">
        <v>23521.84</v>
      </c>
      <c r="L488" s="1">
        <v>0.25</v>
      </c>
      <c r="M488" s="1">
        <v>164652.88</v>
      </c>
      <c r="N488" s="1">
        <v>41163.22</v>
      </c>
      <c r="O488" s="1">
        <v>123489.66</v>
      </c>
      <c r="P488" s="1">
        <v>83972.968800000002</v>
      </c>
      <c r="Q488" s="1">
        <v>39516.691200000001</v>
      </c>
      <c r="R488" s="1">
        <v>32</v>
      </c>
      <c r="S488" s="1" t="s">
        <v>73</v>
      </c>
    </row>
    <row r="489" spans="1:19" x14ac:dyDescent="0.35">
      <c r="A489" s="1" t="s">
        <v>807</v>
      </c>
      <c r="B489" s="3">
        <v>45854</v>
      </c>
      <c r="C489" s="1" t="s">
        <v>62</v>
      </c>
      <c r="D489" s="1">
        <v>7</v>
      </c>
      <c r="E489" s="1" t="s">
        <v>719</v>
      </c>
      <c r="F489" s="1" t="s">
        <v>22</v>
      </c>
      <c r="G489" s="1" t="s">
        <v>64</v>
      </c>
      <c r="H489" s="1" t="s">
        <v>31</v>
      </c>
      <c r="I489" s="1" t="s">
        <v>32</v>
      </c>
      <c r="J489" s="1">
        <v>5</v>
      </c>
      <c r="K489" s="1">
        <v>1514.15</v>
      </c>
      <c r="L489" s="1">
        <v>0.1</v>
      </c>
      <c r="M489" s="1">
        <v>7570.75</v>
      </c>
      <c r="N489" s="1">
        <v>757.07500000000005</v>
      </c>
      <c r="O489" s="1">
        <v>6813.6750000000002</v>
      </c>
      <c r="P489" s="1">
        <v>3543.1109999999999</v>
      </c>
      <c r="Q489" s="1">
        <v>3270.5639999999999</v>
      </c>
      <c r="R489" s="1">
        <v>48</v>
      </c>
      <c r="S489" s="1" t="s">
        <v>93</v>
      </c>
    </row>
    <row r="490" spans="1:19" x14ac:dyDescent="0.35">
      <c r="A490" s="1" t="s">
        <v>808</v>
      </c>
      <c r="B490" s="3">
        <v>45765</v>
      </c>
      <c r="C490" s="1" t="s">
        <v>20</v>
      </c>
      <c r="D490" s="1">
        <v>4</v>
      </c>
      <c r="E490" s="1" t="s">
        <v>564</v>
      </c>
      <c r="F490" s="1" t="s">
        <v>30</v>
      </c>
      <c r="G490" s="1" t="s">
        <v>23</v>
      </c>
      <c r="H490" s="1" t="s">
        <v>24</v>
      </c>
      <c r="I490" s="1" t="s">
        <v>117</v>
      </c>
      <c r="J490" s="1">
        <v>5</v>
      </c>
      <c r="K490" s="1">
        <v>5532.83</v>
      </c>
      <c r="L490" s="1">
        <v>0.05</v>
      </c>
      <c r="M490" s="1">
        <v>27664.15</v>
      </c>
      <c r="N490" s="1">
        <v>1383.2075</v>
      </c>
      <c r="O490" s="1">
        <v>26280.942500000001</v>
      </c>
      <c r="P490" s="1">
        <v>14454.518375</v>
      </c>
      <c r="Q490" s="1">
        <v>11826.424125</v>
      </c>
      <c r="R490" s="1">
        <v>44.999999999999993</v>
      </c>
      <c r="S490" s="1" t="s">
        <v>93</v>
      </c>
    </row>
    <row r="491" spans="1:19" x14ac:dyDescent="0.35">
      <c r="A491" s="1" t="s">
        <v>809</v>
      </c>
      <c r="B491" s="3">
        <v>45859</v>
      </c>
      <c r="C491" s="1" t="s">
        <v>62</v>
      </c>
      <c r="D491" s="1">
        <v>7</v>
      </c>
      <c r="E491" s="1" t="s">
        <v>265</v>
      </c>
      <c r="F491" s="1" t="s">
        <v>76</v>
      </c>
      <c r="G491" s="1" t="s">
        <v>38</v>
      </c>
      <c r="H491" s="1" t="s">
        <v>24</v>
      </c>
      <c r="I491" s="1" t="s">
        <v>48</v>
      </c>
      <c r="J491" s="1">
        <v>6</v>
      </c>
      <c r="K491" s="1">
        <v>2288.66</v>
      </c>
      <c r="L491" s="1">
        <v>0</v>
      </c>
      <c r="M491" s="1">
        <v>13731.96</v>
      </c>
      <c r="N491" s="1">
        <v>0</v>
      </c>
      <c r="O491" s="1">
        <v>13731.96</v>
      </c>
      <c r="P491" s="1">
        <v>7552.5780000000004</v>
      </c>
      <c r="Q491" s="1">
        <v>6179.3819999999987</v>
      </c>
      <c r="R491" s="1">
        <v>44.999999999999993</v>
      </c>
      <c r="S491" s="1" t="s">
        <v>60</v>
      </c>
    </row>
    <row r="492" spans="1:19" x14ac:dyDescent="0.35">
      <c r="A492" s="1" t="s">
        <v>810</v>
      </c>
      <c r="B492" s="3">
        <v>45954</v>
      </c>
      <c r="C492" s="1" t="s">
        <v>35</v>
      </c>
      <c r="D492" s="1">
        <v>10</v>
      </c>
      <c r="E492" s="1" t="s">
        <v>285</v>
      </c>
      <c r="F492" s="1" t="s">
        <v>52</v>
      </c>
      <c r="G492" s="1" t="s">
        <v>64</v>
      </c>
      <c r="H492" s="1" t="s">
        <v>53</v>
      </c>
      <c r="I492" s="1" t="s">
        <v>72</v>
      </c>
      <c r="J492" s="1">
        <v>5</v>
      </c>
      <c r="K492" s="1">
        <v>2157.2600000000002</v>
      </c>
      <c r="L492" s="1">
        <v>0.2</v>
      </c>
      <c r="M492" s="1">
        <v>10786.3</v>
      </c>
      <c r="N492" s="1">
        <v>2157.2600000000002</v>
      </c>
      <c r="O492" s="1">
        <v>8629.0400000000009</v>
      </c>
      <c r="P492" s="1">
        <v>5004.8432000000003</v>
      </c>
      <c r="Q492" s="1">
        <v>3624.1968000000011</v>
      </c>
      <c r="R492" s="1">
        <v>42.000000000000007</v>
      </c>
      <c r="S492" s="1" t="s">
        <v>26</v>
      </c>
    </row>
    <row r="493" spans="1:19" x14ac:dyDescent="0.35">
      <c r="A493" s="1" t="s">
        <v>811</v>
      </c>
      <c r="B493" s="3">
        <v>45908</v>
      </c>
      <c r="C493" s="1" t="s">
        <v>50</v>
      </c>
      <c r="D493" s="1">
        <v>9</v>
      </c>
      <c r="E493" s="1" t="s">
        <v>812</v>
      </c>
      <c r="F493" s="1" t="s">
        <v>76</v>
      </c>
      <c r="G493" s="1" t="s">
        <v>23</v>
      </c>
      <c r="H493" s="1" t="s">
        <v>99</v>
      </c>
      <c r="I493" s="1" t="s">
        <v>223</v>
      </c>
      <c r="J493" s="1">
        <v>3</v>
      </c>
      <c r="K493" s="1">
        <v>24946.51</v>
      </c>
      <c r="L493" s="1">
        <v>0.05</v>
      </c>
      <c r="M493" s="1">
        <v>74839.53</v>
      </c>
      <c r="N493" s="1">
        <v>3741.9765000000002</v>
      </c>
      <c r="O493" s="1">
        <v>71097.553499999995</v>
      </c>
      <c r="P493" s="1">
        <v>48346.336380000001</v>
      </c>
      <c r="Q493" s="1">
        <v>22751.21711999999</v>
      </c>
      <c r="R493" s="1">
        <v>32</v>
      </c>
      <c r="S493" s="1" t="s">
        <v>26</v>
      </c>
    </row>
    <row r="494" spans="1:19" x14ac:dyDescent="0.35">
      <c r="A494" s="1" t="s">
        <v>813</v>
      </c>
      <c r="B494" s="3">
        <v>45890</v>
      </c>
      <c r="C494" s="1" t="s">
        <v>113</v>
      </c>
      <c r="D494" s="1">
        <v>8</v>
      </c>
      <c r="E494" s="1" t="s">
        <v>405</v>
      </c>
      <c r="F494" s="1" t="s">
        <v>58</v>
      </c>
      <c r="G494" s="1" t="s">
        <v>38</v>
      </c>
      <c r="H494" s="1" t="s">
        <v>39</v>
      </c>
      <c r="I494" s="1" t="s">
        <v>87</v>
      </c>
      <c r="J494" s="1">
        <v>7</v>
      </c>
      <c r="K494" s="1">
        <v>11744.45</v>
      </c>
      <c r="L494" s="1">
        <v>0.25</v>
      </c>
      <c r="M494" s="1">
        <v>82211.150000000009</v>
      </c>
      <c r="N494" s="1">
        <v>20552.787499999999</v>
      </c>
      <c r="O494" s="1">
        <v>61658.362500000003</v>
      </c>
      <c r="P494" s="1">
        <v>48093.522749999996</v>
      </c>
      <c r="Q494" s="1">
        <v>13564.839749999999</v>
      </c>
      <c r="R494" s="1">
        <v>22</v>
      </c>
      <c r="S494" s="1" t="s">
        <v>33</v>
      </c>
    </row>
    <row r="495" spans="1:19" x14ac:dyDescent="0.35">
      <c r="A495" s="1" t="s">
        <v>814</v>
      </c>
      <c r="B495" s="3">
        <v>45894</v>
      </c>
      <c r="C495" s="1" t="s">
        <v>113</v>
      </c>
      <c r="D495" s="1">
        <v>8</v>
      </c>
      <c r="E495" s="1" t="s">
        <v>815</v>
      </c>
      <c r="F495" s="1" t="s">
        <v>22</v>
      </c>
      <c r="G495" s="1" t="s">
        <v>38</v>
      </c>
      <c r="H495" s="1" t="s">
        <v>39</v>
      </c>
      <c r="I495" s="1" t="s">
        <v>87</v>
      </c>
      <c r="J495" s="1">
        <v>2</v>
      </c>
      <c r="K495" s="1">
        <v>59183.98</v>
      </c>
      <c r="L495" s="1">
        <v>0</v>
      </c>
      <c r="M495" s="1">
        <v>118367.96</v>
      </c>
      <c r="N495" s="1">
        <v>0</v>
      </c>
      <c r="O495" s="1">
        <v>118367.96</v>
      </c>
      <c r="P495" s="1">
        <v>92327.008800000011</v>
      </c>
      <c r="Q495" s="1">
        <v>26040.9512</v>
      </c>
      <c r="R495" s="1">
        <v>21.999999999999989</v>
      </c>
      <c r="S495" s="1" t="s">
        <v>60</v>
      </c>
    </row>
    <row r="496" spans="1:19" x14ac:dyDescent="0.35">
      <c r="A496" s="1" t="s">
        <v>816</v>
      </c>
      <c r="B496" s="3">
        <v>45991</v>
      </c>
      <c r="C496" s="1" t="s">
        <v>56</v>
      </c>
      <c r="D496" s="1">
        <v>11</v>
      </c>
      <c r="E496" s="1" t="s">
        <v>817</v>
      </c>
      <c r="F496" s="1" t="s">
        <v>111</v>
      </c>
      <c r="G496" s="1" t="s">
        <v>64</v>
      </c>
      <c r="H496" s="1" t="s">
        <v>53</v>
      </c>
      <c r="I496" s="1" t="s">
        <v>123</v>
      </c>
      <c r="J496" s="1">
        <v>4</v>
      </c>
      <c r="K496" s="1">
        <v>905.5</v>
      </c>
      <c r="L496" s="1">
        <v>0</v>
      </c>
      <c r="M496" s="1">
        <v>3622</v>
      </c>
      <c r="N496" s="1">
        <v>0</v>
      </c>
      <c r="O496" s="1">
        <v>3622</v>
      </c>
      <c r="P496" s="1">
        <v>2100.7600000000002</v>
      </c>
      <c r="Q496" s="1">
        <v>1521.24</v>
      </c>
      <c r="R496" s="1">
        <v>42.000000000000007</v>
      </c>
      <c r="S496" s="1" t="s">
        <v>60</v>
      </c>
    </row>
    <row r="497" spans="1:19" x14ac:dyDescent="0.35">
      <c r="A497" s="1" t="s">
        <v>818</v>
      </c>
      <c r="B497" s="3">
        <v>45721</v>
      </c>
      <c r="C497" s="1" t="s">
        <v>28</v>
      </c>
      <c r="D497" s="1">
        <v>3</v>
      </c>
      <c r="E497" s="1" t="s">
        <v>150</v>
      </c>
      <c r="F497" s="1" t="s">
        <v>76</v>
      </c>
      <c r="G497" s="1" t="s">
        <v>38</v>
      </c>
      <c r="H497" s="1" t="s">
        <v>99</v>
      </c>
      <c r="I497" s="1" t="s">
        <v>145</v>
      </c>
      <c r="J497" s="1">
        <v>4</v>
      </c>
      <c r="K497" s="1">
        <v>3308.43</v>
      </c>
      <c r="L497" s="1">
        <v>0.25</v>
      </c>
      <c r="M497" s="1">
        <v>13233.72</v>
      </c>
      <c r="N497" s="1">
        <v>3308.43</v>
      </c>
      <c r="O497" s="1">
        <v>9925.2899999999991</v>
      </c>
      <c r="P497" s="1">
        <v>6749.1971999999996</v>
      </c>
      <c r="Q497" s="1">
        <v>3176.092799999999</v>
      </c>
      <c r="R497" s="1">
        <v>32</v>
      </c>
      <c r="S497" s="1" t="s">
        <v>26</v>
      </c>
    </row>
    <row r="498" spans="1:19" x14ac:dyDescent="0.35">
      <c r="A498" s="1" t="s">
        <v>819</v>
      </c>
      <c r="B498" s="3">
        <v>45844</v>
      </c>
      <c r="C498" s="1" t="s">
        <v>62</v>
      </c>
      <c r="D498" s="1">
        <v>7</v>
      </c>
      <c r="E498" s="1" t="s">
        <v>321</v>
      </c>
      <c r="F498" s="1" t="s">
        <v>37</v>
      </c>
      <c r="G498" s="1" t="s">
        <v>64</v>
      </c>
      <c r="H498" s="1" t="s">
        <v>99</v>
      </c>
      <c r="I498" s="1" t="s">
        <v>108</v>
      </c>
      <c r="J498" s="1">
        <v>6</v>
      </c>
      <c r="K498" s="1">
        <v>20086.349999999999</v>
      </c>
      <c r="L498" s="1">
        <v>0.1</v>
      </c>
      <c r="M498" s="1">
        <v>120518.1</v>
      </c>
      <c r="N498" s="1">
        <v>12051.81</v>
      </c>
      <c r="O498" s="1">
        <v>108466.29</v>
      </c>
      <c r="P498" s="1">
        <v>73757.0772</v>
      </c>
      <c r="Q498" s="1">
        <v>34709.212799999987</v>
      </c>
      <c r="R498" s="1">
        <v>32</v>
      </c>
      <c r="S498" s="1" t="s">
        <v>73</v>
      </c>
    </row>
    <row r="499" spans="1:19" x14ac:dyDescent="0.35">
      <c r="A499" s="1" t="s">
        <v>820</v>
      </c>
      <c r="B499" s="3">
        <v>45972</v>
      </c>
      <c r="C499" s="1" t="s">
        <v>56</v>
      </c>
      <c r="D499" s="1">
        <v>11</v>
      </c>
      <c r="E499" s="1" t="s">
        <v>821</v>
      </c>
      <c r="F499" s="1" t="s">
        <v>22</v>
      </c>
      <c r="G499" s="1" t="s">
        <v>23</v>
      </c>
      <c r="H499" s="1" t="s">
        <v>53</v>
      </c>
      <c r="I499" s="1" t="s">
        <v>72</v>
      </c>
      <c r="J499" s="1">
        <v>3</v>
      </c>
      <c r="K499" s="1">
        <v>1458.57</v>
      </c>
      <c r="L499" s="1">
        <v>0.2</v>
      </c>
      <c r="M499" s="1">
        <v>4375.71</v>
      </c>
      <c r="N499" s="1">
        <v>875.14200000000005</v>
      </c>
      <c r="O499" s="1">
        <v>3500.5680000000002</v>
      </c>
      <c r="P499" s="1">
        <v>2030.32944</v>
      </c>
      <c r="Q499" s="1">
        <v>1470.23856</v>
      </c>
      <c r="R499" s="1">
        <v>42.000000000000007</v>
      </c>
      <c r="S499" s="1" t="s">
        <v>33</v>
      </c>
    </row>
    <row r="500" spans="1:19" x14ac:dyDescent="0.35">
      <c r="A500" s="1" t="s">
        <v>822</v>
      </c>
      <c r="B500" s="3">
        <v>45798</v>
      </c>
      <c r="C500" s="1" t="s">
        <v>97</v>
      </c>
      <c r="D500" s="1">
        <v>5</v>
      </c>
      <c r="E500" s="1" t="s">
        <v>441</v>
      </c>
      <c r="F500" s="1" t="s">
        <v>111</v>
      </c>
      <c r="G500" s="1" t="s">
        <v>64</v>
      </c>
      <c r="H500" s="1" t="s">
        <v>77</v>
      </c>
      <c r="I500" s="1" t="s">
        <v>201</v>
      </c>
      <c r="J500" s="1">
        <v>3</v>
      </c>
      <c r="K500" s="1">
        <v>976.5</v>
      </c>
      <c r="L500" s="1">
        <v>0.05</v>
      </c>
      <c r="M500" s="1">
        <v>2929.5</v>
      </c>
      <c r="N500" s="1">
        <v>146.47499999999999</v>
      </c>
      <c r="O500" s="1">
        <v>2783.0250000000001</v>
      </c>
      <c r="P500" s="1">
        <v>2003.778</v>
      </c>
      <c r="Q500" s="1">
        <v>779.24700000000007</v>
      </c>
      <c r="R500" s="1">
        <v>28</v>
      </c>
      <c r="S500" s="1" t="s">
        <v>33</v>
      </c>
    </row>
    <row r="501" spans="1:19" x14ac:dyDescent="0.35">
      <c r="A501" s="1" t="s">
        <v>823</v>
      </c>
      <c r="B501" s="3">
        <v>45941</v>
      </c>
      <c r="C501" s="1" t="s">
        <v>35</v>
      </c>
      <c r="D501" s="1">
        <v>10</v>
      </c>
      <c r="E501" s="1" t="s">
        <v>107</v>
      </c>
      <c r="F501" s="1" t="s">
        <v>37</v>
      </c>
      <c r="G501" s="1" t="s">
        <v>38</v>
      </c>
      <c r="H501" s="1" t="s">
        <v>77</v>
      </c>
      <c r="I501" s="1" t="s">
        <v>78</v>
      </c>
      <c r="J501" s="1">
        <v>5</v>
      </c>
      <c r="K501" s="1">
        <v>770.43</v>
      </c>
      <c r="L501" s="1">
        <v>0.05</v>
      </c>
      <c r="M501" s="1">
        <v>3852.15</v>
      </c>
      <c r="N501" s="1">
        <v>192.60749999999999</v>
      </c>
      <c r="O501" s="1">
        <v>3659.5425</v>
      </c>
      <c r="P501" s="1">
        <v>2634.8706000000002</v>
      </c>
      <c r="Q501" s="1">
        <v>1024.6719000000001</v>
      </c>
      <c r="R501" s="1">
        <v>28</v>
      </c>
      <c r="S501" s="1" t="s">
        <v>33</v>
      </c>
    </row>
    <row r="502" spans="1:19" x14ac:dyDescent="0.35">
      <c r="A502" s="1" t="s">
        <v>824</v>
      </c>
      <c r="B502" s="3">
        <v>45781</v>
      </c>
      <c r="C502" s="1" t="s">
        <v>97</v>
      </c>
      <c r="D502" s="1">
        <v>5</v>
      </c>
      <c r="E502" s="1" t="s">
        <v>144</v>
      </c>
      <c r="F502" s="1" t="s">
        <v>37</v>
      </c>
      <c r="G502" s="1" t="s">
        <v>64</v>
      </c>
      <c r="H502" s="1" t="s">
        <v>31</v>
      </c>
      <c r="I502" s="1" t="s">
        <v>65</v>
      </c>
      <c r="J502" s="1">
        <v>5</v>
      </c>
      <c r="K502" s="1">
        <v>2600.85</v>
      </c>
      <c r="L502" s="1">
        <v>0.1</v>
      </c>
      <c r="M502" s="1">
        <v>13004.25</v>
      </c>
      <c r="N502" s="1">
        <v>1300.425</v>
      </c>
      <c r="O502" s="1">
        <v>11703.825000000001</v>
      </c>
      <c r="P502" s="1">
        <v>6085.9889999999996</v>
      </c>
      <c r="Q502" s="1">
        <v>5617.8360000000002</v>
      </c>
      <c r="R502" s="1">
        <v>48</v>
      </c>
      <c r="S502" s="1" t="s">
        <v>26</v>
      </c>
    </row>
    <row r="503" spans="1:19" x14ac:dyDescent="0.35">
      <c r="A503" s="1" t="s">
        <v>825</v>
      </c>
      <c r="B503" s="3">
        <v>45968</v>
      </c>
      <c r="C503" s="1" t="s">
        <v>56</v>
      </c>
      <c r="D503" s="1">
        <v>11</v>
      </c>
      <c r="E503" s="1" t="s">
        <v>303</v>
      </c>
      <c r="F503" s="1" t="s">
        <v>47</v>
      </c>
      <c r="G503" s="1" t="s">
        <v>23</v>
      </c>
      <c r="H503" s="1" t="s">
        <v>24</v>
      </c>
      <c r="I503" s="1" t="s">
        <v>44</v>
      </c>
      <c r="J503" s="1">
        <v>5</v>
      </c>
      <c r="K503" s="1">
        <v>1320.87</v>
      </c>
      <c r="L503" s="1">
        <v>0.05</v>
      </c>
      <c r="M503" s="1">
        <v>6604.3499999999995</v>
      </c>
      <c r="N503" s="1">
        <v>330.21749999999997</v>
      </c>
      <c r="O503" s="1">
        <v>6274.1324999999997</v>
      </c>
      <c r="P503" s="1">
        <v>3450.7728750000001</v>
      </c>
      <c r="Q503" s="1">
        <v>2823.3596250000001</v>
      </c>
      <c r="R503" s="1">
        <v>44.999999999999993</v>
      </c>
      <c r="S503" s="1" t="s">
        <v>93</v>
      </c>
    </row>
    <row r="504" spans="1:19" x14ac:dyDescent="0.35">
      <c r="A504" s="1" t="s">
        <v>826</v>
      </c>
      <c r="B504" s="3">
        <v>46013</v>
      </c>
      <c r="C504" s="1" t="s">
        <v>67</v>
      </c>
      <c r="D504" s="1">
        <v>12</v>
      </c>
      <c r="E504" s="1" t="s">
        <v>648</v>
      </c>
      <c r="F504" s="1" t="s">
        <v>58</v>
      </c>
      <c r="G504" s="1" t="s">
        <v>23</v>
      </c>
      <c r="H504" s="1" t="s">
        <v>77</v>
      </c>
      <c r="I504" s="1" t="s">
        <v>103</v>
      </c>
      <c r="J504" s="1">
        <v>5</v>
      </c>
      <c r="K504" s="1">
        <v>438.16</v>
      </c>
      <c r="L504" s="1">
        <v>0.2</v>
      </c>
      <c r="M504" s="1">
        <v>2190.8000000000002</v>
      </c>
      <c r="N504" s="1">
        <v>438.16000000000008</v>
      </c>
      <c r="O504" s="1">
        <v>1752.64</v>
      </c>
      <c r="P504" s="1">
        <v>1261.9007999999999</v>
      </c>
      <c r="Q504" s="1">
        <v>490.73919999999998</v>
      </c>
      <c r="R504" s="1">
        <v>28</v>
      </c>
      <c r="S504" s="1" t="s">
        <v>33</v>
      </c>
    </row>
    <row r="505" spans="1:19" x14ac:dyDescent="0.35">
      <c r="A505" s="1" t="s">
        <v>827</v>
      </c>
      <c r="B505" s="3">
        <v>45986</v>
      </c>
      <c r="C505" s="1" t="s">
        <v>56</v>
      </c>
      <c r="D505" s="1">
        <v>11</v>
      </c>
      <c r="E505" s="1" t="s">
        <v>828</v>
      </c>
      <c r="F505" s="1" t="s">
        <v>43</v>
      </c>
      <c r="G505" s="1" t="s">
        <v>23</v>
      </c>
      <c r="H505" s="1" t="s">
        <v>53</v>
      </c>
      <c r="I505" s="1" t="s">
        <v>54</v>
      </c>
      <c r="J505" s="1">
        <v>3</v>
      </c>
      <c r="K505" s="1">
        <v>1655.45</v>
      </c>
      <c r="L505" s="1">
        <v>0.25</v>
      </c>
      <c r="M505" s="1">
        <v>4966.3500000000004</v>
      </c>
      <c r="N505" s="1">
        <v>1241.5875000000001</v>
      </c>
      <c r="O505" s="1">
        <v>3724.7624999999998</v>
      </c>
      <c r="P505" s="1">
        <v>2160.3622500000001</v>
      </c>
      <c r="Q505" s="1">
        <v>1564.4002499999999</v>
      </c>
      <c r="R505" s="1">
        <v>42</v>
      </c>
      <c r="S505" s="1" t="s">
        <v>93</v>
      </c>
    </row>
    <row r="506" spans="1:19" x14ac:dyDescent="0.35">
      <c r="A506" s="1" t="s">
        <v>829</v>
      </c>
      <c r="B506" s="3">
        <v>46000</v>
      </c>
      <c r="C506" s="1" t="s">
        <v>67</v>
      </c>
      <c r="D506" s="1">
        <v>12</v>
      </c>
      <c r="E506" s="1" t="s">
        <v>830</v>
      </c>
      <c r="F506" s="1" t="s">
        <v>47</v>
      </c>
      <c r="G506" s="1" t="s">
        <v>64</v>
      </c>
      <c r="H506" s="1" t="s">
        <v>77</v>
      </c>
      <c r="I506" s="1" t="s">
        <v>201</v>
      </c>
      <c r="J506" s="1">
        <v>3</v>
      </c>
      <c r="K506" s="1">
        <v>464.55</v>
      </c>
      <c r="L506" s="1">
        <v>0.15</v>
      </c>
      <c r="M506" s="1">
        <v>1393.65</v>
      </c>
      <c r="N506" s="1">
        <v>209.04750000000001</v>
      </c>
      <c r="O506" s="1">
        <v>1184.6025</v>
      </c>
      <c r="P506" s="1">
        <v>852.91379999999992</v>
      </c>
      <c r="Q506" s="1">
        <v>331.68869999999998</v>
      </c>
      <c r="R506" s="1">
        <v>28</v>
      </c>
      <c r="S506" s="1" t="s">
        <v>60</v>
      </c>
    </row>
    <row r="507" spans="1:19" x14ac:dyDescent="0.35">
      <c r="A507" s="1" t="s">
        <v>831</v>
      </c>
      <c r="B507" s="3">
        <v>45763</v>
      </c>
      <c r="C507" s="1" t="s">
        <v>20</v>
      </c>
      <c r="D507" s="1">
        <v>4</v>
      </c>
      <c r="E507" s="1" t="s">
        <v>346</v>
      </c>
      <c r="F507" s="1" t="s">
        <v>43</v>
      </c>
      <c r="G507" s="1" t="s">
        <v>64</v>
      </c>
      <c r="H507" s="1" t="s">
        <v>24</v>
      </c>
      <c r="I507" s="1" t="s">
        <v>139</v>
      </c>
      <c r="J507" s="1">
        <v>3</v>
      </c>
      <c r="K507" s="1">
        <v>1429.84</v>
      </c>
      <c r="L507" s="1">
        <v>0.1</v>
      </c>
      <c r="M507" s="1">
        <v>4289.5200000000004</v>
      </c>
      <c r="N507" s="1">
        <v>428.952</v>
      </c>
      <c r="O507" s="1">
        <v>3860.5679999999988</v>
      </c>
      <c r="P507" s="1">
        <v>2123.3123999999998</v>
      </c>
      <c r="Q507" s="1">
        <v>1737.2556</v>
      </c>
      <c r="R507" s="1">
        <v>44.999999999999993</v>
      </c>
      <c r="S507" s="1" t="s">
        <v>26</v>
      </c>
    </row>
    <row r="508" spans="1:19" x14ac:dyDescent="0.35">
      <c r="A508" s="1" t="s">
        <v>832</v>
      </c>
      <c r="B508" s="3">
        <v>45752</v>
      </c>
      <c r="C508" s="1" t="s">
        <v>20</v>
      </c>
      <c r="D508" s="1">
        <v>4</v>
      </c>
      <c r="E508" s="1" t="s">
        <v>833</v>
      </c>
      <c r="F508" s="1" t="s">
        <v>30</v>
      </c>
      <c r="G508" s="1" t="s">
        <v>64</v>
      </c>
      <c r="H508" s="1" t="s">
        <v>31</v>
      </c>
      <c r="I508" s="1" t="s">
        <v>65</v>
      </c>
      <c r="J508" s="1">
        <v>2</v>
      </c>
      <c r="K508" s="1">
        <v>1633.39</v>
      </c>
      <c r="L508" s="1">
        <v>0.1</v>
      </c>
      <c r="M508" s="1">
        <v>3266.78</v>
      </c>
      <c r="N508" s="1">
        <v>326.67800000000011</v>
      </c>
      <c r="O508" s="1">
        <v>2940.1019999999999</v>
      </c>
      <c r="P508" s="1">
        <v>1528.85304</v>
      </c>
      <c r="Q508" s="1">
        <v>1411.2489599999999</v>
      </c>
      <c r="R508" s="1">
        <v>48</v>
      </c>
      <c r="S508" s="1" t="s">
        <v>26</v>
      </c>
    </row>
    <row r="509" spans="1:19" x14ac:dyDescent="0.35">
      <c r="A509" s="1" t="s">
        <v>834</v>
      </c>
      <c r="B509" s="3">
        <v>45745</v>
      </c>
      <c r="C509" s="1" t="s">
        <v>28</v>
      </c>
      <c r="D509" s="1">
        <v>3</v>
      </c>
      <c r="E509" s="1" t="s">
        <v>365</v>
      </c>
      <c r="F509" s="1" t="s">
        <v>76</v>
      </c>
      <c r="G509" s="1" t="s">
        <v>64</v>
      </c>
      <c r="H509" s="1" t="s">
        <v>39</v>
      </c>
      <c r="I509" s="1" t="s">
        <v>40</v>
      </c>
      <c r="J509" s="1">
        <v>3</v>
      </c>
      <c r="K509" s="1">
        <v>39702.870000000003</v>
      </c>
      <c r="L509" s="1">
        <v>0.2</v>
      </c>
      <c r="M509" s="1">
        <v>119108.61</v>
      </c>
      <c r="N509" s="1">
        <v>23821.722000000009</v>
      </c>
      <c r="O509" s="1">
        <v>95286.888000000006</v>
      </c>
      <c r="P509" s="1">
        <v>74323.77264000001</v>
      </c>
      <c r="Q509" s="1">
        <v>20963.11536</v>
      </c>
      <c r="R509" s="1">
        <v>21.999999999999989</v>
      </c>
      <c r="S509" s="1" t="s">
        <v>33</v>
      </c>
    </row>
    <row r="510" spans="1:19" x14ac:dyDescent="0.35">
      <c r="A510" s="1" t="s">
        <v>835</v>
      </c>
      <c r="B510" s="3">
        <v>45978</v>
      </c>
      <c r="C510" s="1" t="s">
        <v>56</v>
      </c>
      <c r="D510" s="1">
        <v>11</v>
      </c>
      <c r="E510" s="1" t="s">
        <v>291</v>
      </c>
      <c r="F510" s="1" t="s">
        <v>58</v>
      </c>
      <c r="G510" s="1" t="s">
        <v>38</v>
      </c>
      <c r="H510" s="1" t="s">
        <v>24</v>
      </c>
      <c r="I510" s="1" t="s">
        <v>44</v>
      </c>
      <c r="J510" s="1">
        <v>5</v>
      </c>
      <c r="K510" s="1">
        <v>4709.5</v>
      </c>
      <c r="L510" s="1">
        <v>0.05</v>
      </c>
      <c r="M510" s="1">
        <v>23547.5</v>
      </c>
      <c r="N510" s="1">
        <v>1177.375</v>
      </c>
      <c r="O510" s="1">
        <v>22370.125</v>
      </c>
      <c r="P510" s="1">
        <v>12303.56875</v>
      </c>
      <c r="Q510" s="1">
        <v>10066.55625</v>
      </c>
      <c r="R510" s="1">
        <v>45</v>
      </c>
      <c r="S510" s="1" t="s">
        <v>26</v>
      </c>
    </row>
    <row r="511" spans="1:19" x14ac:dyDescent="0.35">
      <c r="A511" s="1" t="s">
        <v>836</v>
      </c>
      <c r="B511" s="3">
        <v>45953</v>
      </c>
      <c r="C511" s="1" t="s">
        <v>35</v>
      </c>
      <c r="D511" s="1">
        <v>10</v>
      </c>
      <c r="E511" s="1" t="s">
        <v>334</v>
      </c>
      <c r="F511" s="1" t="s">
        <v>37</v>
      </c>
      <c r="G511" s="1" t="s">
        <v>38</v>
      </c>
      <c r="H511" s="1" t="s">
        <v>99</v>
      </c>
      <c r="I511" s="1" t="s">
        <v>223</v>
      </c>
      <c r="J511" s="1">
        <v>3</v>
      </c>
      <c r="K511" s="1">
        <v>24186.02</v>
      </c>
      <c r="L511" s="1">
        <v>0.05</v>
      </c>
      <c r="M511" s="1">
        <v>72558.06</v>
      </c>
      <c r="N511" s="1">
        <v>3627.9029999999998</v>
      </c>
      <c r="O511" s="1">
        <v>68930.156999999992</v>
      </c>
      <c r="P511" s="1">
        <v>46872.506759999997</v>
      </c>
      <c r="Q511" s="1">
        <v>22057.650239999999</v>
      </c>
      <c r="R511" s="1">
        <v>32</v>
      </c>
      <c r="S511" s="1" t="s">
        <v>73</v>
      </c>
    </row>
    <row r="512" spans="1:19" x14ac:dyDescent="0.35">
      <c r="A512" s="1" t="s">
        <v>837</v>
      </c>
      <c r="B512" s="3">
        <v>45962</v>
      </c>
      <c r="C512" s="1" t="s">
        <v>56</v>
      </c>
      <c r="D512" s="1">
        <v>11</v>
      </c>
      <c r="E512" s="1" t="s">
        <v>125</v>
      </c>
      <c r="F512" s="1" t="s">
        <v>43</v>
      </c>
      <c r="G512" s="1" t="s">
        <v>64</v>
      </c>
      <c r="H512" s="1" t="s">
        <v>99</v>
      </c>
      <c r="I512" s="1" t="s">
        <v>145</v>
      </c>
      <c r="J512" s="1">
        <v>4</v>
      </c>
      <c r="K512" s="1">
        <v>2530.29</v>
      </c>
      <c r="L512" s="1">
        <v>0.1</v>
      </c>
      <c r="M512" s="1">
        <v>10121.16</v>
      </c>
      <c r="N512" s="1">
        <v>1012.116</v>
      </c>
      <c r="O512" s="1">
        <v>9109.0439999999999</v>
      </c>
      <c r="P512" s="1">
        <v>6194.1499200000007</v>
      </c>
      <c r="Q512" s="1">
        <v>2914.8940799999991</v>
      </c>
      <c r="R512" s="1">
        <v>31.999999999999989</v>
      </c>
      <c r="S512" s="1" t="s">
        <v>33</v>
      </c>
    </row>
    <row r="513" spans="1:19" x14ac:dyDescent="0.35">
      <c r="A513" s="1" t="s">
        <v>838</v>
      </c>
      <c r="B513" s="3">
        <v>45955</v>
      </c>
      <c r="C513" s="1" t="s">
        <v>35</v>
      </c>
      <c r="D513" s="1">
        <v>10</v>
      </c>
      <c r="E513" s="1" t="s">
        <v>157</v>
      </c>
      <c r="F513" s="1" t="s">
        <v>52</v>
      </c>
      <c r="G513" s="1" t="s">
        <v>64</v>
      </c>
      <c r="H513" s="1" t="s">
        <v>39</v>
      </c>
      <c r="I513" s="1" t="s">
        <v>234</v>
      </c>
      <c r="J513" s="1">
        <v>5</v>
      </c>
      <c r="K513" s="1">
        <v>45685.02</v>
      </c>
      <c r="L513" s="1">
        <v>0.15</v>
      </c>
      <c r="M513" s="1">
        <v>228425.1</v>
      </c>
      <c r="N513" s="1">
        <v>34263.764999999992</v>
      </c>
      <c r="O513" s="1">
        <v>194161.33499999999</v>
      </c>
      <c r="P513" s="1">
        <v>151445.8413</v>
      </c>
      <c r="Q513" s="1">
        <v>42715.493699999992</v>
      </c>
      <c r="R513" s="1">
        <v>22</v>
      </c>
      <c r="S513" s="1" t="s">
        <v>73</v>
      </c>
    </row>
    <row r="514" spans="1:19" x14ac:dyDescent="0.35">
      <c r="A514" s="1" t="s">
        <v>839</v>
      </c>
      <c r="B514" s="3">
        <v>46020</v>
      </c>
      <c r="C514" s="1" t="s">
        <v>67</v>
      </c>
      <c r="D514" s="1">
        <v>12</v>
      </c>
      <c r="E514" s="1" t="s">
        <v>312</v>
      </c>
      <c r="F514" s="1" t="s">
        <v>47</v>
      </c>
      <c r="G514" s="1" t="s">
        <v>64</v>
      </c>
      <c r="H514" s="1" t="s">
        <v>53</v>
      </c>
      <c r="I514" s="1" t="s">
        <v>72</v>
      </c>
      <c r="J514" s="1">
        <v>1</v>
      </c>
      <c r="K514" s="1">
        <v>2492.58</v>
      </c>
      <c r="L514" s="1">
        <v>0.05</v>
      </c>
      <c r="M514" s="1">
        <v>2492.58</v>
      </c>
      <c r="N514" s="1">
        <v>124.629</v>
      </c>
      <c r="O514" s="1">
        <v>2367.951</v>
      </c>
      <c r="P514" s="1">
        <v>1373.41158</v>
      </c>
      <c r="Q514" s="1">
        <v>994.53942000000006</v>
      </c>
      <c r="R514" s="1">
        <v>42.000000000000007</v>
      </c>
      <c r="S514" s="1" t="s">
        <v>73</v>
      </c>
    </row>
    <row r="515" spans="1:19" x14ac:dyDescent="0.35">
      <c r="A515" s="1" t="s">
        <v>840</v>
      </c>
      <c r="B515" s="3">
        <v>45858</v>
      </c>
      <c r="C515" s="1" t="s">
        <v>62</v>
      </c>
      <c r="D515" s="1">
        <v>7</v>
      </c>
      <c r="E515" s="1" t="s">
        <v>841</v>
      </c>
      <c r="F515" s="1" t="s">
        <v>47</v>
      </c>
      <c r="G515" s="1" t="s">
        <v>64</v>
      </c>
      <c r="H515" s="1" t="s">
        <v>99</v>
      </c>
      <c r="I515" s="1" t="s">
        <v>100</v>
      </c>
      <c r="J515" s="1">
        <v>1</v>
      </c>
      <c r="K515" s="1">
        <v>8318.31</v>
      </c>
      <c r="L515" s="1">
        <v>0</v>
      </c>
      <c r="M515" s="1">
        <v>8318.31</v>
      </c>
      <c r="N515" s="1">
        <v>0</v>
      </c>
      <c r="O515" s="1">
        <v>8318.31</v>
      </c>
      <c r="P515" s="1">
        <v>5656.4507999999996</v>
      </c>
      <c r="Q515" s="1">
        <v>2661.8591999999999</v>
      </c>
      <c r="R515" s="1">
        <v>32</v>
      </c>
      <c r="S515" s="1" t="s">
        <v>33</v>
      </c>
    </row>
    <row r="516" spans="1:19" x14ac:dyDescent="0.35">
      <c r="A516" s="1" t="s">
        <v>842</v>
      </c>
      <c r="B516" s="3">
        <v>45821</v>
      </c>
      <c r="C516" s="1" t="s">
        <v>82</v>
      </c>
      <c r="D516" s="1">
        <v>6</v>
      </c>
      <c r="E516" s="1" t="s">
        <v>833</v>
      </c>
      <c r="F516" s="1" t="s">
        <v>111</v>
      </c>
      <c r="G516" s="1" t="s">
        <v>64</v>
      </c>
      <c r="H516" s="1" t="s">
        <v>77</v>
      </c>
      <c r="I516" s="1" t="s">
        <v>78</v>
      </c>
      <c r="J516" s="1">
        <v>3</v>
      </c>
      <c r="K516" s="1">
        <v>778.42</v>
      </c>
      <c r="L516" s="1">
        <v>0.2</v>
      </c>
      <c r="M516" s="1">
        <v>2335.2600000000002</v>
      </c>
      <c r="N516" s="1">
        <v>467.05200000000002</v>
      </c>
      <c r="O516" s="1">
        <v>1868.2080000000001</v>
      </c>
      <c r="P516" s="1">
        <v>1345.1097600000001</v>
      </c>
      <c r="Q516" s="1">
        <v>523.09824000000003</v>
      </c>
      <c r="R516" s="1">
        <v>28</v>
      </c>
      <c r="S516" s="1" t="s">
        <v>73</v>
      </c>
    </row>
    <row r="517" spans="1:19" x14ac:dyDescent="0.35">
      <c r="A517" s="1" t="s">
        <v>843</v>
      </c>
      <c r="B517" s="3">
        <v>45767</v>
      </c>
      <c r="C517" s="1" t="s">
        <v>20</v>
      </c>
      <c r="D517" s="1">
        <v>4</v>
      </c>
      <c r="E517" s="1" t="s">
        <v>844</v>
      </c>
      <c r="F517" s="1" t="s">
        <v>37</v>
      </c>
      <c r="G517" s="1" t="s">
        <v>23</v>
      </c>
      <c r="H517" s="1" t="s">
        <v>77</v>
      </c>
      <c r="I517" s="1" t="s">
        <v>103</v>
      </c>
      <c r="J517" s="1">
        <v>5</v>
      </c>
      <c r="K517" s="1">
        <v>741.05</v>
      </c>
      <c r="L517" s="1">
        <v>0.1</v>
      </c>
      <c r="M517" s="1">
        <v>3705.25</v>
      </c>
      <c r="N517" s="1">
        <v>370.52499999999998</v>
      </c>
      <c r="O517" s="1">
        <v>3334.7249999999999</v>
      </c>
      <c r="P517" s="1">
        <v>2401.002</v>
      </c>
      <c r="Q517" s="1">
        <v>933.72299999999996</v>
      </c>
      <c r="R517" s="1">
        <v>28</v>
      </c>
      <c r="S517" s="1" t="s">
        <v>93</v>
      </c>
    </row>
    <row r="518" spans="1:19" x14ac:dyDescent="0.35">
      <c r="A518" s="1" t="s">
        <v>845</v>
      </c>
      <c r="B518" s="3">
        <v>45679</v>
      </c>
      <c r="C518" s="1" t="s">
        <v>193</v>
      </c>
      <c r="D518" s="1">
        <v>1</v>
      </c>
      <c r="E518" s="1" t="s">
        <v>63</v>
      </c>
      <c r="F518" s="1" t="s">
        <v>76</v>
      </c>
      <c r="G518" s="1" t="s">
        <v>64</v>
      </c>
      <c r="H518" s="1" t="s">
        <v>77</v>
      </c>
      <c r="I518" s="1" t="s">
        <v>103</v>
      </c>
      <c r="J518" s="1">
        <v>7</v>
      </c>
      <c r="K518" s="1">
        <v>852.51</v>
      </c>
      <c r="L518" s="1">
        <v>0.25</v>
      </c>
      <c r="M518" s="1">
        <v>5967.57</v>
      </c>
      <c r="N518" s="1">
        <v>1491.8924999999999</v>
      </c>
      <c r="O518" s="1">
        <v>4475.6774999999998</v>
      </c>
      <c r="P518" s="1">
        <v>3222.4877999999999</v>
      </c>
      <c r="Q518" s="1">
        <v>1253.1896999999999</v>
      </c>
      <c r="R518" s="1">
        <v>28</v>
      </c>
      <c r="S518" s="1" t="s">
        <v>33</v>
      </c>
    </row>
    <row r="519" spans="1:19" x14ac:dyDescent="0.35">
      <c r="A519" s="1" t="s">
        <v>846</v>
      </c>
      <c r="B519" s="3">
        <v>45675</v>
      </c>
      <c r="C519" s="1" t="s">
        <v>193</v>
      </c>
      <c r="D519" s="1">
        <v>1</v>
      </c>
      <c r="E519" s="1" t="s">
        <v>696</v>
      </c>
      <c r="F519" s="1" t="s">
        <v>111</v>
      </c>
      <c r="G519" s="1" t="s">
        <v>64</v>
      </c>
      <c r="H519" s="1" t="s">
        <v>77</v>
      </c>
      <c r="I519" s="1" t="s">
        <v>90</v>
      </c>
      <c r="J519" s="1">
        <v>3</v>
      </c>
      <c r="K519" s="1">
        <v>341.68</v>
      </c>
      <c r="L519" s="1">
        <v>0.2</v>
      </c>
      <c r="M519" s="1">
        <v>1025.04</v>
      </c>
      <c r="N519" s="1">
        <v>205.00800000000001</v>
      </c>
      <c r="O519" s="1">
        <v>820.03199999999993</v>
      </c>
      <c r="P519" s="1">
        <v>590.4230399999999</v>
      </c>
      <c r="Q519" s="1">
        <v>229.60896</v>
      </c>
      <c r="R519" s="1">
        <v>28.000000000000011</v>
      </c>
      <c r="S519" s="1" t="s">
        <v>33</v>
      </c>
    </row>
    <row r="520" spans="1:19" x14ac:dyDescent="0.35">
      <c r="A520" s="1" t="s">
        <v>847</v>
      </c>
      <c r="B520" s="3">
        <v>45994</v>
      </c>
      <c r="C520" s="1" t="s">
        <v>67</v>
      </c>
      <c r="D520" s="1">
        <v>12</v>
      </c>
      <c r="E520" s="1" t="s">
        <v>207</v>
      </c>
      <c r="F520" s="1" t="s">
        <v>76</v>
      </c>
      <c r="G520" s="1" t="s">
        <v>64</v>
      </c>
      <c r="H520" s="1" t="s">
        <v>31</v>
      </c>
      <c r="I520" s="1" t="s">
        <v>59</v>
      </c>
      <c r="J520" s="1">
        <v>7</v>
      </c>
      <c r="K520" s="1">
        <v>2036.71</v>
      </c>
      <c r="L520" s="1">
        <v>0.1</v>
      </c>
      <c r="M520" s="1">
        <v>14256.97</v>
      </c>
      <c r="N520" s="1">
        <v>1425.6969999999999</v>
      </c>
      <c r="O520" s="1">
        <v>12831.272999999999</v>
      </c>
      <c r="P520" s="1">
        <v>6672.2619600000007</v>
      </c>
      <c r="Q520" s="1">
        <v>6159.0110400000003</v>
      </c>
      <c r="R520" s="1">
        <v>48</v>
      </c>
      <c r="S520" s="1" t="s">
        <v>73</v>
      </c>
    </row>
    <row r="521" spans="1:19" x14ac:dyDescent="0.35">
      <c r="A521" s="1" t="s">
        <v>848</v>
      </c>
      <c r="B521" s="3">
        <v>45918</v>
      </c>
      <c r="C521" s="1" t="s">
        <v>50</v>
      </c>
      <c r="D521" s="1">
        <v>9</v>
      </c>
      <c r="E521" s="1" t="s">
        <v>710</v>
      </c>
      <c r="F521" s="1" t="s">
        <v>76</v>
      </c>
      <c r="G521" s="1" t="s">
        <v>64</v>
      </c>
      <c r="H521" s="1" t="s">
        <v>31</v>
      </c>
      <c r="I521" s="1" t="s">
        <v>190</v>
      </c>
      <c r="J521" s="1">
        <v>3</v>
      </c>
      <c r="K521" s="1">
        <v>1526.69</v>
      </c>
      <c r="L521" s="1">
        <v>0.15</v>
      </c>
      <c r="M521" s="1">
        <v>4580.07</v>
      </c>
      <c r="N521" s="1">
        <v>687.01049999999998</v>
      </c>
      <c r="O521" s="1">
        <v>3893.0594999999998</v>
      </c>
      <c r="P521" s="1">
        <v>2024.39094</v>
      </c>
      <c r="Q521" s="1">
        <v>1868.6685600000001</v>
      </c>
      <c r="R521" s="1">
        <v>48</v>
      </c>
      <c r="S521" s="1" t="s">
        <v>60</v>
      </c>
    </row>
    <row r="522" spans="1:19" x14ac:dyDescent="0.35">
      <c r="A522" s="1" t="s">
        <v>849</v>
      </c>
      <c r="B522" s="3">
        <v>45740</v>
      </c>
      <c r="C522" s="1" t="s">
        <v>28</v>
      </c>
      <c r="D522" s="1">
        <v>3</v>
      </c>
      <c r="E522" s="1" t="s">
        <v>371</v>
      </c>
      <c r="F522" s="1" t="s">
        <v>58</v>
      </c>
      <c r="G522" s="1" t="s">
        <v>38</v>
      </c>
      <c r="H522" s="1" t="s">
        <v>77</v>
      </c>
      <c r="I522" s="1" t="s">
        <v>78</v>
      </c>
      <c r="J522" s="1">
        <v>6</v>
      </c>
      <c r="K522" s="1">
        <v>155.91</v>
      </c>
      <c r="L522" s="1">
        <v>0.2</v>
      </c>
      <c r="M522" s="1">
        <v>935.46</v>
      </c>
      <c r="N522" s="1">
        <v>187.09200000000001</v>
      </c>
      <c r="O522" s="1">
        <v>748.36800000000005</v>
      </c>
      <c r="P522" s="1">
        <v>538.82496000000003</v>
      </c>
      <c r="Q522" s="1">
        <v>209.54303999999999</v>
      </c>
      <c r="R522" s="1">
        <v>28</v>
      </c>
      <c r="S522" s="1" t="s">
        <v>60</v>
      </c>
    </row>
    <row r="523" spans="1:19" x14ac:dyDescent="0.35">
      <c r="A523" s="1" t="s">
        <v>850</v>
      </c>
      <c r="B523" s="3">
        <v>45942</v>
      </c>
      <c r="C523" s="1" t="s">
        <v>35</v>
      </c>
      <c r="D523" s="1">
        <v>10</v>
      </c>
      <c r="E523" s="1" t="s">
        <v>679</v>
      </c>
      <c r="F523" s="1" t="s">
        <v>43</v>
      </c>
      <c r="G523" s="1" t="s">
        <v>38</v>
      </c>
      <c r="H523" s="1" t="s">
        <v>77</v>
      </c>
      <c r="I523" s="1" t="s">
        <v>148</v>
      </c>
      <c r="J523" s="1">
        <v>7</v>
      </c>
      <c r="K523" s="1">
        <v>681.2</v>
      </c>
      <c r="L523" s="1">
        <v>0.1</v>
      </c>
      <c r="M523" s="1">
        <v>4768.4000000000005</v>
      </c>
      <c r="N523" s="1">
        <v>476.84000000000009</v>
      </c>
      <c r="O523" s="1">
        <v>4291.5600000000004</v>
      </c>
      <c r="P523" s="1">
        <v>3089.9232000000002</v>
      </c>
      <c r="Q523" s="1">
        <v>1201.6368</v>
      </c>
      <c r="R523" s="1">
        <v>28</v>
      </c>
      <c r="S523" s="1" t="s">
        <v>33</v>
      </c>
    </row>
    <row r="524" spans="1:19" x14ac:dyDescent="0.35">
      <c r="A524" s="1" t="s">
        <v>851</v>
      </c>
      <c r="B524" s="3">
        <v>46000</v>
      </c>
      <c r="C524" s="1" t="s">
        <v>67</v>
      </c>
      <c r="D524" s="1">
        <v>12</v>
      </c>
      <c r="E524" s="1" t="s">
        <v>95</v>
      </c>
      <c r="F524" s="1" t="s">
        <v>37</v>
      </c>
      <c r="G524" s="1" t="s">
        <v>38</v>
      </c>
      <c r="H524" s="1" t="s">
        <v>53</v>
      </c>
      <c r="I524" s="1" t="s">
        <v>72</v>
      </c>
      <c r="J524" s="1">
        <v>7</v>
      </c>
      <c r="K524" s="1">
        <v>2469.61</v>
      </c>
      <c r="L524" s="1">
        <v>0.1</v>
      </c>
      <c r="M524" s="1">
        <v>17287.27</v>
      </c>
      <c r="N524" s="1">
        <v>1728.7270000000001</v>
      </c>
      <c r="O524" s="1">
        <v>15558.543</v>
      </c>
      <c r="P524" s="1">
        <v>9023.9549399999996</v>
      </c>
      <c r="Q524" s="1">
        <v>6534.58806</v>
      </c>
      <c r="R524" s="1">
        <v>42</v>
      </c>
      <c r="S524" s="1" t="s">
        <v>26</v>
      </c>
    </row>
    <row r="525" spans="1:19" x14ac:dyDescent="0.35">
      <c r="A525" s="1" t="s">
        <v>852</v>
      </c>
      <c r="B525" s="3">
        <v>45850</v>
      </c>
      <c r="C525" s="1" t="s">
        <v>62</v>
      </c>
      <c r="D525" s="1">
        <v>7</v>
      </c>
      <c r="E525" s="1" t="s">
        <v>194</v>
      </c>
      <c r="F525" s="1" t="s">
        <v>69</v>
      </c>
      <c r="G525" s="1" t="s">
        <v>64</v>
      </c>
      <c r="H525" s="1" t="s">
        <v>99</v>
      </c>
      <c r="I525" s="1" t="s">
        <v>100</v>
      </c>
      <c r="J525" s="1">
        <v>5</v>
      </c>
      <c r="K525" s="1">
        <v>9379.24</v>
      </c>
      <c r="L525" s="1">
        <v>0.1</v>
      </c>
      <c r="M525" s="1">
        <v>46896.2</v>
      </c>
      <c r="N525" s="1">
        <v>4689.62</v>
      </c>
      <c r="O525" s="1">
        <v>42206.579999999987</v>
      </c>
      <c r="P525" s="1">
        <v>28700.474399999999</v>
      </c>
      <c r="Q525" s="1">
        <v>13506.105600000001</v>
      </c>
      <c r="R525" s="1">
        <v>32</v>
      </c>
      <c r="S525" s="1" t="s">
        <v>33</v>
      </c>
    </row>
    <row r="526" spans="1:19" x14ac:dyDescent="0.35">
      <c r="A526" s="1" t="s">
        <v>853</v>
      </c>
      <c r="B526" s="3">
        <v>45820</v>
      </c>
      <c r="C526" s="1" t="s">
        <v>82</v>
      </c>
      <c r="D526" s="1">
        <v>6</v>
      </c>
      <c r="E526" s="1" t="s">
        <v>448</v>
      </c>
      <c r="F526" s="1" t="s">
        <v>43</v>
      </c>
      <c r="G526" s="1" t="s">
        <v>38</v>
      </c>
      <c r="H526" s="1" t="s">
        <v>31</v>
      </c>
      <c r="I526" s="1" t="s">
        <v>59</v>
      </c>
      <c r="J526" s="1">
        <v>3</v>
      </c>
      <c r="K526" s="1">
        <v>594.54999999999995</v>
      </c>
      <c r="L526" s="1">
        <v>0.15</v>
      </c>
      <c r="M526" s="1">
        <v>1783.65</v>
      </c>
      <c r="N526" s="1">
        <v>267.54750000000001</v>
      </c>
      <c r="O526" s="1">
        <v>1516.1025</v>
      </c>
      <c r="P526" s="1">
        <v>788.37329999999997</v>
      </c>
      <c r="Q526" s="1">
        <v>727.72919999999999</v>
      </c>
      <c r="R526" s="1">
        <v>48</v>
      </c>
      <c r="S526" s="1" t="s">
        <v>26</v>
      </c>
    </row>
    <row r="527" spans="1:19" x14ac:dyDescent="0.35">
      <c r="A527" s="1" t="s">
        <v>854</v>
      </c>
      <c r="B527" s="3">
        <v>45932</v>
      </c>
      <c r="C527" s="1" t="s">
        <v>35</v>
      </c>
      <c r="D527" s="1">
        <v>10</v>
      </c>
      <c r="E527" s="1" t="s">
        <v>373</v>
      </c>
      <c r="F527" s="1" t="s">
        <v>43</v>
      </c>
      <c r="G527" s="1" t="s">
        <v>23</v>
      </c>
      <c r="H527" s="1" t="s">
        <v>77</v>
      </c>
      <c r="I527" s="1" t="s">
        <v>103</v>
      </c>
      <c r="J527" s="1">
        <v>3</v>
      </c>
      <c r="K527" s="1">
        <v>762.05</v>
      </c>
      <c r="L527" s="1">
        <v>0.05</v>
      </c>
      <c r="M527" s="1">
        <v>2286.15</v>
      </c>
      <c r="N527" s="1">
        <v>114.3075</v>
      </c>
      <c r="O527" s="1">
        <v>2171.8425000000002</v>
      </c>
      <c r="P527" s="1">
        <v>1563.7266</v>
      </c>
      <c r="Q527" s="1">
        <v>608.11590000000001</v>
      </c>
      <c r="R527" s="1">
        <v>28</v>
      </c>
      <c r="S527" s="1" t="s">
        <v>33</v>
      </c>
    </row>
    <row r="528" spans="1:19" x14ac:dyDescent="0.35">
      <c r="A528" s="1" t="s">
        <v>855</v>
      </c>
      <c r="B528" s="3">
        <v>45768</v>
      </c>
      <c r="C528" s="1" t="s">
        <v>20</v>
      </c>
      <c r="D528" s="1">
        <v>4</v>
      </c>
      <c r="E528" s="1" t="s">
        <v>767</v>
      </c>
      <c r="F528" s="1" t="s">
        <v>37</v>
      </c>
      <c r="G528" s="1" t="s">
        <v>23</v>
      </c>
      <c r="H528" s="1" t="s">
        <v>31</v>
      </c>
      <c r="I528" s="1" t="s">
        <v>190</v>
      </c>
      <c r="J528" s="1">
        <v>5</v>
      </c>
      <c r="K528" s="1">
        <v>3004.87</v>
      </c>
      <c r="L528" s="1">
        <v>0.05</v>
      </c>
      <c r="M528" s="1">
        <v>15024.35</v>
      </c>
      <c r="N528" s="1">
        <v>751.21749999999997</v>
      </c>
      <c r="O528" s="1">
        <v>14273.1325</v>
      </c>
      <c r="P528" s="1">
        <v>7422.0288999999993</v>
      </c>
      <c r="Q528" s="1">
        <v>6851.1035999999986</v>
      </c>
      <c r="R528" s="1">
        <v>48</v>
      </c>
      <c r="S528" s="1" t="s">
        <v>73</v>
      </c>
    </row>
    <row r="529" spans="1:19" x14ac:dyDescent="0.35">
      <c r="A529" s="1" t="s">
        <v>856</v>
      </c>
      <c r="B529" s="3">
        <v>45956</v>
      </c>
      <c r="C529" s="1" t="s">
        <v>35</v>
      </c>
      <c r="D529" s="1">
        <v>10</v>
      </c>
      <c r="E529" s="1" t="s">
        <v>102</v>
      </c>
      <c r="F529" s="1" t="s">
        <v>22</v>
      </c>
      <c r="G529" s="1" t="s">
        <v>38</v>
      </c>
      <c r="H529" s="1" t="s">
        <v>31</v>
      </c>
      <c r="I529" s="1" t="s">
        <v>59</v>
      </c>
      <c r="J529" s="1">
        <v>4</v>
      </c>
      <c r="K529" s="1">
        <v>2745.99</v>
      </c>
      <c r="L529" s="1">
        <v>0.15</v>
      </c>
      <c r="M529" s="1">
        <v>10983.96</v>
      </c>
      <c r="N529" s="1">
        <v>1647.5940000000001</v>
      </c>
      <c r="O529" s="1">
        <v>9336.366</v>
      </c>
      <c r="P529" s="1">
        <v>4854.91032</v>
      </c>
      <c r="Q529" s="1">
        <v>4481.45568</v>
      </c>
      <c r="R529" s="1">
        <v>48</v>
      </c>
      <c r="S529" s="1" t="s">
        <v>26</v>
      </c>
    </row>
    <row r="530" spans="1:19" x14ac:dyDescent="0.35">
      <c r="A530" s="1" t="s">
        <v>857</v>
      </c>
      <c r="B530" s="3">
        <v>45811</v>
      </c>
      <c r="C530" s="1" t="s">
        <v>82</v>
      </c>
      <c r="D530" s="1">
        <v>6</v>
      </c>
      <c r="E530" s="1" t="s">
        <v>144</v>
      </c>
      <c r="F530" s="1" t="s">
        <v>52</v>
      </c>
      <c r="G530" s="1" t="s">
        <v>23</v>
      </c>
      <c r="H530" s="1" t="s">
        <v>99</v>
      </c>
      <c r="I530" s="1" t="s">
        <v>108</v>
      </c>
      <c r="J530" s="1">
        <v>3</v>
      </c>
      <c r="K530" s="1">
        <v>23482.25</v>
      </c>
      <c r="L530" s="1">
        <v>0.1</v>
      </c>
      <c r="M530" s="1">
        <v>70446.75</v>
      </c>
      <c r="N530" s="1">
        <v>7044.6750000000002</v>
      </c>
      <c r="O530" s="1">
        <v>63402.074999999997</v>
      </c>
      <c r="P530" s="1">
        <v>43113.411</v>
      </c>
      <c r="Q530" s="1">
        <v>20288.664000000001</v>
      </c>
      <c r="R530" s="1">
        <v>32</v>
      </c>
      <c r="S530" s="1" t="s">
        <v>60</v>
      </c>
    </row>
    <row r="531" spans="1:19" x14ac:dyDescent="0.35">
      <c r="A531" s="1" t="s">
        <v>858</v>
      </c>
      <c r="B531" s="3">
        <v>45877</v>
      </c>
      <c r="C531" s="1" t="s">
        <v>113</v>
      </c>
      <c r="D531" s="1">
        <v>8</v>
      </c>
      <c r="E531" s="1" t="s">
        <v>420</v>
      </c>
      <c r="F531" s="1" t="s">
        <v>22</v>
      </c>
      <c r="G531" s="1" t="s">
        <v>64</v>
      </c>
      <c r="H531" s="1" t="s">
        <v>39</v>
      </c>
      <c r="I531" s="1" t="s">
        <v>234</v>
      </c>
      <c r="J531" s="1">
        <v>3</v>
      </c>
      <c r="K531" s="1">
        <v>54165.69</v>
      </c>
      <c r="L531" s="1">
        <v>0.15</v>
      </c>
      <c r="M531" s="1">
        <v>162497.07</v>
      </c>
      <c r="N531" s="1">
        <v>24374.5605</v>
      </c>
      <c r="O531" s="1">
        <v>138122.50949999999</v>
      </c>
      <c r="P531" s="1">
        <v>107735.55740999999</v>
      </c>
      <c r="Q531" s="1">
        <v>30386.95209000001</v>
      </c>
      <c r="R531" s="1">
        <v>22</v>
      </c>
      <c r="S531" s="1" t="s">
        <v>60</v>
      </c>
    </row>
    <row r="532" spans="1:19" x14ac:dyDescent="0.35">
      <c r="A532" s="1" t="s">
        <v>859</v>
      </c>
      <c r="B532" s="3">
        <v>45811</v>
      </c>
      <c r="C532" s="1" t="s">
        <v>82</v>
      </c>
      <c r="D532" s="1">
        <v>6</v>
      </c>
      <c r="E532" s="1" t="s">
        <v>561</v>
      </c>
      <c r="F532" s="1" t="s">
        <v>111</v>
      </c>
      <c r="G532" s="1" t="s">
        <v>64</v>
      </c>
      <c r="H532" s="1" t="s">
        <v>77</v>
      </c>
      <c r="I532" s="1" t="s">
        <v>78</v>
      </c>
      <c r="J532" s="1">
        <v>6</v>
      </c>
      <c r="K532" s="1">
        <v>437.9</v>
      </c>
      <c r="L532" s="1">
        <v>0.25</v>
      </c>
      <c r="M532" s="1">
        <v>2627.4</v>
      </c>
      <c r="N532" s="1">
        <v>656.84999999999991</v>
      </c>
      <c r="O532" s="1">
        <v>1970.55</v>
      </c>
      <c r="P532" s="1">
        <v>1418.796</v>
      </c>
      <c r="Q532" s="1">
        <v>551.75399999999991</v>
      </c>
      <c r="R532" s="1">
        <v>28</v>
      </c>
      <c r="S532" s="1" t="s">
        <v>60</v>
      </c>
    </row>
    <row r="533" spans="1:19" x14ac:dyDescent="0.35">
      <c r="A533" s="1" t="s">
        <v>860</v>
      </c>
      <c r="B533" s="3">
        <v>45775</v>
      </c>
      <c r="C533" s="1" t="s">
        <v>20</v>
      </c>
      <c r="D533" s="1">
        <v>4</v>
      </c>
      <c r="E533" s="1" t="s">
        <v>227</v>
      </c>
      <c r="F533" s="1" t="s">
        <v>37</v>
      </c>
      <c r="G533" s="1" t="s">
        <v>38</v>
      </c>
      <c r="H533" s="1" t="s">
        <v>77</v>
      </c>
      <c r="I533" s="1" t="s">
        <v>103</v>
      </c>
      <c r="J533" s="1">
        <v>1</v>
      </c>
      <c r="K533" s="1">
        <v>1161.53</v>
      </c>
      <c r="L533" s="1">
        <v>0.15</v>
      </c>
      <c r="M533" s="1">
        <v>1161.53</v>
      </c>
      <c r="N533" s="1">
        <v>174.2295</v>
      </c>
      <c r="O533" s="1">
        <v>987.30049999999994</v>
      </c>
      <c r="P533" s="1">
        <v>710.85635999999988</v>
      </c>
      <c r="Q533" s="1">
        <v>276.44414000000012</v>
      </c>
      <c r="R533" s="1">
        <v>28.000000000000011</v>
      </c>
      <c r="S533" s="1" t="s">
        <v>60</v>
      </c>
    </row>
    <row r="534" spans="1:19" x14ac:dyDescent="0.35">
      <c r="A534" s="1" t="s">
        <v>861</v>
      </c>
      <c r="B534" s="3">
        <v>45872</v>
      </c>
      <c r="C534" s="1" t="s">
        <v>113</v>
      </c>
      <c r="D534" s="1">
        <v>8</v>
      </c>
      <c r="E534" s="1" t="s">
        <v>424</v>
      </c>
      <c r="F534" s="1" t="s">
        <v>43</v>
      </c>
      <c r="G534" s="1" t="s">
        <v>23</v>
      </c>
      <c r="H534" s="1" t="s">
        <v>31</v>
      </c>
      <c r="I534" s="1" t="s">
        <v>65</v>
      </c>
      <c r="J534" s="1">
        <v>7</v>
      </c>
      <c r="K534" s="1">
        <v>1249.3399999999999</v>
      </c>
      <c r="L534" s="1">
        <v>0.15</v>
      </c>
      <c r="M534" s="1">
        <v>8745.3799999999992</v>
      </c>
      <c r="N534" s="1">
        <v>1311.807</v>
      </c>
      <c r="O534" s="1">
        <v>7433.5729999999994</v>
      </c>
      <c r="P534" s="1">
        <v>3865.4579600000002</v>
      </c>
      <c r="Q534" s="1">
        <v>3568.1150400000001</v>
      </c>
      <c r="R534" s="1">
        <v>48</v>
      </c>
      <c r="S534" s="1" t="s">
        <v>26</v>
      </c>
    </row>
    <row r="535" spans="1:19" x14ac:dyDescent="0.35">
      <c r="A535" s="1" t="s">
        <v>862</v>
      </c>
      <c r="B535" s="3">
        <v>46010</v>
      </c>
      <c r="C535" s="1" t="s">
        <v>67</v>
      </c>
      <c r="D535" s="1">
        <v>12</v>
      </c>
      <c r="E535" s="1" t="s">
        <v>171</v>
      </c>
      <c r="F535" s="1" t="s">
        <v>69</v>
      </c>
      <c r="G535" s="1" t="s">
        <v>23</v>
      </c>
      <c r="H535" s="1" t="s">
        <v>24</v>
      </c>
      <c r="I535" s="1" t="s">
        <v>48</v>
      </c>
      <c r="J535" s="1">
        <v>6</v>
      </c>
      <c r="K535" s="1">
        <v>1390.58</v>
      </c>
      <c r="L535" s="1">
        <v>0.15</v>
      </c>
      <c r="M535" s="1">
        <v>8343.48</v>
      </c>
      <c r="N535" s="1">
        <v>1251.5219999999999</v>
      </c>
      <c r="O535" s="1">
        <v>7091.9579999999996</v>
      </c>
      <c r="P535" s="1">
        <v>3900.5769</v>
      </c>
      <c r="Q535" s="1">
        <v>3191.3811000000001</v>
      </c>
      <c r="R535" s="1">
        <v>44.999999999999993</v>
      </c>
      <c r="S535" s="1" t="s">
        <v>93</v>
      </c>
    </row>
    <row r="536" spans="1:19" x14ac:dyDescent="0.35">
      <c r="A536" s="1" t="s">
        <v>863</v>
      </c>
      <c r="B536" s="3">
        <v>45830</v>
      </c>
      <c r="C536" s="1" t="s">
        <v>82</v>
      </c>
      <c r="D536" s="1">
        <v>6</v>
      </c>
      <c r="E536" s="1" t="s">
        <v>142</v>
      </c>
      <c r="F536" s="1" t="s">
        <v>111</v>
      </c>
      <c r="G536" s="1" t="s">
        <v>23</v>
      </c>
      <c r="H536" s="1" t="s">
        <v>77</v>
      </c>
      <c r="I536" s="1" t="s">
        <v>103</v>
      </c>
      <c r="J536" s="1">
        <v>1</v>
      </c>
      <c r="K536" s="1">
        <v>527.04999999999995</v>
      </c>
      <c r="L536" s="1">
        <v>0.1</v>
      </c>
      <c r="M536" s="1">
        <v>527.04999999999995</v>
      </c>
      <c r="N536" s="1">
        <v>52.704999999999998</v>
      </c>
      <c r="O536" s="1">
        <v>474.34500000000003</v>
      </c>
      <c r="P536" s="1">
        <v>341.52839999999998</v>
      </c>
      <c r="Q536" s="1">
        <v>132.81659999999999</v>
      </c>
      <c r="R536" s="1">
        <v>28</v>
      </c>
      <c r="S536" s="1" t="s">
        <v>73</v>
      </c>
    </row>
    <row r="537" spans="1:19" x14ac:dyDescent="0.35">
      <c r="A537" s="1" t="s">
        <v>864</v>
      </c>
      <c r="B537" s="3">
        <v>45977</v>
      </c>
      <c r="C537" s="1" t="s">
        <v>56</v>
      </c>
      <c r="D537" s="1">
        <v>11</v>
      </c>
      <c r="E537" s="1" t="s">
        <v>662</v>
      </c>
      <c r="F537" s="1" t="s">
        <v>37</v>
      </c>
      <c r="G537" s="1" t="s">
        <v>23</v>
      </c>
      <c r="H537" s="1" t="s">
        <v>39</v>
      </c>
      <c r="I537" s="1" t="s">
        <v>87</v>
      </c>
      <c r="J537" s="1">
        <v>2</v>
      </c>
      <c r="K537" s="1">
        <v>49638.07</v>
      </c>
      <c r="L537" s="1">
        <v>0.05</v>
      </c>
      <c r="M537" s="1">
        <v>99276.14</v>
      </c>
      <c r="N537" s="1">
        <v>4963.8070000000007</v>
      </c>
      <c r="O537" s="1">
        <v>94312.332999999999</v>
      </c>
      <c r="P537" s="1">
        <v>73563.619739999995</v>
      </c>
      <c r="Q537" s="1">
        <v>20748.71326</v>
      </c>
      <c r="R537" s="1">
        <v>22.000000000000011</v>
      </c>
      <c r="S537" s="1" t="s">
        <v>93</v>
      </c>
    </row>
    <row r="538" spans="1:19" x14ac:dyDescent="0.35">
      <c r="A538" s="1" t="s">
        <v>865</v>
      </c>
      <c r="B538" s="3">
        <v>45963</v>
      </c>
      <c r="C538" s="1" t="s">
        <v>56</v>
      </c>
      <c r="D538" s="1">
        <v>11</v>
      </c>
      <c r="E538" s="1" t="s">
        <v>373</v>
      </c>
      <c r="F538" s="1" t="s">
        <v>47</v>
      </c>
      <c r="G538" s="1" t="s">
        <v>64</v>
      </c>
      <c r="H538" s="1" t="s">
        <v>77</v>
      </c>
      <c r="I538" s="1" t="s">
        <v>103</v>
      </c>
      <c r="J538" s="1">
        <v>3</v>
      </c>
      <c r="K538" s="1">
        <v>438.8</v>
      </c>
      <c r="L538" s="1">
        <v>0.05</v>
      </c>
      <c r="M538" s="1">
        <v>1316.4</v>
      </c>
      <c r="N538" s="1">
        <v>65.820000000000007</v>
      </c>
      <c r="O538" s="1">
        <v>1250.58</v>
      </c>
      <c r="P538" s="1">
        <v>900.41760000000011</v>
      </c>
      <c r="Q538" s="1">
        <v>350.16239999999999</v>
      </c>
      <c r="R538" s="1">
        <v>28</v>
      </c>
      <c r="S538" s="1" t="s">
        <v>26</v>
      </c>
    </row>
    <row r="539" spans="1:19" x14ac:dyDescent="0.35">
      <c r="A539" s="1" t="s">
        <v>866</v>
      </c>
      <c r="B539" s="3">
        <v>45875</v>
      </c>
      <c r="C539" s="1" t="s">
        <v>113</v>
      </c>
      <c r="D539" s="1">
        <v>8</v>
      </c>
      <c r="E539" s="1" t="s">
        <v>867</v>
      </c>
      <c r="F539" s="1" t="s">
        <v>69</v>
      </c>
      <c r="G539" s="1" t="s">
        <v>64</v>
      </c>
      <c r="H539" s="1" t="s">
        <v>24</v>
      </c>
      <c r="I539" s="1" t="s">
        <v>25</v>
      </c>
      <c r="J539" s="1">
        <v>1</v>
      </c>
      <c r="K539" s="1">
        <v>730.8</v>
      </c>
      <c r="L539" s="1">
        <v>0.1</v>
      </c>
      <c r="M539" s="1">
        <v>730.8</v>
      </c>
      <c r="N539" s="1">
        <v>73.08</v>
      </c>
      <c r="O539" s="1">
        <v>657.71999999999991</v>
      </c>
      <c r="P539" s="1">
        <v>361.74599999999998</v>
      </c>
      <c r="Q539" s="1">
        <v>295.97399999999988</v>
      </c>
      <c r="R539" s="1">
        <v>44.999999999999993</v>
      </c>
      <c r="S539" s="1" t="s">
        <v>33</v>
      </c>
    </row>
    <row r="540" spans="1:19" x14ac:dyDescent="0.35">
      <c r="A540" s="1" t="s">
        <v>868</v>
      </c>
      <c r="B540" s="3">
        <v>45901</v>
      </c>
      <c r="C540" s="1" t="s">
        <v>50</v>
      </c>
      <c r="D540" s="1">
        <v>9</v>
      </c>
      <c r="E540" s="1" t="s">
        <v>564</v>
      </c>
      <c r="F540" s="1" t="s">
        <v>69</v>
      </c>
      <c r="G540" s="1" t="s">
        <v>38</v>
      </c>
      <c r="H540" s="1" t="s">
        <v>53</v>
      </c>
      <c r="I540" s="1" t="s">
        <v>128</v>
      </c>
      <c r="J540" s="1">
        <v>3</v>
      </c>
      <c r="K540" s="1">
        <v>1458.04</v>
      </c>
      <c r="L540" s="1">
        <v>0.25</v>
      </c>
      <c r="M540" s="1">
        <v>4374.12</v>
      </c>
      <c r="N540" s="1">
        <v>1093.53</v>
      </c>
      <c r="O540" s="1">
        <v>3280.59</v>
      </c>
      <c r="P540" s="1">
        <v>1902.7421999999999</v>
      </c>
      <c r="Q540" s="1">
        <v>1377.8478</v>
      </c>
      <c r="R540" s="1">
        <v>42.000000000000007</v>
      </c>
      <c r="S540" s="1" t="s">
        <v>26</v>
      </c>
    </row>
    <row r="541" spans="1:19" x14ac:dyDescent="0.35">
      <c r="A541" s="1" t="s">
        <v>869</v>
      </c>
      <c r="B541" s="3">
        <v>45688</v>
      </c>
      <c r="C541" s="1" t="s">
        <v>193</v>
      </c>
      <c r="D541" s="1">
        <v>1</v>
      </c>
      <c r="E541" s="1" t="s">
        <v>399</v>
      </c>
      <c r="F541" s="1" t="s">
        <v>43</v>
      </c>
      <c r="G541" s="1" t="s">
        <v>23</v>
      </c>
      <c r="H541" s="1" t="s">
        <v>24</v>
      </c>
      <c r="I541" s="1" t="s">
        <v>25</v>
      </c>
      <c r="J541" s="1">
        <v>5</v>
      </c>
      <c r="K541" s="1">
        <v>943.38</v>
      </c>
      <c r="L541" s="1">
        <v>0.25</v>
      </c>
      <c r="M541" s="1">
        <v>4716.8999999999996</v>
      </c>
      <c r="N541" s="1">
        <v>1179.2249999999999</v>
      </c>
      <c r="O541" s="1">
        <v>3537.6750000000002</v>
      </c>
      <c r="P541" s="1">
        <v>1945.7212500000001</v>
      </c>
      <c r="Q541" s="1">
        <v>1591.9537499999999</v>
      </c>
      <c r="R541" s="1">
        <v>44.999999999999993</v>
      </c>
      <c r="S541" s="1" t="s">
        <v>73</v>
      </c>
    </row>
    <row r="542" spans="1:19" x14ac:dyDescent="0.35">
      <c r="A542" s="1" t="s">
        <v>870</v>
      </c>
      <c r="B542" s="3">
        <v>45765</v>
      </c>
      <c r="C542" s="1" t="s">
        <v>20</v>
      </c>
      <c r="D542" s="1">
        <v>4</v>
      </c>
      <c r="E542" s="1" t="s">
        <v>283</v>
      </c>
      <c r="F542" s="1" t="s">
        <v>22</v>
      </c>
      <c r="G542" s="1" t="s">
        <v>64</v>
      </c>
      <c r="H542" s="1" t="s">
        <v>24</v>
      </c>
      <c r="I542" s="1" t="s">
        <v>117</v>
      </c>
      <c r="J542" s="1">
        <v>6</v>
      </c>
      <c r="K542" s="1">
        <v>2478.87</v>
      </c>
      <c r="L542" s="1">
        <v>0.1</v>
      </c>
      <c r="M542" s="1">
        <v>14873.22</v>
      </c>
      <c r="N542" s="1">
        <v>1487.3219999999999</v>
      </c>
      <c r="O542" s="1">
        <v>13385.897999999999</v>
      </c>
      <c r="P542" s="1">
        <v>7362.2439000000004</v>
      </c>
      <c r="Q542" s="1">
        <v>6023.6540999999988</v>
      </c>
      <c r="R542" s="1">
        <v>44.999999999999993</v>
      </c>
      <c r="S542" s="1" t="s">
        <v>73</v>
      </c>
    </row>
    <row r="543" spans="1:19" x14ac:dyDescent="0.35">
      <c r="A543" s="1" t="s">
        <v>871</v>
      </c>
      <c r="B543" s="3">
        <v>46003</v>
      </c>
      <c r="C543" s="1" t="s">
        <v>67</v>
      </c>
      <c r="D543" s="1">
        <v>12</v>
      </c>
      <c r="E543" s="1" t="s">
        <v>114</v>
      </c>
      <c r="F543" s="1" t="s">
        <v>52</v>
      </c>
      <c r="G543" s="1" t="s">
        <v>38</v>
      </c>
      <c r="H543" s="1" t="s">
        <v>99</v>
      </c>
      <c r="I543" s="1" t="s">
        <v>120</v>
      </c>
      <c r="J543" s="1">
        <v>5</v>
      </c>
      <c r="K543" s="1">
        <v>11368.06</v>
      </c>
      <c r="L543" s="1">
        <v>0.15</v>
      </c>
      <c r="M543" s="1">
        <v>56840.3</v>
      </c>
      <c r="N543" s="1">
        <v>8526.0449999999983</v>
      </c>
      <c r="O543" s="1">
        <v>48314.254999999997</v>
      </c>
      <c r="P543" s="1">
        <v>32853.693399999996</v>
      </c>
      <c r="Q543" s="1">
        <v>15460.56159999999</v>
      </c>
      <c r="R543" s="1">
        <v>31.999999999999989</v>
      </c>
      <c r="S543" s="1" t="s">
        <v>73</v>
      </c>
    </row>
    <row r="544" spans="1:19" x14ac:dyDescent="0.35">
      <c r="A544" s="1" t="s">
        <v>872</v>
      </c>
      <c r="B544" s="3">
        <v>45752</v>
      </c>
      <c r="C544" s="1" t="s">
        <v>20</v>
      </c>
      <c r="D544" s="1">
        <v>4</v>
      </c>
      <c r="E544" s="1" t="s">
        <v>250</v>
      </c>
      <c r="F544" s="1" t="s">
        <v>52</v>
      </c>
      <c r="G544" s="1" t="s">
        <v>23</v>
      </c>
      <c r="H544" s="1" t="s">
        <v>77</v>
      </c>
      <c r="I544" s="1" t="s">
        <v>90</v>
      </c>
      <c r="J544" s="1">
        <v>5</v>
      </c>
      <c r="K544" s="1">
        <v>62.07</v>
      </c>
      <c r="L544" s="1">
        <v>0.25</v>
      </c>
      <c r="M544" s="1">
        <v>310.35000000000002</v>
      </c>
      <c r="N544" s="1">
        <v>77.587500000000006</v>
      </c>
      <c r="O544" s="1">
        <v>232.76249999999999</v>
      </c>
      <c r="P544" s="1">
        <v>167.589</v>
      </c>
      <c r="Q544" s="1">
        <v>65.173500000000018</v>
      </c>
      <c r="R544" s="1">
        <v>28.000000000000011</v>
      </c>
      <c r="S544" s="1" t="s">
        <v>60</v>
      </c>
    </row>
    <row r="545" spans="1:19" x14ac:dyDescent="0.35">
      <c r="A545" s="1" t="s">
        <v>873</v>
      </c>
      <c r="B545" s="3">
        <v>45903</v>
      </c>
      <c r="C545" s="1" t="s">
        <v>50</v>
      </c>
      <c r="D545" s="1">
        <v>9</v>
      </c>
      <c r="E545" s="1" t="s">
        <v>538</v>
      </c>
      <c r="F545" s="1" t="s">
        <v>111</v>
      </c>
      <c r="G545" s="1" t="s">
        <v>38</v>
      </c>
      <c r="H545" s="1" t="s">
        <v>31</v>
      </c>
      <c r="I545" s="1" t="s">
        <v>32</v>
      </c>
      <c r="J545" s="1">
        <v>4</v>
      </c>
      <c r="K545" s="1">
        <v>2887.48</v>
      </c>
      <c r="L545" s="1">
        <v>0.05</v>
      </c>
      <c r="M545" s="1">
        <v>11549.92</v>
      </c>
      <c r="N545" s="1">
        <v>577.49599999999998</v>
      </c>
      <c r="O545" s="1">
        <v>10972.424000000001</v>
      </c>
      <c r="P545" s="1">
        <v>5705.6604799999996</v>
      </c>
      <c r="Q545" s="1">
        <v>5266.7635200000004</v>
      </c>
      <c r="R545" s="1">
        <v>48</v>
      </c>
      <c r="S545" s="1" t="s">
        <v>33</v>
      </c>
    </row>
    <row r="546" spans="1:19" x14ac:dyDescent="0.35">
      <c r="A546" s="1" t="s">
        <v>874</v>
      </c>
      <c r="B546" s="3">
        <v>45829</v>
      </c>
      <c r="C546" s="1" t="s">
        <v>82</v>
      </c>
      <c r="D546" s="1">
        <v>6</v>
      </c>
      <c r="E546" s="1" t="s">
        <v>875</v>
      </c>
      <c r="F546" s="1" t="s">
        <v>52</v>
      </c>
      <c r="G546" s="1" t="s">
        <v>64</v>
      </c>
      <c r="H546" s="1" t="s">
        <v>77</v>
      </c>
      <c r="I546" s="1" t="s">
        <v>201</v>
      </c>
      <c r="J546" s="1">
        <v>2</v>
      </c>
      <c r="K546" s="1">
        <v>739.38</v>
      </c>
      <c r="L546" s="1">
        <v>0.25</v>
      </c>
      <c r="M546" s="1">
        <v>1478.76</v>
      </c>
      <c r="N546" s="1">
        <v>369.69</v>
      </c>
      <c r="O546" s="1">
        <v>1109.07</v>
      </c>
      <c r="P546" s="1">
        <v>798.53039999999987</v>
      </c>
      <c r="Q546" s="1">
        <v>310.53960000000012</v>
      </c>
      <c r="R546" s="1">
        <v>28.000000000000011</v>
      </c>
      <c r="S546" s="1" t="s">
        <v>60</v>
      </c>
    </row>
    <row r="547" spans="1:19" x14ac:dyDescent="0.35">
      <c r="A547" s="1" t="s">
        <v>876</v>
      </c>
      <c r="B547" s="3">
        <v>46021</v>
      </c>
      <c r="C547" s="1" t="s">
        <v>67</v>
      </c>
      <c r="D547" s="1">
        <v>12</v>
      </c>
      <c r="E547" s="1" t="s">
        <v>263</v>
      </c>
      <c r="F547" s="1" t="s">
        <v>58</v>
      </c>
      <c r="G547" s="1" t="s">
        <v>64</v>
      </c>
      <c r="H547" s="1" t="s">
        <v>53</v>
      </c>
      <c r="I547" s="1" t="s">
        <v>54</v>
      </c>
      <c r="J547" s="1">
        <v>7</v>
      </c>
      <c r="K547" s="1">
        <v>2069.17</v>
      </c>
      <c r="L547" s="1">
        <v>0.2</v>
      </c>
      <c r="M547" s="1">
        <v>14484.19</v>
      </c>
      <c r="N547" s="1">
        <v>2896.8380000000002</v>
      </c>
      <c r="O547" s="1">
        <v>11587.352000000001</v>
      </c>
      <c r="P547" s="1">
        <v>6720.6641600000003</v>
      </c>
      <c r="Q547" s="1">
        <v>4866.6878400000014</v>
      </c>
      <c r="R547" s="1">
        <v>42.000000000000007</v>
      </c>
      <c r="S547" s="1" t="s">
        <v>93</v>
      </c>
    </row>
    <row r="548" spans="1:19" x14ac:dyDescent="0.35">
      <c r="A548" s="1" t="s">
        <v>877</v>
      </c>
      <c r="B548" s="3">
        <v>45679</v>
      </c>
      <c r="C548" s="1" t="s">
        <v>193</v>
      </c>
      <c r="D548" s="1">
        <v>1</v>
      </c>
      <c r="E548" s="1" t="s">
        <v>878</v>
      </c>
      <c r="F548" s="1" t="s">
        <v>111</v>
      </c>
      <c r="G548" s="1" t="s">
        <v>38</v>
      </c>
      <c r="H548" s="1" t="s">
        <v>99</v>
      </c>
      <c r="I548" s="1" t="s">
        <v>100</v>
      </c>
      <c r="J548" s="1">
        <v>4</v>
      </c>
      <c r="K548" s="1">
        <v>23546.01</v>
      </c>
      <c r="L548" s="1">
        <v>0.1</v>
      </c>
      <c r="M548" s="1">
        <v>94184.04</v>
      </c>
      <c r="N548" s="1">
        <v>9418.4040000000005</v>
      </c>
      <c r="O548" s="1">
        <v>84765.635999999999</v>
      </c>
      <c r="P548" s="1">
        <v>57640.63248</v>
      </c>
      <c r="Q548" s="1">
        <v>27125.003519999998</v>
      </c>
      <c r="R548" s="1">
        <v>32</v>
      </c>
      <c r="S548" s="1" t="s">
        <v>33</v>
      </c>
    </row>
    <row r="549" spans="1:19" x14ac:dyDescent="0.35">
      <c r="A549" s="1" t="s">
        <v>879</v>
      </c>
      <c r="B549" s="3">
        <v>45881</v>
      </c>
      <c r="C549" s="1" t="s">
        <v>113</v>
      </c>
      <c r="D549" s="1">
        <v>8</v>
      </c>
      <c r="E549" s="1" t="s">
        <v>880</v>
      </c>
      <c r="F549" s="1" t="s">
        <v>111</v>
      </c>
      <c r="G549" s="1" t="s">
        <v>38</v>
      </c>
      <c r="H549" s="1" t="s">
        <v>24</v>
      </c>
      <c r="I549" s="1" t="s">
        <v>139</v>
      </c>
      <c r="J549" s="1">
        <v>3</v>
      </c>
      <c r="K549" s="1">
        <v>3941.08</v>
      </c>
      <c r="L549" s="1">
        <v>0.15</v>
      </c>
      <c r="M549" s="1">
        <v>11823.24</v>
      </c>
      <c r="N549" s="1">
        <v>1773.4860000000001</v>
      </c>
      <c r="O549" s="1">
        <v>10049.754000000001</v>
      </c>
      <c r="P549" s="1">
        <v>5527.364700000001</v>
      </c>
      <c r="Q549" s="1">
        <v>4522.3892999999998</v>
      </c>
      <c r="R549" s="1">
        <v>44.999999999999993</v>
      </c>
      <c r="S549" s="1" t="s">
        <v>73</v>
      </c>
    </row>
    <row r="550" spans="1:19" x14ac:dyDescent="0.35">
      <c r="A550" s="1" t="s">
        <v>881</v>
      </c>
      <c r="B550" s="3">
        <v>45710</v>
      </c>
      <c r="C550" s="1" t="s">
        <v>42</v>
      </c>
      <c r="D550" s="1">
        <v>2</v>
      </c>
      <c r="E550" s="1" t="s">
        <v>259</v>
      </c>
      <c r="F550" s="1" t="s">
        <v>69</v>
      </c>
      <c r="G550" s="1" t="s">
        <v>38</v>
      </c>
      <c r="H550" s="1" t="s">
        <v>53</v>
      </c>
      <c r="I550" s="1" t="s">
        <v>54</v>
      </c>
      <c r="J550" s="1">
        <v>2</v>
      </c>
      <c r="K550" s="1">
        <v>1403.2</v>
      </c>
      <c r="L550" s="1">
        <v>0.1</v>
      </c>
      <c r="M550" s="1">
        <v>2806.4</v>
      </c>
      <c r="N550" s="1">
        <v>280.64</v>
      </c>
      <c r="O550" s="1">
        <v>2525.7600000000002</v>
      </c>
      <c r="P550" s="1">
        <v>1464.9408000000001</v>
      </c>
      <c r="Q550" s="1">
        <v>1060.8191999999999</v>
      </c>
      <c r="R550" s="1">
        <v>42.000000000000007</v>
      </c>
      <c r="S550" s="1" t="s">
        <v>33</v>
      </c>
    </row>
    <row r="551" spans="1:19" x14ac:dyDescent="0.35">
      <c r="A551" s="1" t="s">
        <v>882</v>
      </c>
      <c r="B551" s="3">
        <v>45686</v>
      </c>
      <c r="C551" s="1" t="s">
        <v>193</v>
      </c>
      <c r="D551" s="1">
        <v>1</v>
      </c>
      <c r="E551" s="1" t="s">
        <v>105</v>
      </c>
      <c r="F551" s="1" t="s">
        <v>69</v>
      </c>
      <c r="G551" s="1" t="s">
        <v>38</v>
      </c>
      <c r="H551" s="1" t="s">
        <v>53</v>
      </c>
      <c r="I551" s="1" t="s">
        <v>54</v>
      </c>
      <c r="J551" s="1">
        <v>6</v>
      </c>
      <c r="K551" s="1">
        <v>1024.25</v>
      </c>
      <c r="L551" s="1">
        <v>0.2</v>
      </c>
      <c r="M551" s="1">
        <v>6145.5</v>
      </c>
      <c r="N551" s="1">
        <v>1229.0999999999999</v>
      </c>
      <c r="O551" s="1">
        <v>4916.3999999999996</v>
      </c>
      <c r="P551" s="1">
        <v>2851.5120000000002</v>
      </c>
      <c r="Q551" s="1">
        <v>2064.8879999999999</v>
      </c>
      <c r="R551" s="1">
        <v>42.000000000000007</v>
      </c>
      <c r="S551" s="1" t="s">
        <v>33</v>
      </c>
    </row>
    <row r="552" spans="1:19" x14ac:dyDescent="0.35">
      <c r="A552" s="1" t="s">
        <v>883</v>
      </c>
      <c r="B552" s="3">
        <v>45832</v>
      </c>
      <c r="C552" s="1" t="s">
        <v>82</v>
      </c>
      <c r="D552" s="1">
        <v>6</v>
      </c>
      <c r="E552" s="1" t="s">
        <v>622</v>
      </c>
      <c r="F552" s="1" t="s">
        <v>69</v>
      </c>
      <c r="G552" s="1" t="s">
        <v>64</v>
      </c>
      <c r="H552" s="1" t="s">
        <v>24</v>
      </c>
      <c r="I552" s="1" t="s">
        <v>48</v>
      </c>
      <c r="J552" s="1">
        <v>3</v>
      </c>
      <c r="K552" s="1">
        <v>841.23</v>
      </c>
      <c r="L552" s="1">
        <v>0</v>
      </c>
      <c r="M552" s="1">
        <v>2523.69</v>
      </c>
      <c r="N552" s="1">
        <v>0</v>
      </c>
      <c r="O552" s="1">
        <v>2523.69</v>
      </c>
      <c r="P552" s="1">
        <v>1388.0295000000001</v>
      </c>
      <c r="Q552" s="1">
        <v>1135.6605</v>
      </c>
      <c r="R552" s="1">
        <v>44.999999999999993</v>
      </c>
      <c r="S552" s="1" t="s">
        <v>93</v>
      </c>
    </row>
    <row r="553" spans="1:19" x14ac:dyDescent="0.35">
      <c r="A553" s="1" t="s">
        <v>884</v>
      </c>
      <c r="B553" s="3">
        <v>45984</v>
      </c>
      <c r="C553" s="1" t="s">
        <v>56</v>
      </c>
      <c r="D553" s="1">
        <v>11</v>
      </c>
      <c r="E553" s="1" t="s">
        <v>220</v>
      </c>
      <c r="F553" s="1" t="s">
        <v>37</v>
      </c>
      <c r="G553" s="1" t="s">
        <v>38</v>
      </c>
      <c r="H553" s="1" t="s">
        <v>77</v>
      </c>
      <c r="I553" s="1" t="s">
        <v>148</v>
      </c>
      <c r="J553" s="1">
        <v>2</v>
      </c>
      <c r="K553" s="1">
        <v>263.07</v>
      </c>
      <c r="L553" s="1">
        <v>0.1</v>
      </c>
      <c r="M553" s="1">
        <v>526.14</v>
      </c>
      <c r="N553" s="1">
        <v>52.613999999999997</v>
      </c>
      <c r="O553" s="1">
        <v>473.52600000000001</v>
      </c>
      <c r="P553" s="1">
        <v>340.93871999999988</v>
      </c>
      <c r="Q553" s="1">
        <v>132.58727999999999</v>
      </c>
      <c r="R553" s="1">
        <v>28.000000000000011</v>
      </c>
      <c r="S553" s="1" t="s">
        <v>60</v>
      </c>
    </row>
    <row r="554" spans="1:19" x14ac:dyDescent="0.35">
      <c r="A554" s="1" t="s">
        <v>885</v>
      </c>
      <c r="B554" s="3">
        <v>45963</v>
      </c>
      <c r="C554" s="1" t="s">
        <v>56</v>
      </c>
      <c r="D554" s="1">
        <v>11</v>
      </c>
      <c r="E554" s="1" t="s">
        <v>886</v>
      </c>
      <c r="F554" s="1" t="s">
        <v>52</v>
      </c>
      <c r="G554" s="1" t="s">
        <v>38</v>
      </c>
      <c r="H554" s="1" t="s">
        <v>24</v>
      </c>
      <c r="I554" s="1" t="s">
        <v>139</v>
      </c>
      <c r="J554" s="1">
        <v>1</v>
      </c>
      <c r="K554" s="1">
        <v>1198.19</v>
      </c>
      <c r="L554" s="1">
        <v>0.05</v>
      </c>
      <c r="M554" s="1">
        <v>1198.19</v>
      </c>
      <c r="N554" s="1">
        <v>59.909500000000008</v>
      </c>
      <c r="O554" s="1">
        <v>1138.2805000000001</v>
      </c>
      <c r="P554" s="1">
        <v>626.05427500000008</v>
      </c>
      <c r="Q554" s="1">
        <v>512.226225</v>
      </c>
      <c r="R554" s="1">
        <v>44.999999999999993</v>
      </c>
      <c r="S554" s="1" t="s">
        <v>26</v>
      </c>
    </row>
    <row r="555" spans="1:19" x14ac:dyDescent="0.35">
      <c r="A555" s="1" t="s">
        <v>887</v>
      </c>
      <c r="B555" s="3">
        <v>45682</v>
      </c>
      <c r="C555" s="1" t="s">
        <v>193</v>
      </c>
      <c r="D555" s="1">
        <v>1</v>
      </c>
      <c r="E555" s="1" t="s">
        <v>564</v>
      </c>
      <c r="F555" s="1" t="s">
        <v>43</v>
      </c>
      <c r="G555" s="1" t="s">
        <v>38</v>
      </c>
      <c r="H555" s="1" t="s">
        <v>99</v>
      </c>
      <c r="I555" s="1" t="s">
        <v>100</v>
      </c>
      <c r="J555" s="1">
        <v>6</v>
      </c>
      <c r="K555" s="1">
        <v>11098.14</v>
      </c>
      <c r="L555" s="1">
        <v>0.15</v>
      </c>
      <c r="M555" s="1">
        <v>66588.84</v>
      </c>
      <c r="N555" s="1">
        <v>9988.3259999999991</v>
      </c>
      <c r="O555" s="1">
        <v>56600.514000000003</v>
      </c>
      <c r="P555" s="1">
        <v>38488.349520000003</v>
      </c>
      <c r="Q555" s="1">
        <v>18112.164479999989</v>
      </c>
      <c r="R555" s="1">
        <v>31.999999999999989</v>
      </c>
      <c r="S555" s="1" t="s">
        <v>60</v>
      </c>
    </row>
    <row r="556" spans="1:19" x14ac:dyDescent="0.35">
      <c r="A556" s="1" t="s">
        <v>888</v>
      </c>
      <c r="B556" s="3">
        <v>45889</v>
      </c>
      <c r="C556" s="1" t="s">
        <v>113</v>
      </c>
      <c r="D556" s="1">
        <v>8</v>
      </c>
      <c r="E556" s="1" t="s">
        <v>204</v>
      </c>
      <c r="F556" s="1" t="s">
        <v>30</v>
      </c>
      <c r="G556" s="1" t="s">
        <v>38</v>
      </c>
      <c r="H556" s="1" t="s">
        <v>24</v>
      </c>
      <c r="I556" s="1" t="s">
        <v>139</v>
      </c>
      <c r="J556" s="1">
        <v>4</v>
      </c>
      <c r="K556" s="1">
        <v>2344.54</v>
      </c>
      <c r="L556" s="1">
        <v>0.05</v>
      </c>
      <c r="M556" s="1">
        <v>9378.16</v>
      </c>
      <c r="N556" s="1">
        <v>468.90800000000002</v>
      </c>
      <c r="O556" s="1">
        <v>8909.2520000000004</v>
      </c>
      <c r="P556" s="1">
        <v>4900.088600000001</v>
      </c>
      <c r="Q556" s="1">
        <v>4009.163399999999</v>
      </c>
      <c r="R556" s="1">
        <v>44.999999999999993</v>
      </c>
      <c r="S556" s="1" t="s">
        <v>93</v>
      </c>
    </row>
    <row r="557" spans="1:19" x14ac:dyDescent="0.35">
      <c r="A557" s="1" t="s">
        <v>889</v>
      </c>
      <c r="B557" s="3">
        <v>45854</v>
      </c>
      <c r="C557" s="1" t="s">
        <v>62</v>
      </c>
      <c r="D557" s="1">
        <v>7</v>
      </c>
      <c r="E557" s="1" t="s">
        <v>389</v>
      </c>
      <c r="F557" s="1" t="s">
        <v>37</v>
      </c>
      <c r="G557" s="1" t="s">
        <v>38</v>
      </c>
      <c r="H557" s="1" t="s">
        <v>39</v>
      </c>
      <c r="I557" s="1" t="s">
        <v>155</v>
      </c>
      <c r="J557" s="1">
        <v>4</v>
      </c>
      <c r="K557" s="1">
        <v>18204.8</v>
      </c>
      <c r="L557" s="1">
        <v>0.2</v>
      </c>
      <c r="M557" s="1">
        <v>72819.199999999997</v>
      </c>
      <c r="N557" s="1">
        <v>14563.84</v>
      </c>
      <c r="O557" s="1">
        <v>58255.360000000001</v>
      </c>
      <c r="P557" s="1">
        <v>45439.180800000002</v>
      </c>
      <c r="Q557" s="1">
        <v>12816.1792</v>
      </c>
      <c r="R557" s="1">
        <v>22</v>
      </c>
      <c r="S557" s="1" t="s">
        <v>73</v>
      </c>
    </row>
    <row r="558" spans="1:19" x14ac:dyDescent="0.35">
      <c r="A558" s="1" t="s">
        <v>890</v>
      </c>
      <c r="B558" s="3">
        <v>45832</v>
      </c>
      <c r="C558" s="1" t="s">
        <v>82</v>
      </c>
      <c r="D558" s="1">
        <v>6</v>
      </c>
      <c r="E558" s="1" t="s">
        <v>646</v>
      </c>
      <c r="F558" s="1" t="s">
        <v>69</v>
      </c>
      <c r="G558" s="1" t="s">
        <v>38</v>
      </c>
      <c r="H558" s="1" t="s">
        <v>24</v>
      </c>
      <c r="I558" s="1" t="s">
        <v>139</v>
      </c>
      <c r="J558" s="1">
        <v>7</v>
      </c>
      <c r="K558" s="1">
        <v>2903.78</v>
      </c>
      <c r="L558" s="1">
        <v>0.15</v>
      </c>
      <c r="M558" s="1">
        <v>20326.46</v>
      </c>
      <c r="N558" s="1">
        <v>3048.969000000001</v>
      </c>
      <c r="O558" s="1">
        <v>17277.491000000002</v>
      </c>
      <c r="P558" s="1">
        <v>9502.6200500000014</v>
      </c>
      <c r="Q558" s="1">
        <v>7774.8709500000004</v>
      </c>
      <c r="R558" s="1">
        <v>44.999999999999993</v>
      </c>
      <c r="S558" s="1" t="s">
        <v>73</v>
      </c>
    </row>
    <row r="559" spans="1:19" x14ac:dyDescent="0.35">
      <c r="A559" s="1" t="s">
        <v>891</v>
      </c>
      <c r="B559" s="3">
        <v>45895</v>
      </c>
      <c r="C559" s="1" t="s">
        <v>113</v>
      </c>
      <c r="D559" s="1">
        <v>8</v>
      </c>
      <c r="E559" s="1" t="s">
        <v>301</v>
      </c>
      <c r="F559" s="1" t="s">
        <v>69</v>
      </c>
      <c r="G559" s="1" t="s">
        <v>38</v>
      </c>
      <c r="H559" s="1" t="s">
        <v>77</v>
      </c>
      <c r="I559" s="1" t="s">
        <v>90</v>
      </c>
      <c r="J559" s="1">
        <v>6</v>
      </c>
      <c r="K559" s="1">
        <v>889.78</v>
      </c>
      <c r="L559" s="1">
        <v>0.1</v>
      </c>
      <c r="M559" s="1">
        <v>5338.68</v>
      </c>
      <c r="N559" s="1">
        <v>533.86800000000005</v>
      </c>
      <c r="O559" s="1">
        <v>4804.8119999999999</v>
      </c>
      <c r="P559" s="1">
        <v>3459.4646400000001</v>
      </c>
      <c r="Q559" s="1">
        <v>1345.34736</v>
      </c>
      <c r="R559" s="1">
        <v>28</v>
      </c>
      <c r="S559" s="1" t="s">
        <v>73</v>
      </c>
    </row>
    <row r="560" spans="1:19" x14ac:dyDescent="0.35">
      <c r="A560" s="1" t="s">
        <v>892</v>
      </c>
      <c r="B560" s="3">
        <v>45733</v>
      </c>
      <c r="C560" s="1" t="s">
        <v>28</v>
      </c>
      <c r="D560" s="1">
        <v>3</v>
      </c>
      <c r="E560" s="1" t="s">
        <v>71</v>
      </c>
      <c r="F560" s="1" t="s">
        <v>58</v>
      </c>
      <c r="G560" s="1" t="s">
        <v>64</v>
      </c>
      <c r="H560" s="1" t="s">
        <v>24</v>
      </c>
      <c r="I560" s="1" t="s">
        <v>117</v>
      </c>
      <c r="J560" s="1">
        <v>4</v>
      </c>
      <c r="K560" s="1">
        <v>4523.59</v>
      </c>
      <c r="L560" s="1">
        <v>0.1</v>
      </c>
      <c r="M560" s="1">
        <v>18094.36</v>
      </c>
      <c r="N560" s="1">
        <v>1809.4359999999999</v>
      </c>
      <c r="O560" s="1">
        <v>16284.924000000001</v>
      </c>
      <c r="P560" s="1">
        <v>8956.7082000000009</v>
      </c>
      <c r="Q560" s="1">
        <v>7328.2157999999999</v>
      </c>
      <c r="R560" s="1">
        <v>44.999999999999993</v>
      </c>
      <c r="S560" s="1" t="s">
        <v>93</v>
      </c>
    </row>
    <row r="561" spans="1:19" x14ac:dyDescent="0.35">
      <c r="A561" s="1" t="s">
        <v>893</v>
      </c>
      <c r="B561" s="3">
        <v>45756</v>
      </c>
      <c r="C561" s="1" t="s">
        <v>20</v>
      </c>
      <c r="D561" s="1">
        <v>4</v>
      </c>
      <c r="E561" s="1" t="s">
        <v>894</v>
      </c>
      <c r="F561" s="1" t="s">
        <v>22</v>
      </c>
      <c r="G561" s="1" t="s">
        <v>23</v>
      </c>
      <c r="H561" s="1" t="s">
        <v>99</v>
      </c>
      <c r="I561" s="1" t="s">
        <v>108</v>
      </c>
      <c r="J561" s="1">
        <v>7</v>
      </c>
      <c r="K561" s="1">
        <v>11855.92</v>
      </c>
      <c r="L561" s="1">
        <v>0.1</v>
      </c>
      <c r="M561" s="1">
        <v>82991.44</v>
      </c>
      <c r="N561" s="1">
        <v>8299.1440000000002</v>
      </c>
      <c r="O561" s="1">
        <v>74692.296000000002</v>
      </c>
      <c r="P561" s="1">
        <v>50790.761280000013</v>
      </c>
      <c r="Q561" s="1">
        <v>23901.53472</v>
      </c>
      <c r="R561" s="1">
        <v>32</v>
      </c>
      <c r="S561" s="1" t="s">
        <v>26</v>
      </c>
    </row>
    <row r="562" spans="1:19" x14ac:dyDescent="0.35">
      <c r="A562" s="1" t="s">
        <v>895</v>
      </c>
      <c r="B562" s="3">
        <v>45830</v>
      </c>
      <c r="C562" s="1" t="s">
        <v>82</v>
      </c>
      <c r="D562" s="1">
        <v>6</v>
      </c>
      <c r="E562" s="1" t="s">
        <v>896</v>
      </c>
      <c r="F562" s="1" t="s">
        <v>30</v>
      </c>
      <c r="G562" s="1" t="s">
        <v>64</v>
      </c>
      <c r="H562" s="1" t="s">
        <v>77</v>
      </c>
      <c r="I562" s="1" t="s">
        <v>148</v>
      </c>
      <c r="J562" s="1">
        <v>4</v>
      </c>
      <c r="K562" s="1">
        <v>889.7</v>
      </c>
      <c r="L562" s="1">
        <v>0.15</v>
      </c>
      <c r="M562" s="1">
        <v>3558.8</v>
      </c>
      <c r="N562" s="1">
        <v>533.82000000000005</v>
      </c>
      <c r="O562" s="1">
        <v>3024.98</v>
      </c>
      <c r="P562" s="1">
        <v>2177.9856</v>
      </c>
      <c r="Q562" s="1">
        <v>846.99440000000004</v>
      </c>
      <c r="R562" s="1">
        <v>28</v>
      </c>
      <c r="S562" s="1" t="s">
        <v>60</v>
      </c>
    </row>
    <row r="563" spans="1:19" x14ac:dyDescent="0.35">
      <c r="A563" s="1" t="s">
        <v>897</v>
      </c>
      <c r="B563" s="3">
        <v>45722</v>
      </c>
      <c r="C563" s="1" t="s">
        <v>28</v>
      </c>
      <c r="D563" s="1">
        <v>3</v>
      </c>
      <c r="E563" s="1" t="s">
        <v>278</v>
      </c>
      <c r="F563" s="1" t="s">
        <v>47</v>
      </c>
      <c r="G563" s="1" t="s">
        <v>38</v>
      </c>
      <c r="H563" s="1" t="s">
        <v>77</v>
      </c>
      <c r="I563" s="1" t="s">
        <v>148</v>
      </c>
      <c r="J563" s="1">
        <v>7</v>
      </c>
      <c r="K563" s="1">
        <v>398.25</v>
      </c>
      <c r="L563" s="1">
        <v>0.15</v>
      </c>
      <c r="M563" s="1">
        <v>2787.75</v>
      </c>
      <c r="N563" s="1">
        <v>418.16250000000002</v>
      </c>
      <c r="O563" s="1">
        <v>2369.5875000000001</v>
      </c>
      <c r="P563" s="1">
        <v>1706.1030000000001</v>
      </c>
      <c r="Q563" s="1">
        <v>663.48450000000003</v>
      </c>
      <c r="R563" s="1">
        <v>28</v>
      </c>
      <c r="S563" s="1" t="s">
        <v>93</v>
      </c>
    </row>
    <row r="564" spans="1:19" x14ac:dyDescent="0.35">
      <c r="A564" s="1" t="s">
        <v>898</v>
      </c>
      <c r="B564" s="3">
        <v>45970</v>
      </c>
      <c r="C564" s="1" t="s">
        <v>56</v>
      </c>
      <c r="D564" s="1">
        <v>11</v>
      </c>
      <c r="E564" s="1" t="s">
        <v>668</v>
      </c>
      <c r="F564" s="1" t="s">
        <v>69</v>
      </c>
      <c r="G564" s="1" t="s">
        <v>23</v>
      </c>
      <c r="H564" s="1" t="s">
        <v>53</v>
      </c>
      <c r="I564" s="1" t="s">
        <v>54</v>
      </c>
      <c r="J564" s="1">
        <v>5</v>
      </c>
      <c r="K564" s="1">
        <v>639.04999999999995</v>
      </c>
      <c r="L564" s="1">
        <v>0</v>
      </c>
      <c r="M564" s="1">
        <v>3195.25</v>
      </c>
      <c r="N564" s="1">
        <v>0</v>
      </c>
      <c r="O564" s="1">
        <v>3195.25</v>
      </c>
      <c r="P564" s="1">
        <v>1853.2449999999999</v>
      </c>
      <c r="Q564" s="1">
        <v>1342.0050000000001</v>
      </c>
      <c r="R564" s="1">
        <v>42.000000000000007</v>
      </c>
      <c r="S564" s="1" t="s">
        <v>33</v>
      </c>
    </row>
    <row r="565" spans="1:19" x14ac:dyDescent="0.35">
      <c r="A565" s="1" t="s">
        <v>899</v>
      </c>
      <c r="B565" s="3">
        <v>46004</v>
      </c>
      <c r="C565" s="1" t="s">
        <v>67</v>
      </c>
      <c r="D565" s="1">
        <v>12</v>
      </c>
      <c r="E565" s="1" t="s">
        <v>900</v>
      </c>
      <c r="F565" s="1" t="s">
        <v>111</v>
      </c>
      <c r="G565" s="1" t="s">
        <v>23</v>
      </c>
      <c r="H565" s="1" t="s">
        <v>77</v>
      </c>
      <c r="I565" s="1" t="s">
        <v>78</v>
      </c>
      <c r="J565" s="1">
        <v>3</v>
      </c>
      <c r="K565" s="1">
        <v>849.2</v>
      </c>
      <c r="L565" s="1">
        <v>0.15</v>
      </c>
      <c r="M565" s="1">
        <v>2547.6</v>
      </c>
      <c r="N565" s="1">
        <v>382.14</v>
      </c>
      <c r="O565" s="1">
        <v>2165.46</v>
      </c>
      <c r="P565" s="1">
        <v>1559.1312</v>
      </c>
      <c r="Q565" s="1">
        <v>606.32880000000023</v>
      </c>
      <c r="R565" s="1">
        <v>28</v>
      </c>
      <c r="S565" s="1" t="s">
        <v>93</v>
      </c>
    </row>
    <row r="566" spans="1:19" x14ac:dyDescent="0.35">
      <c r="A566" s="1" t="s">
        <v>901</v>
      </c>
      <c r="B566" s="3">
        <v>45834</v>
      </c>
      <c r="C566" s="1" t="s">
        <v>82</v>
      </c>
      <c r="D566" s="1">
        <v>6</v>
      </c>
      <c r="E566" s="1" t="s">
        <v>71</v>
      </c>
      <c r="F566" s="1" t="s">
        <v>43</v>
      </c>
      <c r="G566" s="1" t="s">
        <v>23</v>
      </c>
      <c r="H566" s="1" t="s">
        <v>24</v>
      </c>
      <c r="I566" s="1" t="s">
        <v>117</v>
      </c>
      <c r="J566" s="1">
        <v>5</v>
      </c>
      <c r="K566" s="1">
        <v>5515.78</v>
      </c>
      <c r="L566" s="1">
        <v>0</v>
      </c>
      <c r="M566" s="1">
        <v>27578.9</v>
      </c>
      <c r="N566" s="1">
        <v>0</v>
      </c>
      <c r="O566" s="1">
        <v>27578.9</v>
      </c>
      <c r="P566" s="1">
        <v>15168.395</v>
      </c>
      <c r="Q566" s="1">
        <v>12410.504999999999</v>
      </c>
      <c r="R566" s="1">
        <v>44.999999999999993</v>
      </c>
      <c r="S566" s="1" t="s">
        <v>73</v>
      </c>
    </row>
    <row r="567" spans="1:19" x14ac:dyDescent="0.35">
      <c r="A567" s="1" t="s">
        <v>902</v>
      </c>
      <c r="B567" s="3">
        <v>45954</v>
      </c>
      <c r="C567" s="1" t="s">
        <v>35</v>
      </c>
      <c r="D567" s="1">
        <v>10</v>
      </c>
      <c r="E567" s="1" t="s">
        <v>295</v>
      </c>
      <c r="F567" s="1" t="s">
        <v>47</v>
      </c>
      <c r="G567" s="1" t="s">
        <v>38</v>
      </c>
      <c r="H567" s="1" t="s">
        <v>77</v>
      </c>
      <c r="I567" s="1" t="s">
        <v>78</v>
      </c>
      <c r="J567" s="1">
        <v>3</v>
      </c>
      <c r="K567" s="1">
        <v>378.47</v>
      </c>
      <c r="L567" s="1">
        <v>0.15</v>
      </c>
      <c r="M567" s="1">
        <v>1135.4100000000001</v>
      </c>
      <c r="N567" s="1">
        <v>170.3115</v>
      </c>
      <c r="O567" s="1">
        <v>965.09850000000006</v>
      </c>
      <c r="P567" s="1">
        <v>694.87092000000007</v>
      </c>
      <c r="Q567" s="1">
        <v>270.22757999999999</v>
      </c>
      <c r="R567" s="1">
        <v>28</v>
      </c>
      <c r="S567" s="1" t="s">
        <v>26</v>
      </c>
    </row>
    <row r="568" spans="1:19" x14ac:dyDescent="0.35">
      <c r="A568" s="1" t="s">
        <v>903</v>
      </c>
      <c r="B568" s="3">
        <v>45882</v>
      </c>
      <c r="C568" s="1" t="s">
        <v>113</v>
      </c>
      <c r="D568" s="1">
        <v>8</v>
      </c>
      <c r="E568" s="1" t="s">
        <v>252</v>
      </c>
      <c r="F568" s="1" t="s">
        <v>69</v>
      </c>
      <c r="G568" s="1" t="s">
        <v>23</v>
      </c>
      <c r="H568" s="1" t="s">
        <v>53</v>
      </c>
      <c r="I568" s="1" t="s">
        <v>185</v>
      </c>
      <c r="J568" s="1">
        <v>2</v>
      </c>
      <c r="K568" s="1">
        <v>1814.59</v>
      </c>
      <c r="L568" s="1">
        <v>0.1</v>
      </c>
      <c r="M568" s="1">
        <v>3629.18</v>
      </c>
      <c r="N568" s="1">
        <v>362.91800000000001</v>
      </c>
      <c r="O568" s="1">
        <v>3266.2620000000002</v>
      </c>
      <c r="P568" s="1">
        <v>1894.4319599999999</v>
      </c>
      <c r="Q568" s="1">
        <v>1371.8300400000001</v>
      </c>
      <c r="R568" s="1">
        <v>42.000000000000007</v>
      </c>
      <c r="S568" s="1" t="s">
        <v>33</v>
      </c>
    </row>
    <row r="569" spans="1:19" x14ac:dyDescent="0.35">
      <c r="A569" s="1" t="s">
        <v>904</v>
      </c>
      <c r="B569" s="3">
        <v>45810</v>
      </c>
      <c r="C569" s="1" t="s">
        <v>82</v>
      </c>
      <c r="D569" s="1">
        <v>6</v>
      </c>
      <c r="E569" s="1" t="s">
        <v>236</v>
      </c>
      <c r="F569" s="1" t="s">
        <v>69</v>
      </c>
      <c r="G569" s="1" t="s">
        <v>38</v>
      </c>
      <c r="H569" s="1" t="s">
        <v>31</v>
      </c>
      <c r="I569" s="1" t="s">
        <v>190</v>
      </c>
      <c r="J569" s="1">
        <v>1</v>
      </c>
      <c r="K569" s="1">
        <v>3043.49</v>
      </c>
      <c r="L569" s="1">
        <v>0.15</v>
      </c>
      <c r="M569" s="1">
        <v>3043.49</v>
      </c>
      <c r="N569" s="1">
        <v>456.52350000000001</v>
      </c>
      <c r="O569" s="1">
        <v>2586.9665</v>
      </c>
      <c r="P569" s="1">
        <v>1345.2225800000001</v>
      </c>
      <c r="Q569" s="1">
        <v>1241.7439199999999</v>
      </c>
      <c r="R569" s="1">
        <v>48</v>
      </c>
      <c r="S569" s="1" t="s">
        <v>60</v>
      </c>
    </row>
    <row r="570" spans="1:19" x14ac:dyDescent="0.35">
      <c r="A570" s="1" t="s">
        <v>905</v>
      </c>
      <c r="B570" s="3">
        <v>45673</v>
      </c>
      <c r="C570" s="1" t="s">
        <v>193</v>
      </c>
      <c r="D570" s="1">
        <v>1</v>
      </c>
      <c r="E570" s="1" t="s">
        <v>875</v>
      </c>
      <c r="F570" s="1" t="s">
        <v>30</v>
      </c>
      <c r="G570" s="1" t="s">
        <v>38</v>
      </c>
      <c r="H570" s="1" t="s">
        <v>77</v>
      </c>
      <c r="I570" s="1" t="s">
        <v>201</v>
      </c>
      <c r="J570" s="1">
        <v>3</v>
      </c>
      <c r="K570" s="1">
        <v>344.11</v>
      </c>
      <c r="L570" s="1">
        <v>0.1</v>
      </c>
      <c r="M570" s="1">
        <v>1032.33</v>
      </c>
      <c r="N570" s="1">
        <v>103.233</v>
      </c>
      <c r="O570" s="1">
        <v>929.09699999999998</v>
      </c>
      <c r="P570" s="1">
        <v>668.94983999999999</v>
      </c>
      <c r="Q570" s="1">
        <v>260.14715999999999</v>
      </c>
      <c r="R570" s="1">
        <v>28</v>
      </c>
      <c r="S570" s="1" t="s">
        <v>73</v>
      </c>
    </row>
    <row r="571" spans="1:19" x14ac:dyDescent="0.35">
      <c r="A571" s="1" t="s">
        <v>906</v>
      </c>
      <c r="B571" s="3">
        <v>46002</v>
      </c>
      <c r="C571" s="1" t="s">
        <v>67</v>
      </c>
      <c r="D571" s="1">
        <v>12</v>
      </c>
      <c r="E571" s="1" t="s">
        <v>465</v>
      </c>
      <c r="F571" s="1" t="s">
        <v>22</v>
      </c>
      <c r="G571" s="1" t="s">
        <v>38</v>
      </c>
      <c r="H571" s="1" t="s">
        <v>31</v>
      </c>
      <c r="I571" s="1" t="s">
        <v>32</v>
      </c>
      <c r="J571" s="1">
        <v>5</v>
      </c>
      <c r="K571" s="1">
        <v>2140.37</v>
      </c>
      <c r="L571" s="1">
        <v>0.1</v>
      </c>
      <c r="M571" s="1">
        <v>10701.85</v>
      </c>
      <c r="N571" s="1">
        <v>1070.1849999999999</v>
      </c>
      <c r="O571" s="1">
        <v>9631.6649999999991</v>
      </c>
      <c r="P571" s="1">
        <v>5008.4657999999999</v>
      </c>
      <c r="Q571" s="1">
        <v>4623.1991999999991</v>
      </c>
      <c r="R571" s="1">
        <v>48</v>
      </c>
      <c r="S571" s="1" t="s">
        <v>73</v>
      </c>
    </row>
    <row r="572" spans="1:19" x14ac:dyDescent="0.35">
      <c r="A572" s="1" t="s">
        <v>907</v>
      </c>
      <c r="B572" s="3">
        <v>45687</v>
      </c>
      <c r="C572" s="1" t="s">
        <v>193</v>
      </c>
      <c r="D572" s="1">
        <v>1</v>
      </c>
      <c r="E572" s="1" t="s">
        <v>908</v>
      </c>
      <c r="F572" s="1" t="s">
        <v>58</v>
      </c>
      <c r="G572" s="1" t="s">
        <v>38</v>
      </c>
      <c r="H572" s="1" t="s">
        <v>39</v>
      </c>
      <c r="I572" s="1" t="s">
        <v>87</v>
      </c>
      <c r="J572" s="1">
        <v>4</v>
      </c>
      <c r="K572" s="1">
        <v>41001.730000000003</v>
      </c>
      <c r="L572" s="1">
        <v>0</v>
      </c>
      <c r="M572" s="1">
        <v>164006.92000000001</v>
      </c>
      <c r="N572" s="1">
        <v>0</v>
      </c>
      <c r="O572" s="1">
        <v>164006.92000000001</v>
      </c>
      <c r="P572" s="1">
        <v>127925.3976</v>
      </c>
      <c r="Q572" s="1">
        <v>36081.522400000002</v>
      </c>
      <c r="R572" s="1">
        <v>22</v>
      </c>
      <c r="S572" s="1" t="s">
        <v>93</v>
      </c>
    </row>
    <row r="573" spans="1:19" x14ac:dyDescent="0.35">
      <c r="A573" s="1" t="s">
        <v>909</v>
      </c>
      <c r="B573" s="3">
        <v>45794</v>
      </c>
      <c r="C573" s="1" t="s">
        <v>97</v>
      </c>
      <c r="D573" s="1">
        <v>5</v>
      </c>
      <c r="E573" s="1" t="s">
        <v>405</v>
      </c>
      <c r="F573" s="1" t="s">
        <v>22</v>
      </c>
      <c r="G573" s="1" t="s">
        <v>64</v>
      </c>
      <c r="H573" s="1" t="s">
        <v>99</v>
      </c>
      <c r="I573" s="1" t="s">
        <v>108</v>
      </c>
      <c r="J573" s="1">
        <v>4</v>
      </c>
      <c r="K573" s="1">
        <v>8484.9500000000007</v>
      </c>
      <c r="L573" s="1">
        <v>0.1</v>
      </c>
      <c r="M573" s="1">
        <v>33939.800000000003</v>
      </c>
      <c r="N573" s="1">
        <v>3393.98</v>
      </c>
      <c r="O573" s="1">
        <v>30545.82</v>
      </c>
      <c r="P573" s="1">
        <v>20771.157599999999</v>
      </c>
      <c r="Q573" s="1">
        <v>9774.6624000000011</v>
      </c>
      <c r="R573" s="1">
        <v>32</v>
      </c>
      <c r="S573" s="1" t="s">
        <v>73</v>
      </c>
    </row>
    <row r="574" spans="1:19" x14ac:dyDescent="0.35">
      <c r="A574" s="1" t="s">
        <v>910</v>
      </c>
      <c r="B574" s="3">
        <v>45768</v>
      </c>
      <c r="C574" s="1" t="s">
        <v>20</v>
      </c>
      <c r="D574" s="1">
        <v>4</v>
      </c>
      <c r="E574" s="1" t="s">
        <v>867</v>
      </c>
      <c r="F574" s="1" t="s">
        <v>43</v>
      </c>
      <c r="G574" s="1" t="s">
        <v>38</v>
      </c>
      <c r="H574" s="1" t="s">
        <v>99</v>
      </c>
      <c r="I574" s="1" t="s">
        <v>223</v>
      </c>
      <c r="J574" s="1">
        <v>5</v>
      </c>
      <c r="K574" s="1">
        <v>23464.16</v>
      </c>
      <c r="L574" s="1">
        <v>0.3</v>
      </c>
      <c r="M574" s="1">
        <v>117320.8</v>
      </c>
      <c r="N574" s="1">
        <v>35196.239999999998</v>
      </c>
      <c r="O574" s="1">
        <v>82124.56</v>
      </c>
      <c r="P574" s="1">
        <v>55844.700800000013</v>
      </c>
      <c r="Q574" s="1">
        <v>26279.859199999992</v>
      </c>
      <c r="R574" s="1">
        <v>31.999999999999989</v>
      </c>
      <c r="S574" s="1" t="s">
        <v>93</v>
      </c>
    </row>
    <row r="575" spans="1:19" x14ac:dyDescent="0.35">
      <c r="A575" s="1" t="s">
        <v>911</v>
      </c>
      <c r="B575" s="3">
        <v>45924</v>
      </c>
      <c r="C575" s="1" t="s">
        <v>50</v>
      </c>
      <c r="D575" s="1">
        <v>9</v>
      </c>
      <c r="E575" s="1" t="s">
        <v>912</v>
      </c>
      <c r="F575" s="1" t="s">
        <v>111</v>
      </c>
      <c r="G575" s="1" t="s">
        <v>23</v>
      </c>
      <c r="H575" s="1" t="s">
        <v>53</v>
      </c>
      <c r="I575" s="1" t="s">
        <v>72</v>
      </c>
      <c r="J575" s="1">
        <v>5</v>
      </c>
      <c r="K575" s="1">
        <v>431.5</v>
      </c>
      <c r="L575" s="1">
        <v>0.2</v>
      </c>
      <c r="M575" s="1">
        <v>2157.5</v>
      </c>
      <c r="N575" s="1">
        <v>431.5</v>
      </c>
      <c r="O575" s="1">
        <v>1726</v>
      </c>
      <c r="P575" s="1">
        <v>1001.08</v>
      </c>
      <c r="Q575" s="1">
        <v>724.92000000000007</v>
      </c>
      <c r="R575" s="1">
        <v>42.000000000000007</v>
      </c>
      <c r="S575" s="1" t="s">
        <v>60</v>
      </c>
    </row>
    <row r="576" spans="1:19" x14ac:dyDescent="0.35">
      <c r="A576" s="1" t="s">
        <v>913</v>
      </c>
      <c r="B576" s="3">
        <v>45965</v>
      </c>
      <c r="C576" s="1" t="s">
        <v>56</v>
      </c>
      <c r="D576" s="1">
        <v>11</v>
      </c>
      <c r="E576" s="1" t="s">
        <v>914</v>
      </c>
      <c r="F576" s="1" t="s">
        <v>22</v>
      </c>
      <c r="G576" s="1" t="s">
        <v>64</v>
      </c>
      <c r="H576" s="1" t="s">
        <v>99</v>
      </c>
      <c r="I576" s="1" t="s">
        <v>120</v>
      </c>
      <c r="J576" s="1">
        <v>6</v>
      </c>
      <c r="K576" s="1">
        <v>11740.36</v>
      </c>
      <c r="L576" s="1">
        <v>0.05</v>
      </c>
      <c r="M576" s="1">
        <v>70442.16</v>
      </c>
      <c r="N576" s="1">
        <v>3522.1080000000002</v>
      </c>
      <c r="O576" s="1">
        <v>66920.051999999996</v>
      </c>
      <c r="P576" s="1">
        <v>45505.63536</v>
      </c>
      <c r="Q576" s="1">
        <v>21414.416639999999</v>
      </c>
      <c r="R576" s="1">
        <v>32</v>
      </c>
      <c r="S576" s="1" t="s">
        <v>73</v>
      </c>
    </row>
    <row r="577" spans="1:19" x14ac:dyDescent="0.35">
      <c r="A577" s="1" t="s">
        <v>915</v>
      </c>
      <c r="B577" s="3">
        <v>45836</v>
      </c>
      <c r="C577" s="1" t="s">
        <v>82</v>
      </c>
      <c r="D577" s="1">
        <v>6</v>
      </c>
      <c r="E577" s="1" t="s">
        <v>448</v>
      </c>
      <c r="F577" s="1" t="s">
        <v>22</v>
      </c>
      <c r="G577" s="1" t="s">
        <v>64</v>
      </c>
      <c r="H577" s="1" t="s">
        <v>31</v>
      </c>
      <c r="I577" s="1" t="s">
        <v>65</v>
      </c>
      <c r="J577" s="1">
        <v>7</v>
      </c>
      <c r="K577" s="1">
        <v>699.52</v>
      </c>
      <c r="L577" s="1">
        <v>0.05</v>
      </c>
      <c r="M577" s="1">
        <v>4896.6399999999994</v>
      </c>
      <c r="N577" s="1">
        <v>244.83199999999999</v>
      </c>
      <c r="O577" s="1">
        <v>4651.8079999999991</v>
      </c>
      <c r="P577" s="1">
        <v>2418.9401600000001</v>
      </c>
      <c r="Q577" s="1">
        <v>2232.867839999999</v>
      </c>
      <c r="R577" s="1">
        <v>48</v>
      </c>
      <c r="S577" s="1" t="s">
        <v>73</v>
      </c>
    </row>
    <row r="578" spans="1:19" x14ac:dyDescent="0.35">
      <c r="A578" s="1" t="s">
        <v>916</v>
      </c>
      <c r="B578" s="3">
        <v>45810</v>
      </c>
      <c r="C578" s="1" t="s">
        <v>82</v>
      </c>
      <c r="D578" s="1">
        <v>6</v>
      </c>
      <c r="E578" s="1" t="s">
        <v>431</v>
      </c>
      <c r="F578" s="1" t="s">
        <v>69</v>
      </c>
      <c r="G578" s="1" t="s">
        <v>23</v>
      </c>
      <c r="H578" s="1" t="s">
        <v>31</v>
      </c>
      <c r="I578" s="1" t="s">
        <v>190</v>
      </c>
      <c r="J578" s="1">
        <v>2</v>
      </c>
      <c r="K578" s="1">
        <v>2097.6999999999998</v>
      </c>
      <c r="L578" s="1">
        <v>0.05</v>
      </c>
      <c r="M578" s="1">
        <v>4195.3999999999996</v>
      </c>
      <c r="N578" s="1">
        <v>209.77</v>
      </c>
      <c r="O578" s="1">
        <v>3985.63</v>
      </c>
      <c r="P578" s="1">
        <v>2072.5275999999999</v>
      </c>
      <c r="Q578" s="1">
        <v>1913.1024</v>
      </c>
      <c r="R578" s="1">
        <v>48</v>
      </c>
      <c r="S578" s="1" t="s">
        <v>73</v>
      </c>
    </row>
    <row r="579" spans="1:19" x14ac:dyDescent="0.35">
      <c r="A579" s="1" t="s">
        <v>917</v>
      </c>
      <c r="B579" s="3">
        <v>45732</v>
      </c>
      <c r="C579" s="1" t="s">
        <v>28</v>
      </c>
      <c r="D579" s="1">
        <v>3</v>
      </c>
      <c r="E579" s="1" t="s">
        <v>918</v>
      </c>
      <c r="F579" s="1" t="s">
        <v>30</v>
      </c>
      <c r="G579" s="1" t="s">
        <v>64</v>
      </c>
      <c r="H579" s="1" t="s">
        <v>77</v>
      </c>
      <c r="I579" s="1" t="s">
        <v>103</v>
      </c>
      <c r="J579" s="1">
        <v>4</v>
      </c>
      <c r="K579" s="1">
        <v>907</v>
      </c>
      <c r="L579" s="1">
        <v>0.05</v>
      </c>
      <c r="M579" s="1">
        <v>3628</v>
      </c>
      <c r="N579" s="1">
        <v>181.4</v>
      </c>
      <c r="O579" s="1">
        <v>3446.6</v>
      </c>
      <c r="P579" s="1">
        <v>2481.5520000000001</v>
      </c>
      <c r="Q579" s="1">
        <v>965.04800000000023</v>
      </c>
      <c r="R579" s="1">
        <v>28.000000000000011</v>
      </c>
      <c r="S579" s="1" t="s">
        <v>60</v>
      </c>
    </row>
    <row r="580" spans="1:19" x14ac:dyDescent="0.35">
      <c r="A580" s="1" t="s">
        <v>919</v>
      </c>
      <c r="B580" s="3">
        <v>45692</v>
      </c>
      <c r="C580" s="1" t="s">
        <v>42</v>
      </c>
      <c r="D580" s="1">
        <v>2</v>
      </c>
      <c r="E580" s="1" t="s">
        <v>484</v>
      </c>
      <c r="F580" s="1" t="s">
        <v>69</v>
      </c>
      <c r="G580" s="1" t="s">
        <v>64</v>
      </c>
      <c r="H580" s="1" t="s">
        <v>77</v>
      </c>
      <c r="I580" s="1" t="s">
        <v>148</v>
      </c>
      <c r="J580" s="1">
        <v>1</v>
      </c>
      <c r="K580" s="1">
        <v>806.37</v>
      </c>
      <c r="L580" s="1">
        <v>0.15</v>
      </c>
      <c r="M580" s="1">
        <v>806.37</v>
      </c>
      <c r="N580" s="1">
        <v>120.9555</v>
      </c>
      <c r="O580" s="1">
        <v>685.41449999999998</v>
      </c>
      <c r="P580" s="1">
        <v>493.49844000000002</v>
      </c>
      <c r="Q580" s="1">
        <v>191.91605999999999</v>
      </c>
      <c r="R580" s="1">
        <v>28</v>
      </c>
      <c r="S580" s="1" t="s">
        <v>26</v>
      </c>
    </row>
    <row r="581" spans="1:19" x14ac:dyDescent="0.35">
      <c r="A581" s="1" t="s">
        <v>920</v>
      </c>
      <c r="B581" s="3">
        <v>45729</v>
      </c>
      <c r="C581" s="1" t="s">
        <v>28</v>
      </c>
      <c r="D581" s="1">
        <v>3</v>
      </c>
      <c r="E581" s="1" t="s">
        <v>171</v>
      </c>
      <c r="F581" s="1" t="s">
        <v>22</v>
      </c>
      <c r="G581" s="1" t="s">
        <v>38</v>
      </c>
      <c r="H581" s="1" t="s">
        <v>99</v>
      </c>
      <c r="I581" s="1" t="s">
        <v>145</v>
      </c>
      <c r="J581" s="1">
        <v>4</v>
      </c>
      <c r="K581" s="1">
        <v>15999.28</v>
      </c>
      <c r="L581" s="1">
        <v>0.1</v>
      </c>
      <c r="M581" s="1">
        <v>63997.120000000003</v>
      </c>
      <c r="N581" s="1">
        <v>6399.7120000000004</v>
      </c>
      <c r="O581" s="1">
        <v>57597.408000000003</v>
      </c>
      <c r="P581" s="1">
        <v>39166.237439999997</v>
      </c>
      <c r="Q581" s="1">
        <v>18431.170559999999</v>
      </c>
      <c r="R581" s="1">
        <v>32</v>
      </c>
      <c r="S581" s="1" t="s">
        <v>73</v>
      </c>
    </row>
    <row r="582" spans="1:19" x14ac:dyDescent="0.35">
      <c r="A582" s="1" t="s">
        <v>921</v>
      </c>
      <c r="B582" s="3">
        <v>45693</v>
      </c>
      <c r="C582" s="1" t="s">
        <v>42</v>
      </c>
      <c r="D582" s="1">
        <v>2</v>
      </c>
      <c r="E582" s="1" t="s">
        <v>396</v>
      </c>
      <c r="F582" s="1" t="s">
        <v>43</v>
      </c>
      <c r="G582" s="1" t="s">
        <v>38</v>
      </c>
      <c r="H582" s="1" t="s">
        <v>39</v>
      </c>
      <c r="I582" s="1" t="s">
        <v>87</v>
      </c>
      <c r="J582" s="1">
        <v>6</v>
      </c>
      <c r="K582" s="1">
        <v>47348.4</v>
      </c>
      <c r="L582" s="1">
        <v>0.25</v>
      </c>
      <c r="M582" s="1">
        <v>284090.40000000002</v>
      </c>
      <c r="N582" s="1">
        <v>71022.600000000006</v>
      </c>
      <c r="O582" s="1">
        <v>213067.8</v>
      </c>
      <c r="P582" s="1">
        <v>166192.88399999999</v>
      </c>
      <c r="Q582" s="1">
        <v>46874.915999999997</v>
      </c>
      <c r="R582" s="1">
        <v>22</v>
      </c>
      <c r="S582" s="1" t="s">
        <v>26</v>
      </c>
    </row>
    <row r="583" spans="1:19" x14ac:dyDescent="0.35">
      <c r="A583" s="1" t="s">
        <v>922</v>
      </c>
      <c r="B583" s="3">
        <v>45683</v>
      </c>
      <c r="C583" s="1" t="s">
        <v>193</v>
      </c>
      <c r="D583" s="1">
        <v>1</v>
      </c>
      <c r="E583" s="1" t="s">
        <v>923</v>
      </c>
      <c r="F583" s="1" t="s">
        <v>69</v>
      </c>
      <c r="G583" s="1" t="s">
        <v>23</v>
      </c>
      <c r="H583" s="1" t="s">
        <v>53</v>
      </c>
      <c r="I583" s="1" t="s">
        <v>123</v>
      </c>
      <c r="J583" s="1">
        <v>6</v>
      </c>
      <c r="K583" s="1">
        <v>848.95</v>
      </c>
      <c r="L583" s="1">
        <v>0.2</v>
      </c>
      <c r="M583" s="1">
        <v>5093.7000000000007</v>
      </c>
      <c r="N583" s="1">
        <v>1018.74</v>
      </c>
      <c r="O583" s="1">
        <v>4074.96</v>
      </c>
      <c r="P583" s="1">
        <v>2363.4767999999999</v>
      </c>
      <c r="Q583" s="1">
        <v>1711.483200000001</v>
      </c>
      <c r="R583" s="1">
        <v>42.000000000000007</v>
      </c>
      <c r="S583" s="1" t="s">
        <v>26</v>
      </c>
    </row>
    <row r="584" spans="1:19" x14ac:dyDescent="0.35">
      <c r="A584" s="1" t="s">
        <v>924</v>
      </c>
      <c r="B584" s="3">
        <v>45985</v>
      </c>
      <c r="C584" s="1" t="s">
        <v>56</v>
      </c>
      <c r="D584" s="1">
        <v>11</v>
      </c>
      <c r="E584" s="1" t="s">
        <v>701</v>
      </c>
      <c r="F584" s="1" t="s">
        <v>76</v>
      </c>
      <c r="G584" s="1" t="s">
        <v>64</v>
      </c>
      <c r="H584" s="1" t="s">
        <v>53</v>
      </c>
      <c r="I584" s="1" t="s">
        <v>72</v>
      </c>
      <c r="J584" s="1">
        <v>4</v>
      </c>
      <c r="K584" s="1">
        <v>794.66</v>
      </c>
      <c r="L584" s="1">
        <v>0.2</v>
      </c>
      <c r="M584" s="1">
        <v>3178.64</v>
      </c>
      <c r="N584" s="1">
        <v>635.72800000000007</v>
      </c>
      <c r="O584" s="1">
        <v>2542.9119999999998</v>
      </c>
      <c r="P584" s="1">
        <v>1474.88896</v>
      </c>
      <c r="Q584" s="1">
        <v>1068.02304</v>
      </c>
      <c r="R584" s="1">
        <v>42.000000000000007</v>
      </c>
      <c r="S584" s="1" t="s">
        <v>26</v>
      </c>
    </row>
    <row r="585" spans="1:19" x14ac:dyDescent="0.35">
      <c r="A585" s="1" t="s">
        <v>925</v>
      </c>
      <c r="B585" s="3">
        <v>45903</v>
      </c>
      <c r="C585" s="1" t="s">
        <v>50</v>
      </c>
      <c r="D585" s="1">
        <v>9</v>
      </c>
      <c r="E585" s="1" t="s">
        <v>748</v>
      </c>
      <c r="F585" s="1" t="s">
        <v>22</v>
      </c>
      <c r="G585" s="1" t="s">
        <v>38</v>
      </c>
      <c r="H585" s="1" t="s">
        <v>31</v>
      </c>
      <c r="I585" s="1" t="s">
        <v>167</v>
      </c>
      <c r="J585" s="1">
        <v>7</v>
      </c>
      <c r="K585" s="1">
        <v>2567.63</v>
      </c>
      <c r="L585" s="1">
        <v>0.1</v>
      </c>
      <c r="M585" s="1">
        <v>17973.41</v>
      </c>
      <c r="N585" s="1">
        <v>1797.3409999999999</v>
      </c>
      <c r="O585" s="1">
        <v>16176.069</v>
      </c>
      <c r="P585" s="1">
        <v>8411.5558799999999</v>
      </c>
      <c r="Q585" s="1">
        <v>7764.5131199999996</v>
      </c>
      <c r="R585" s="1">
        <v>48</v>
      </c>
      <c r="S585" s="1" t="s">
        <v>26</v>
      </c>
    </row>
    <row r="586" spans="1:19" x14ac:dyDescent="0.35">
      <c r="A586" s="1" t="s">
        <v>926</v>
      </c>
      <c r="B586" s="3">
        <v>45988</v>
      </c>
      <c r="C586" s="1" t="s">
        <v>56</v>
      </c>
      <c r="D586" s="1">
        <v>11</v>
      </c>
      <c r="E586" s="1" t="s">
        <v>927</v>
      </c>
      <c r="F586" s="1" t="s">
        <v>43</v>
      </c>
      <c r="G586" s="1" t="s">
        <v>38</v>
      </c>
      <c r="H586" s="1" t="s">
        <v>99</v>
      </c>
      <c r="I586" s="1" t="s">
        <v>223</v>
      </c>
      <c r="J586" s="1">
        <v>5</v>
      </c>
      <c r="K586" s="1">
        <v>16811.07</v>
      </c>
      <c r="L586" s="1">
        <v>0.1</v>
      </c>
      <c r="M586" s="1">
        <v>84055.35</v>
      </c>
      <c r="N586" s="1">
        <v>8405.5350000000017</v>
      </c>
      <c r="O586" s="1">
        <v>75649.815000000002</v>
      </c>
      <c r="P586" s="1">
        <v>51441.874200000013</v>
      </c>
      <c r="Q586" s="1">
        <v>24207.9408</v>
      </c>
      <c r="R586" s="1">
        <v>32</v>
      </c>
      <c r="S586" s="1" t="s">
        <v>26</v>
      </c>
    </row>
    <row r="587" spans="1:19" x14ac:dyDescent="0.35">
      <c r="A587" s="1" t="s">
        <v>928</v>
      </c>
      <c r="B587" s="3">
        <v>45705</v>
      </c>
      <c r="C587" s="1" t="s">
        <v>42</v>
      </c>
      <c r="D587" s="1">
        <v>2</v>
      </c>
      <c r="E587" s="1" t="s">
        <v>812</v>
      </c>
      <c r="F587" s="1" t="s">
        <v>76</v>
      </c>
      <c r="G587" s="1" t="s">
        <v>38</v>
      </c>
      <c r="H587" s="1" t="s">
        <v>53</v>
      </c>
      <c r="I587" s="1" t="s">
        <v>54</v>
      </c>
      <c r="J587" s="1">
        <v>4</v>
      </c>
      <c r="K587" s="1">
        <v>2341.2800000000002</v>
      </c>
      <c r="L587" s="1">
        <v>0.1</v>
      </c>
      <c r="M587" s="1">
        <v>9365.1200000000008</v>
      </c>
      <c r="N587" s="1">
        <v>936.51200000000017</v>
      </c>
      <c r="O587" s="1">
        <v>8428.6080000000002</v>
      </c>
      <c r="P587" s="1">
        <v>4888.5926399999998</v>
      </c>
      <c r="Q587" s="1">
        <v>3540.0153599999999</v>
      </c>
      <c r="R587" s="1">
        <v>42.000000000000007</v>
      </c>
      <c r="S587" s="1" t="s">
        <v>73</v>
      </c>
    </row>
    <row r="588" spans="1:19" x14ac:dyDescent="0.35">
      <c r="A588" s="1" t="s">
        <v>929</v>
      </c>
      <c r="B588" s="3">
        <v>45863</v>
      </c>
      <c r="C588" s="1" t="s">
        <v>62</v>
      </c>
      <c r="D588" s="1">
        <v>7</v>
      </c>
      <c r="E588" s="1" t="s">
        <v>930</v>
      </c>
      <c r="F588" s="1" t="s">
        <v>58</v>
      </c>
      <c r="G588" s="1" t="s">
        <v>38</v>
      </c>
      <c r="H588" s="1" t="s">
        <v>99</v>
      </c>
      <c r="I588" s="1" t="s">
        <v>100</v>
      </c>
      <c r="J588" s="1">
        <v>7</v>
      </c>
      <c r="K588" s="1">
        <v>4095.61</v>
      </c>
      <c r="L588" s="1">
        <v>0.1</v>
      </c>
      <c r="M588" s="1">
        <v>28669.27</v>
      </c>
      <c r="N588" s="1">
        <v>2866.9270000000001</v>
      </c>
      <c r="O588" s="1">
        <v>25802.343000000001</v>
      </c>
      <c r="P588" s="1">
        <v>17545.593239999998</v>
      </c>
      <c r="Q588" s="1">
        <v>8256.7497599999988</v>
      </c>
      <c r="R588" s="1">
        <v>32</v>
      </c>
      <c r="S588" s="1" t="s">
        <v>93</v>
      </c>
    </row>
    <row r="589" spans="1:19" x14ac:dyDescent="0.35">
      <c r="A589" s="1" t="s">
        <v>931</v>
      </c>
      <c r="B589" s="3">
        <v>46018</v>
      </c>
      <c r="C589" s="1" t="s">
        <v>67</v>
      </c>
      <c r="D589" s="1">
        <v>12</v>
      </c>
      <c r="E589" s="1" t="s">
        <v>932</v>
      </c>
      <c r="F589" s="1" t="s">
        <v>76</v>
      </c>
      <c r="G589" s="1" t="s">
        <v>23</v>
      </c>
      <c r="H589" s="1" t="s">
        <v>99</v>
      </c>
      <c r="I589" s="1" t="s">
        <v>108</v>
      </c>
      <c r="J589" s="1">
        <v>5</v>
      </c>
      <c r="K589" s="1">
        <v>5633.22</v>
      </c>
      <c r="L589" s="1">
        <v>0</v>
      </c>
      <c r="M589" s="1">
        <v>28166.1</v>
      </c>
      <c r="N589" s="1">
        <v>0</v>
      </c>
      <c r="O589" s="1">
        <v>28166.1</v>
      </c>
      <c r="P589" s="1">
        <v>19152.948</v>
      </c>
      <c r="Q589" s="1">
        <v>9013.1519999999982</v>
      </c>
      <c r="R589" s="1">
        <v>31.999999999999989</v>
      </c>
      <c r="S589" s="1" t="s">
        <v>60</v>
      </c>
    </row>
    <row r="590" spans="1:19" x14ac:dyDescent="0.35">
      <c r="A590" s="1" t="s">
        <v>933</v>
      </c>
      <c r="B590" s="3">
        <v>46006</v>
      </c>
      <c r="C590" s="1" t="s">
        <v>67</v>
      </c>
      <c r="D590" s="1">
        <v>12</v>
      </c>
      <c r="E590" s="1" t="s">
        <v>726</v>
      </c>
      <c r="F590" s="1" t="s">
        <v>43</v>
      </c>
      <c r="G590" s="1" t="s">
        <v>23</v>
      </c>
      <c r="H590" s="1" t="s">
        <v>99</v>
      </c>
      <c r="I590" s="1" t="s">
        <v>100</v>
      </c>
      <c r="J590" s="1">
        <v>2</v>
      </c>
      <c r="K590" s="1">
        <v>12414.96</v>
      </c>
      <c r="L590" s="1">
        <v>0.25</v>
      </c>
      <c r="M590" s="1">
        <v>24829.919999999998</v>
      </c>
      <c r="N590" s="1">
        <v>6207.48</v>
      </c>
      <c r="O590" s="1">
        <v>18622.439999999999</v>
      </c>
      <c r="P590" s="1">
        <v>12663.2592</v>
      </c>
      <c r="Q590" s="1">
        <v>5959.1807999999983</v>
      </c>
      <c r="R590" s="1">
        <v>32</v>
      </c>
      <c r="S590" s="1" t="s">
        <v>73</v>
      </c>
    </row>
    <row r="591" spans="1:19" x14ac:dyDescent="0.35">
      <c r="A591" s="1" t="s">
        <v>934</v>
      </c>
      <c r="B591" s="3">
        <v>45866</v>
      </c>
      <c r="C591" s="1" t="s">
        <v>62</v>
      </c>
      <c r="D591" s="1">
        <v>7</v>
      </c>
      <c r="E591" s="1" t="s">
        <v>521</v>
      </c>
      <c r="F591" s="1" t="s">
        <v>111</v>
      </c>
      <c r="G591" s="1" t="s">
        <v>23</v>
      </c>
      <c r="H591" s="1" t="s">
        <v>31</v>
      </c>
      <c r="I591" s="1" t="s">
        <v>190</v>
      </c>
      <c r="J591" s="1">
        <v>6</v>
      </c>
      <c r="K591" s="1">
        <v>3068.28</v>
      </c>
      <c r="L591" s="1">
        <v>0.1</v>
      </c>
      <c r="M591" s="1">
        <v>18409.68</v>
      </c>
      <c r="N591" s="1">
        <v>1840.9680000000001</v>
      </c>
      <c r="O591" s="1">
        <v>16568.712</v>
      </c>
      <c r="P591" s="1">
        <v>8615.7302400000008</v>
      </c>
      <c r="Q591" s="1">
        <v>7952.9817599999988</v>
      </c>
      <c r="R591" s="1">
        <v>47.999999999999993</v>
      </c>
      <c r="S591" s="1" t="s">
        <v>93</v>
      </c>
    </row>
    <row r="592" spans="1:19" x14ac:dyDescent="0.35">
      <c r="A592" s="1" t="s">
        <v>935</v>
      </c>
      <c r="B592" s="3">
        <v>45929</v>
      </c>
      <c r="C592" s="1" t="s">
        <v>50</v>
      </c>
      <c r="D592" s="1">
        <v>9</v>
      </c>
      <c r="E592" s="1" t="s">
        <v>936</v>
      </c>
      <c r="F592" s="1" t="s">
        <v>58</v>
      </c>
      <c r="G592" s="1" t="s">
        <v>64</v>
      </c>
      <c r="H592" s="1" t="s">
        <v>99</v>
      </c>
      <c r="I592" s="1" t="s">
        <v>145</v>
      </c>
      <c r="J592" s="1">
        <v>2</v>
      </c>
      <c r="K592" s="1">
        <v>17654.8</v>
      </c>
      <c r="L592" s="1">
        <v>0.05</v>
      </c>
      <c r="M592" s="1">
        <v>35309.599999999999</v>
      </c>
      <c r="N592" s="1">
        <v>1765.48</v>
      </c>
      <c r="O592" s="1">
        <v>33544.120000000003</v>
      </c>
      <c r="P592" s="1">
        <v>22810.0016</v>
      </c>
      <c r="Q592" s="1">
        <v>10734.118399999999</v>
      </c>
      <c r="R592" s="1">
        <v>31.999999999999989</v>
      </c>
      <c r="S592" s="1" t="s">
        <v>60</v>
      </c>
    </row>
    <row r="593" spans="1:19" x14ac:dyDescent="0.35">
      <c r="A593" s="1" t="s">
        <v>937</v>
      </c>
      <c r="B593" s="3">
        <v>45982</v>
      </c>
      <c r="C593" s="1" t="s">
        <v>56</v>
      </c>
      <c r="D593" s="1">
        <v>11</v>
      </c>
      <c r="E593" s="1" t="s">
        <v>927</v>
      </c>
      <c r="F593" s="1" t="s">
        <v>30</v>
      </c>
      <c r="G593" s="1" t="s">
        <v>64</v>
      </c>
      <c r="H593" s="1" t="s">
        <v>31</v>
      </c>
      <c r="I593" s="1" t="s">
        <v>65</v>
      </c>
      <c r="J593" s="1">
        <v>4</v>
      </c>
      <c r="K593" s="1">
        <v>205.42</v>
      </c>
      <c r="L593" s="1">
        <v>0.1</v>
      </c>
      <c r="M593" s="1">
        <v>821.68</v>
      </c>
      <c r="N593" s="1">
        <v>82.168000000000006</v>
      </c>
      <c r="O593" s="1">
        <v>739.51199999999994</v>
      </c>
      <c r="P593" s="1">
        <v>384.54624000000001</v>
      </c>
      <c r="Q593" s="1">
        <v>354.96575999999988</v>
      </c>
      <c r="R593" s="1">
        <v>47.999999999999993</v>
      </c>
      <c r="S593" s="1" t="s">
        <v>73</v>
      </c>
    </row>
    <row r="594" spans="1:19" x14ac:dyDescent="0.35">
      <c r="A594" s="1" t="s">
        <v>938</v>
      </c>
      <c r="B594" s="3">
        <v>45842</v>
      </c>
      <c r="C594" s="1" t="s">
        <v>62</v>
      </c>
      <c r="D594" s="1">
        <v>7</v>
      </c>
      <c r="E594" s="1" t="s">
        <v>363</v>
      </c>
      <c r="F594" s="1" t="s">
        <v>52</v>
      </c>
      <c r="G594" s="1" t="s">
        <v>23</v>
      </c>
      <c r="H594" s="1" t="s">
        <v>99</v>
      </c>
      <c r="I594" s="1" t="s">
        <v>120</v>
      </c>
      <c r="J594" s="1">
        <v>1</v>
      </c>
      <c r="K594" s="1">
        <v>14961.03</v>
      </c>
      <c r="L594" s="1">
        <v>0.1</v>
      </c>
      <c r="M594" s="1">
        <v>14961.03</v>
      </c>
      <c r="N594" s="1">
        <v>1496.1030000000001</v>
      </c>
      <c r="O594" s="1">
        <v>13464.927</v>
      </c>
      <c r="P594" s="1">
        <v>9156.1503599999996</v>
      </c>
      <c r="Q594" s="1">
        <v>4308.77664</v>
      </c>
      <c r="R594" s="1">
        <v>32</v>
      </c>
      <c r="S594" s="1" t="s">
        <v>26</v>
      </c>
    </row>
    <row r="595" spans="1:19" x14ac:dyDescent="0.35">
      <c r="A595" s="1" t="s">
        <v>939</v>
      </c>
      <c r="B595" s="3">
        <v>45754</v>
      </c>
      <c r="C595" s="1" t="s">
        <v>20</v>
      </c>
      <c r="D595" s="1">
        <v>4</v>
      </c>
      <c r="E595" s="1" t="s">
        <v>549</v>
      </c>
      <c r="F595" s="1" t="s">
        <v>58</v>
      </c>
      <c r="G595" s="1" t="s">
        <v>64</v>
      </c>
      <c r="H595" s="1" t="s">
        <v>99</v>
      </c>
      <c r="I595" s="1" t="s">
        <v>145</v>
      </c>
      <c r="J595" s="1">
        <v>7</v>
      </c>
      <c r="K595" s="1">
        <v>23398.18</v>
      </c>
      <c r="L595" s="1">
        <v>0.1</v>
      </c>
      <c r="M595" s="1">
        <v>163787.26</v>
      </c>
      <c r="N595" s="1">
        <v>16378.726000000001</v>
      </c>
      <c r="O595" s="1">
        <v>147408.53400000001</v>
      </c>
      <c r="P595" s="1">
        <v>100237.80312</v>
      </c>
      <c r="Q595" s="1">
        <v>47170.730880000003</v>
      </c>
      <c r="R595" s="1">
        <v>32</v>
      </c>
      <c r="S595" s="1" t="s">
        <v>26</v>
      </c>
    </row>
    <row r="596" spans="1:19" x14ac:dyDescent="0.35">
      <c r="A596" s="1" t="s">
        <v>940</v>
      </c>
      <c r="B596" s="3">
        <v>45828</v>
      </c>
      <c r="C596" s="1" t="s">
        <v>82</v>
      </c>
      <c r="D596" s="1">
        <v>6</v>
      </c>
      <c r="E596" s="1" t="s">
        <v>657</v>
      </c>
      <c r="F596" s="1" t="s">
        <v>52</v>
      </c>
      <c r="G596" s="1" t="s">
        <v>23</v>
      </c>
      <c r="H596" s="1" t="s">
        <v>53</v>
      </c>
      <c r="I596" s="1" t="s">
        <v>54</v>
      </c>
      <c r="J596" s="1">
        <v>1</v>
      </c>
      <c r="K596" s="1">
        <v>1824.92</v>
      </c>
      <c r="L596" s="1">
        <v>0</v>
      </c>
      <c r="M596" s="1">
        <v>1824.92</v>
      </c>
      <c r="N596" s="1">
        <v>0</v>
      </c>
      <c r="O596" s="1">
        <v>1824.92</v>
      </c>
      <c r="P596" s="1">
        <v>1058.4536000000001</v>
      </c>
      <c r="Q596" s="1">
        <v>766.46640000000002</v>
      </c>
      <c r="R596" s="1">
        <v>42</v>
      </c>
      <c r="S596" s="1" t="s">
        <v>73</v>
      </c>
    </row>
    <row r="597" spans="1:19" x14ac:dyDescent="0.35">
      <c r="A597" s="1" t="s">
        <v>941</v>
      </c>
      <c r="B597" s="3">
        <v>46019</v>
      </c>
      <c r="C597" s="1" t="s">
        <v>67</v>
      </c>
      <c r="D597" s="1">
        <v>12</v>
      </c>
      <c r="E597" s="1" t="s">
        <v>225</v>
      </c>
      <c r="F597" s="1" t="s">
        <v>111</v>
      </c>
      <c r="G597" s="1" t="s">
        <v>38</v>
      </c>
      <c r="H597" s="1" t="s">
        <v>39</v>
      </c>
      <c r="I597" s="1" t="s">
        <v>155</v>
      </c>
      <c r="J597" s="1">
        <v>5</v>
      </c>
      <c r="K597" s="1">
        <v>12626.36</v>
      </c>
      <c r="L597" s="1">
        <v>0.1</v>
      </c>
      <c r="M597" s="1">
        <v>63131.8</v>
      </c>
      <c r="N597" s="1">
        <v>6313.18</v>
      </c>
      <c r="O597" s="1">
        <v>56818.62</v>
      </c>
      <c r="P597" s="1">
        <v>44318.5236</v>
      </c>
      <c r="Q597" s="1">
        <v>12500.0964</v>
      </c>
      <c r="R597" s="1">
        <v>22</v>
      </c>
      <c r="S597" s="1" t="s">
        <v>73</v>
      </c>
    </row>
    <row r="598" spans="1:19" x14ac:dyDescent="0.35">
      <c r="A598" s="1" t="s">
        <v>942</v>
      </c>
      <c r="B598" s="3">
        <v>45736</v>
      </c>
      <c r="C598" s="1" t="s">
        <v>28</v>
      </c>
      <c r="D598" s="1">
        <v>3</v>
      </c>
      <c r="E598" s="1" t="s">
        <v>580</v>
      </c>
      <c r="F598" s="1" t="s">
        <v>69</v>
      </c>
      <c r="G598" s="1" t="s">
        <v>38</v>
      </c>
      <c r="H598" s="1" t="s">
        <v>99</v>
      </c>
      <c r="I598" s="1" t="s">
        <v>145</v>
      </c>
      <c r="J598" s="1">
        <v>7</v>
      </c>
      <c r="K598" s="1">
        <v>17610.72</v>
      </c>
      <c r="L598" s="1">
        <v>0</v>
      </c>
      <c r="M598" s="1">
        <v>123275.04</v>
      </c>
      <c r="N598" s="1">
        <v>0</v>
      </c>
      <c r="O598" s="1">
        <v>123275.04</v>
      </c>
      <c r="P598" s="1">
        <v>83827.027200000011</v>
      </c>
      <c r="Q598" s="1">
        <v>39448.012799999997</v>
      </c>
      <c r="R598" s="1">
        <v>32</v>
      </c>
      <c r="S598" s="1" t="s">
        <v>73</v>
      </c>
    </row>
    <row r="599" spans="1:19" x14ac:dyDescent="0.35">
      <c r="A599" s="1" t="s">
        <v>943</v>
      </c>
      <c r="B599" s="3">
        <v>45920</v>
      </c>
      <c r="C599" s="1" t="s">
        <v>50</v>
      </c>
      <c r="D599" s="1">
        <v>9</v>
      </c>
      <c r="E599" s="1" t="s">
        <v>418</v>
      </c>
      <c r="F599" s="1" t="s">
        <v>47</v>
      </c>
      <c r="G599" s="1" t="s">
        <v>38</v>
      </c>
      <c r="H599" s="1" t="s">
        <v>77</v>
      </c>
      <c r="I599" s="1" t="s">
        <v>78</v>
      </c>
      <c r="J599" s="1">
        <v>6</v>
      </c>
      <c r="K599" s="1">
        <v>949.88</v>
      </c>
      <c r="L599" s="1">
        <v>0.25</v>
      </c>
      <c r="M599" s="1">
        <v>5699.28</v>
      </c>
      <c r="N599" s="1">
        <v>1424.82</v>
      </c>
      <c r="O599" s="1">
        <v>4274.46</v>
      </c>
      <c r="P599" s="1">
        <v>3077.6111999999998</v>
      </c>
      <c r="Q599" s="1">
        <v>1196.8488</v>
      </c>
      <c r="R599" s="1">
        <v>28</v>
      </c>
      <c r="S599" s="1" t="s">
        <v>93</v>
      </c>
    </row>
    <row r="600" spans="1:19" x14ac:dyDescent="0.35">
      <c r="A600" s="1" t="s">
        <v>944</v>
      </c>
      <c r="B600" s="3">
        <v>45991</v>
      </c>
      <c r="C600" s="1" t="s">
        <v>56</v>
      </c>
      <c r="D600" s="1">
        <v>11</v>
      </c>
      <c r="E600" s="1" t="s">
        <v>796</v>
      </c>
      <c r="F600" s="1" t="s">
        <v>69</v>
      </c>
      <c r="G600" s="1" t="s">
        <v>23</v>
      </c>
      <c r="H600" s="1" t="s">
        <v>39</v>
      </c>
      <c r="I600" s="1" t="s">
        <v>234</v>
      </c>
      <c r="J600" s="1">
        <v>3</v>
      </c>
      <c r="K600" s="1">
        <v>26575.24</v>
      </c>
      <c r="L600" s="1">
        <v>0.3</v>
      </c>
      <c r="M600" s="1">
        <v>79725.72</v>
      </c>
      <c r="N600" s="1">
        <v>23917.716</v>
      </c>
      <c r="O600" s="1">
        <v>55808.004000000001</v>
      </c>
      <c r="P600" s="1">
        <v>43530.243119999999</v>
      </c>
      <c r="Q600" s="1">
        <v>12277.76088</v>
      </c>
      <c r="R600" s="1">
        <v>22</v>
      </c>
      <c r="S600" s="1" t="s">
        <v>26</v>
      </c>
    </row>
    <row r="601" spans="1:19" x14ac:dyDescent="0.35">
      <c r="A601" s="1" t="s">
        <v>945</v>
      </c>
      <c r="B601" s="3">
        <v>45985</v>
      </c>
      <c r="C601" s="1" t="s">
        <v>56</v>
      </c>
      <c r="D601" s="1">
        <v>11</v>
      </c>
      <c r="E601" s="1" t="s">
        <v>540</v>
      </c>
      <c r="F601" s="1" t="s">
        <v>52</v>
      </c>
      <c r="G601" s="1" t="s">
        <v>38</v>
      </c>
      <c r="H601" s="1" t="s">
        <v>39</v>
      </c>
      <c r="I601" s="1" t="s">
        <v>87</v>
      </c>
      <c r="J601" s="1">
        <v>6</v>
      </c>
      <c r="K601" s="1">
        <v>21746.42</v>
      </c>
      <c r="L601" s="1">
        <v>0.05</v>
      </c>
      <c r="M601" s="1">
        <v>130478.52</v>
      </c>
      <c r="N601" s="1">
        <v>6523.9259999999986</v>
      </c>
      <c r="O601" s="1">
        <v>123954.594</v>
      </c>
      <c r="P601" s="1">
        <v>96684.583319999991</v>
      </c>
      <c r="Q601" s="1">
        <v>27270.010679999988</v>
      </c>
      <c r="R601" s="1">
        <v>22</v>
      </c>
      <c r="S601" s="1" t="s">
        <v>33</v>
      </c>
    </row>
    <row r="602" spans="1:19" x14ac:dyDescent="0.35">
      <c r="A602" s="1" t="s">
        <v>946</v>
      </c>
      <c r="B602" s="3">
        <v>45756</v>
      </c>
      <c r="C602" s="1" t="s">
        <v>20</v>
      </c>
      <c r="D602" s="1">
        <v>4</v>
      </c>
      <c r="E602" s="1" t="s">
        <v>894</v>
      </c>
      <c r="F602" s="1" t="s">
        <v>69</v>
      </c>
      <c r="G602" s="1" t="s">
        <v>64</v>
      </c>
      <c r="H602" s="1" t="s">
        <v>77</v>
      </c>
      <c r="I602" s="1" t="s">
        <v>201</v>
      </c>
      <c r="J602" s="1">
        <v>6</v>
      </c>
      <c r="K602" s="1">
        <v>554.44000000000005</v>
      </c>
      <c r="L602" s="1">
        <v>0.3</v>
      </c>
      <c r="M602" s="1">
        <v>3326.64</v>
      </c>
      <c r="N602" s="1">
        <v>997.99200000000008</v>
      </c>
      <c r="O602" s="1">
        <v>2328.6480000000001</v>
      </c>
      <c r="P602" s="1">
        <v>1676.6265599999999</v>
      </c>
      <c r="Q602" s="1">
        <v>652.02144000000021</v>
      </c>
      <c r="R602" s="1">
        <v>28.000000000000011</v>
      </c>
      <c r="S602" s="1" t="s">
        <v>73</v>
      </c>
    </row>
    <row r="603" spans="1:19" x14ac:dyDescent="0.35">
      <c r="A603" s="1" t="s">
        <v>947</v>
      </c>
      <c r="B603" s="3">
        <v>45688</v>
      </c>
      <c r="C603" s="1" t="s">
        <v>193</v>
      </c>
      <c r="D603" s="1">
        <v>1</v>
      </c>
      <c r="E603" s="1" t="s">
        <v>378</v>
      </c>
      <c r="F603" s="1" t="s">
        <v>30</v>
      </c>
      <c r="G603" s="1" t="s">
        <v>23</v>
      </c>
      <c r="H603" s="1" t="s">
        <v>77</v>
      </c>
      <c r="I603" s="1" t="s">
        <v>90</v>
      </c>
      <c r="J603" s="1">
        <v>2</v>
      </c>
      <c r="K603" s="1">
        <v>392.3</v>
      </c>
      <c r="L603" s="1">
        <v>0.05</v>
      </c>
      <c r="M603" s="1">
        <v>784.6</v>
      </c>
      <c r="N603" s="1">
        <v>39.229999999999997</v>
      </c>
      <c r="O603" s="1">
        <v>745.37</v>
      </c>
      <c r="P603" s="1">
        <v>536.66639999999995</v>
      </c>
      <c r="Q603" s="1">
        <v>208.70360000000011</v>
      </c>
      <c r="R603" s="1">
        <v>28.000000000000011</v>
      </c>
      <c r="S603" s="1" t="s">
        <v>26</v>
      </c>
    </row>
    <row r="604" spans="1:19" x14ac:dyDescent="0.35">
      <c r="A604" s="1" t="s">
        <v>948</v>
      </c>
      <c r="B604" s="3">
        <v>45714</v>
      </c>
      <c r="C604" s="1" t="s">
        <v>42</v>
      </c>
      <c r="D604" s="1">
        <v>2</v>
      </c>
      <c r="E604" s="1" t="s">
        <v>608</v>
      </c>
      <c r="F604" s="1" t="s">
        <v>111</v>
      </c>
      <c r="G604" s="1" t="s">
        <v>64</v>
      </c>
      <c r="H604" s="1" t="s">
        <v>24</v>
      </c>
      <c r="I604" s="1" t="s">
        <v>25</v>
      </c>
      <c r="J604" s="1">
        <v>2</v>
      </c>
      <c r="K604" s="1">
        <v>5501.86</v>
      </c>
      <c r="L604" s="1">
        <v>0.05</v>
      </c>
      <c r="M604" s="1">
        <v>11003.72</v>
      </c>
      <c r="N604" s="1">
        <v>550.18600000000004</v>
      </c>
      <c r="O604" s="1">
        <v>10453.534</v>
      </c>
      <c r="P604" s="1">
        <v>5749.4437000000007</v>
      </c>
      <c r="Q604" s="1">
        <v>4704.0902999999989</v>
      </c>
      <c r="R604" s="1">
        <v>44.999999999999993</v>
      </c>
      <c r="S604" s="1" t="s">
        <v>60</v>
      </c>
    </row>
    <row r="605" spans="1:19" x14ac:dyDescent="0.35">
      <c r="A605" s="1" t="s">
        <v>949</v>
      </c>
      <c r="B605" s="3">
        <v>45876</v>
      </c>
      <c r="C605" s="1" t="s">
        <v>113</v>
      </c>
      <c r="D605" s="1">
        <v>8</v>
      </c>
      <c r="E605" s="1" t="s">
        <v>95</v>
      </c>
      <c r="F605" s="1" t="s">
        <v>30</v>
      </c>
      <c r="G605" s="1" t="s">
        <v>23</v>
      </c>
      <c r="H605" s="1" t="s">
        <v>31</v>
      </c>
      <c r="I605" s="1" t="s">
        <v>59</v>
      </c>
      <c r="J605" s="1">
        <v>5</v>
      </c>
      <c r="K605" s="1">
        <v>658.71</v>
      </c>
      <c r="L605" s="1">
        <v>0.1</v>
      </c>
      <c r="M605" s="1">
        <v>3293.55</v>
      </c>
      <c r="N605" s="1">
        <v>329.35500000000002</v>
      </c>
      <c r="O605" s="1">
        <v>2964.1950000000002</v>
      </c>
      <c r="P605" s="1">
        <v>1541.3814</v>
      </c>
      <c r="Q605" s="1">
        <v>1422.8136</v>
      </c>
      <c r="R605" s="1">
        <v>48</v>
      </c>
      <c r="S605" s="1" t="s">
        <v>60</v>
      </c>
    </row>
    <row r="606" spans="1:19" x14ac:dyDescent="0.35">
      <c r="A606" s="1" t="s">
        <v>950</v>
      </c>
      <c r="B606" s="3">
        <v>45757</v>
      </c>
      <c r="C606" s="1" t="s">
        <v>20</v>
      </c>
      <c r="D606" s="1">
        <v>4</v>
      </c>
      <c r="E606" s="1" t="s">
        <v>341</v>
      </c>
      <c r="F606" s="1" t="s">
        <v>22</v>
      </c>
      <c r="G606" s="1" t="s">
        <v>38</v>
      </c>
      <c r="H606" s="1" t="s">
        <v>99</v>
      </c>
      <c r="I606" s="1" t="s">
        <v>145</v>
      </c>
      <c r="J606" s="1">
        <v>3</v>
      </c>
      <c r="K606" s="1">
        <v>2823.58</v>
      </c>
      <c r="L606" s="1">
        <v>0.2</v>
      </c>
      <c r="M606" s="1">
        <v>8470.74</v>
      </c>
      <c r="N606" s="1">
        <v>1694.1479999999999</v>
      </c>
      <c r="O606" s="1">
        <v>6776.5919999999996</v>
      </c>
      <c r="P606" s="1">
        <v>4608.0825599999998</v>
      </c>
      <c r="Q606" s="1">
        <v>2168.5094399999998</v>
      </c>
      <c r="R606" s="1">
        <v>32</v>
      </c>
      <c r="S606" s="1" t="s">
        <v>93</v>
      </c>
    </row>
    <row r="607" spans="1:19" x14ac:dyDescent="0.35">
      <c r="A607" s="1" t="s">
        <v>951</v>
      </c>
      <c r="B607" s="3">
        <v>45863</v>
      </c>
      <c r="C607" s="1" t="s">
        <v>62</v>
      </c>
      <c r="D607" s="1">
        <v>7</v>
      </c>
      <c r="E607" s="1" t="s">
        <v>513</v>
      </c>
      <c r="F607" s="1" t="s">
        <v>76</v>
      </c>
      <c r="G607" s="1" t="s">
        <v>64</v>
      </c>
      <c r="H607" s="1" t="s">
        <v>77</v>
      </c>
      <c r="I607" s="1" t="s">
        <v>103</v>
      </c>
      <c r="J607" s="1">
        <v>7</v>
      </c>
      <c r="K607" s="1">
        <v>731.05</v>
      </c>
      <c r="L607" s="1">
        <v>0.15</v>
      </c>
      <c r="M607" s="1">
        <v>5117.3499999999995</v>
      </c>
      <c r="N607" s="1">
        <v>767.60249999999985</v>
      </c>
      <c r="O607" s="1">
        <v>4349.7474999999986</v>
      </c>
      <c r="P607" s="1">
        <v>3131.8182000000002</v>
      </c>
      <c r="Q607" s="1">
        <v>1217.9293</v>
      </c>
      <c r="R607" s="1">
        <v>28</v>
      </c>
      <c r="S607" s="1" t="s">
        <v>60</v>
      </c>
    </row>
    <row r="608" spans="1:19" x14ac:dyDescent="0.35">
      <c r="A608" s="1" t="s">
        <v>952</v>
      </c>
      <c r="B608" s="3">
        <v>45997</v>
      </c>
      <c r="C608" s="1" t="s">
        <v>67</v>
      </c>
      <c r="D608" s="1">
        <v>12</v>
      </c>
      <c r="E608" s="1" t="s">
        <v>376</v>
      </c>
      <c r="F608" s="1" t="s">
        <v>47</v>
      </c>
      <c r="G608" s="1" t="s">
        <v>23</v>
      </c>
      <c r="H608" s="1" t="s">
        <v>39</v>
      </c>
      <c r="I608" s="1" t="s">
        <v>155</v>
      </c>
      <c r="J608" s="1">
        <v>6</v>
      </c>
      <c r="K608" s="1">
        <v>14738.68</v>
      </c>
      <c r="L608" s="1">
        <v>0.1</v>
      </c>
      <c r="M608" s="1">
        <v>88432.08</v>
      </c>
      <c r="N608" s="1">
        <v>8843.2080000000005</v>
      </c>
      <c r="O608" s="1">
        <v>79588.872000000003</v>
      </c>
      <c r="P608" s="1">
        <v>62079.320160000003</v>
      </c>
      <c r="Q608" s="1">
        <v>17509.55184</v>
      </c>
      <c r="R608" s="1">
        <v>22</v>
      </c>
      <c r="S608" s="1" t="s">
        <v>60</v>
      </c>
    </row>
    <row r="609" spans="1:19" x14ac:dyDescent="0.35">
      <c r="A609" s="1" t="s">
        <v>953</v>
      </c>
      <c r="B609" s="3">
        <v>45936</v>
      </c>
      <c r="C609" s="1" t="s">
        <v>35</v>
      </c>
      <c r="D609" s="1">
        <v>10</v>
      </c>
      <c r="E609" s="1" t="s">
        <v>896</v>
      </c>
      <c r="F609" s="1" t="s">
        <v>76</v>
      </c>
      <c r="G609" s="1" t="s">
        <v>38</v>
      </c>
      <c r="H609" s="1" t="s">
        <v>99</v>
      </c>
      <c r="I609" s="1" t="s">
        <v>108</v>
      </c>
      <c r="J609" s="1">
        <v>5</v>
      </c>
      <c r="K609" s="1">
        <v>24002.11</v>
      </c>
      <c r="L609" s="1">
        <v>0.3</v>
      </c>
      <c r="M609" s="1">
        <v>120010.55</v>
      </c>
      <c r="N609" s="1">
        <v>36003.165000000001</v>
      </c>
      <c r="O609" s="1">
        <v>84007.385000000009</v>
      </c>
      <c r="P609" s="1">
        <v>57125.02180000001</v>
      </c>
      <c r="Q609" s="1">
        <v>26882.3632</v>
      </c>
      <c r="R609" s="1">
        <v>32</v>
      </c>
      <c r="S609" s="1" t="s">
        <v>93</v>
      </c>
    </row>
    <row r="610" spans="1:19" x14ac:dyDescent="0.35">
      <c r="A610" s="1" t="s">
        <v>954</v>
      </c>
      <c r="B610" s="3">
        <v>45712</v>
      </c>
      <c r="C610" s="1" t="s">
        <v>42</v>
      </c>
      <c r="D610" s="1">
        <v>2</v>
      </c>
      <c r="E610" s="1" t="s">
        <v>955</v>
      </c>
      <c r="F610" s="1" t="s">
        <v>22</v>
      </c>
      <c r="G610" s="1" t="s">
        <v>23</v>
      </c>
      <c r="H610" s="1" t="s">
        <v>53</v>
      </c>
      <c r="I610" s="1" t="s">
        <v>123</v>
      </c>
      <c r="J610" s="1">
        <v>1</v>
      </c>
      <c r="K610" s="1">
        <v>1794.29</v>
      </c>
      <c r="L610" s="1">
        <v>0.1</v>
      </c>
      <c r="M610" s="1">
        <v>1794.29</v>
      </c>
      <c r="N610" s="1">
        <v>179.429</v>
      </c>
      <c r="O610" s="1">
        <v>1614.8610000000001</v>
      </c>
      <c r="P610" s="1">
        <v>936.61937999999986</v>
      </c>
      <c r="Q610" s="1">
        <v>678.24162000000001</v>
      </c>
      <c r="R610" s="1">
        <v>42.000000000000007</v>
      </c>
      <c r="S610" s="1" t="s">
        <v>73</v>
      </c>
    </row>
    <row r="611" spans="1:19" x14ac:dyDescent="0.35">
      <c r="A611" s="1" t="s">
        <v>956</v>
      </c>
      <c r="B611" s="3">
        <v>45692</v>
      </c>
      <c r="C611" s="1" t="s">
        <v>42</v>
      </c>
      <c r="D611" s="1">
        <v>2</v>
      </c>
      <c r="E611" s="1" t="s">
        <v>662</v>
      </c>
      <c r="F611" s="1" t="s">
        <v>22</v>
      </c>
      <c r="G611" s="1" t="s">
        <v>38</v>
      </c>
      <c r="H611" s="1" t="s">
        <v>53</v>
      </c>
      <c r="I611" s="1" t="s">
        <v>128</v>
      </c>
      <c r="J611" s="1">
        <v>7</v>
      </c>
      <c r="K611" s="1">
        <v>1619.83</v>
      </c>
      <c r="L611" s="1">
        <v>0.1</v>
      </c>
      <c r="M611" s="1">
        <v>11338.81</v>
      </c>
      <c r="N611" s="1">
        <v>1133.8810000000001</v>
      </c>
      <c r="O611" s="1">
        <v>10204.929</v>
      </c>
      <c r="P611" s="1">
        <v>5918.8588199999986</v>
      </c>
      <c r="Q611" s="1">
        <v>4286.0701800000006</v>
      </c>
      <c r="R611" s="1">
        <v>42.000000000000007</v>
      </c>
      <c r="S611" s="1" t="s">
        <v>73</v>
      </c>
    </row>
    <row r="612" spans="1:19" x14ac:dyDescent="0.35">
      <c r="A612" s="1" t="s">
        <v>957</v>
      </c>
      <c r="B612" s="3">
        <v>45689</v>
      </c>
      <c r="C612" s="1" t="s">
        <v>42</v>
      </c>
      <c r="D612" s="1">
        <v>2</v>
      </c>
      <c r="E612" s="1" t="s">
        <v>812</v>
      </c>
      <c r="F612" s="1" t="s">
        <v>58</v>
      </c>
      <c r="G612" s="1" t="s">
        <v>23</v>
      </c>
      <c r="H612" s="1" t="s">
        <v>99</v>
      </c>
      <c r="I612" s="1" t="s">
        <v>145</v>
      </c>
      <c r="J612" s="1">
        <v>3</v>
      </c>
      <c r="K612" s="1">
        <v>4053.33</v>
      </c>
      <c r="L612" s="1">
        <v>0.1</v>
      </c>
      <c r="M612" s="1">
        <v>12159.99</v>
      </c>
      <c r="N612" s="1">
        <v>1215.999</v>
      </c>
      <c r="O612" s="1">
        <v>10943.991</v>
      </c>
      <c r="P612" s="1">
        <v>7441.913880000001</v>
      </c>
      <c r="Q612" s="1">
        <v>3502.077119999999</v>
      </c>
      <c r="R612" s="1">
        <v>31.999999999999989</v>
      </c>
      <c r="S612" s="1" t="s">
        <v>73</v>
      </c>
    </row>
    <row r="613" spans="1:19" x14ac:dyDescent="0.35">
      <c r="A613" s="1" t="s">
        <v>958</v>
      </c>
      <c r="B613" s="3">
        <v>45883</v>
      </c>
      <c r="C613" s="1" t="s">
        <v>113</v>
      </c>
      <c r="D613" s="1">
        <v>8</v>
      </c>
      <c r="E613" s="1" t="s">
        <v>955</v>
      </c>
      <c r="F613" s="1" t="s">
        <v>37</v>
      </c>
      <c r="G613" s="1" t="s">
        <v>38</v>
      </c>
      <c r="H613" s="1" t="s">
        <v>77</v>
      </c>
      <c r="I613" s="1" t="s">
        <v>201</v>
      </c>
      <c r="J613" s="1">
        <v>4</v>
      </c>
      <c r="K613" s="1">
        <v>684.73</v>
      </c>
      <c r="L613" s="1">
        <v>0.05</v>
      </c>
      <c r="M613" s="1">
        <v>2738.92</v>
      </c>
      <c r="N613" s="1">
        <v>136.946</v>
      </c>
      <c r="O613" s="1">
        <v>2601.9740000000002</v>
      </c>
      <c r="P613" s="1">
        <v>1873.42128</v>
      </c>
      <c r="Q613" s="1">
        <v>728.55272000000014</v>
      </c>
      <c r="R613" s="1">
        <v>28</v>
      </c>
      <c r="S613" s="1" t="s">
        <v>26</v>
      </c>
    </row>
    <row r="614" spans="1:19" x14ac:dyDescent="0.35">
      <c r="A614" s="1" t="s">
        <v>959</v>
      </c>
      <c r="B614" s="3">
        <v>45861</v>
      </c>
      <c r="C614" s="1" t="s">
        <v>62</v>
      </c>
      <c r="D614" s="1">
        <v>7</v>
      </c>
      <c r="E614" s="1" t="s">
        <v>696</v>
      </c>
      <c r="F614" s="1" t="s">
        <v>47</v>
      </c>
      <c r="G614" s="1" t="s">
        <v>23</v>
      </c>
      <c r="H614" s="1" t="s">
        <v>39</v>
      </c>
      <c r="I614" s="1" t="s">
        <v>214</v>
      </c>
      <c r="J614" s="1">
        <v>7</v>
      </c>
      <c r="K614" s="1">
        <v>51280.72</v>
      </c>
      <c r="L614" s="1">
        <v>0.15</v>
      </c>
      <c r="M614" s="1">
        <v>358965.04</v>
      </c>
      <c r="N614" s="1">
        <v>53844.756000000001</v>
      </c>
      <c r="O614" s="1">
        <v>305120.28399999999</v>
      </c>
      <c r="P614" s="1">
        <v>237993.82152000011</v>
      </c>
      <c r="Q614" s="1">
        <v>67126.462479999987</v>
      </c>
      <c r="R614" s="1">
        <v>21.999999999999989</v>
      </c>
      <c r="S614" s="1" t="s">
        <v>33</v>
      </c>
    </row>
    <row r="615" spans="1:19" x14ac:dyDescent="0.35">
      <c r="A615" s="1" t="s">
        <v>960</v>
      </c>
      <c r="B615" s="3">
        <v>45771</v>
      </c>
      <c r="C615" s="1" t="s">
        <v>20</v>
      </c>
      <c r="D615" s="1">
        <v>4</v>
      </c>
      <c r="E615" s="1" t="s">
        <v>646</v>
      </c>
      <c r="F615" s="1" t="s">
        <v>37</v>
      </c>
      <c r="G615" s="1" t="s">
        <v>64</v>
      </c>
      <c r="H615" s="1" t="s">
        <v>31</v>
      </c>
      <c r="I615" s="1" t="s">
        <v>65</v>
      </c>
      <c r="J615" s="1">
        <v>7</v>
      </c>
      <c r="K615" s="1">
        <v>857.84</v>
      </c>
      <c r="L615" s="1">
        <v>0.1</v>
      </c>
      <c r="M615" s="1">
        <v>6004.88</v>
      </c>
      <c r="N615" s="1">
        <v>600.48800000000006</v>
      </c>
      <c r="O615" s="1">
        <v>5404.3919999999998</v>
      </c>
      <c r="P615" s="1">
        <v>2810.2838400000001</v>
      </c>
      <c r="Q615" s="1">
        <v>2594.1081600000002</v>
      </c>
      <c r="R615" s="1">
        <v>48</v>
      </c>
      <c r="S615" s="1" t="s">
        <v>26</v>
      </c>
    </row>
    <row r="616" spans="1:19" x14ac:dyDescent="0.35">
      <c r="A616" s="1" t="s">
        <v>961</v>
      </c>
      <c r="B616" s="3">
        <v>45774</v>
      </c>
      <c r="C616" s="1" t="s">
        <v>20</v>
      </c>
      <c r="D616" s="1">
        <v>4</v>
      </c>
      <c r="E616" s="1" t="s">
        <v>394</v>
      </c>
      <c r="F616" s="1" t="s">
        <v>76</v>
      </c>
      <c r="G616" s="1" t="s">
        <v>64</v>
      </c>
      <c r="H616" s="1" t="s">
        <v>77</v>
      </c>
      <c r="I616" s="1" t="s">
        <v>78</v>
      </c>
      <c r="J616" s="1">
        <v>1</v>
      </c>
      <c r="K616" s="1">
        <v>142.66999999999999</v>
      </c>
      <c r="L616" s="1">
        <v>0.05</v>
      </c>
      <c r="M616" s="1">
        <v>142.66999999999999</v>
      </c>
      <c r="N616" s="1">
        <v>7.1334999999999997</v>
      </c>
      <c r="O616" s="1">
        <v>135.53649999999999</v>
      </c>
      <c r="P616" s="1">
        <v>97.586279999999988</v>
      </c>
      <c r="Q616" s="1">
        <v>37.950220000000002</v>
      </c>
      <c r="R616" s="1">
        <v>28</v>
      </c>
      <c r="S616" s="1" t="s">
        <v>60</v>
      </c>
    </row>
    <row r="617" spans="1:19" x14ac:dyDescent="0.35">
      <c r="A617" s="1" t="s">
        <v>962</v>
      </c>
      <c r="B617" s="3">
        <v>45787</v>
      </c>
      <c r="C617" s="1" t="s">
        <v>97</v>
      </c>
      <c r="D617" s="1">
        <v>5</v>
      </c>
      <c r="E617" s="1" t="s">
        <v>171</v>
      </c>
      <c r="F617" s="1" t="s">
        <v>111</v>
      </c>
      <c r="G617" s="1" t="s">
        <v>23</v>
      </c>
      <c r="H617" s="1" t="s">
        <v>39</v>
      </c>
      <c r="I617" s="1" t="s">
        <v>214</v>
      </c>
      <c r="J617" s="1">
        <v>4</v>
      </c>
      <c r="K617" s="1">
        <v>15025.11</v>
      </c>
      <c r="L617" s="1">
        <v>0.1</v>
      </c>
      <c r="M617" s="1">
        <v>60100.44</v>
      </c>
      <c r="N617" s="1">
        <v>6010.0440000000008</v>
      </c>
      <c r="O617" s="1">
        <v>54090.396000000001</v>
      </c>
      <c r="P617" s="1">
        <v>42190.508880000001</v>
      </c>
      <c r="Q617" s="1">
        <v>11899.887119999999</v>
      </c>
      <c r="R617" s="1">
        <v>22</v>
      </c>
      <c r="S617" s="1" t="s">
        <v>26</v>
      </c>
    </row>
    <row r="618" spans="1:19" x14ac:dyDescent="0.35">
      <c r="A618" s="1" t="s">
        <v>963</v>
      </c>
      <c r="B618" s="3">
        <v>45998</v>
      </c>
      <c r="C618" s="1" t="s">
        <v>67</v>
      </c>
      <c r="D618" s="1">
        <v>12</v>
      </c>
      <c r="E618" s="1" t="s">
        <v>964</v>
      </c>
      <c r="F618" s="1" t="s">
        <v>37</v>
      </c>
      <c r="G618" s="1" t="s">
        <v>64</v>
      </c>
      <c r="H618" s="1" t="s">
        <v>31</v>
      </c>
      <c r="I618" s="1" t="s">
        <v>65</v>
      </c>
      <c r="J618" s="1">
        <v>2</v>
      </c>
      <c r="K618" s="1">
        <v>3118.78</v>
      </c>
      <c r="L618" s="1">
        <v>0.15</v>
      </c>
      <c r="M618" s="1">
        <v>6237.56</v>
      </c>
      <c r="N618" s="1">
        <v>935.63400000000001</v>
      </c>
      <c r="O618" s="1">
        <v>5301.9260000000004</v>
      </c>
      <c r="P618" s="1">
        <v>2757.0015199999998</v>
      </c>
      <c r="Q618" s="1">
        <v>2544.9244800000001</v>
      </c>
      <c r="R618" s="1">
        <v>48</v>
      </c>
      <c r="S618" s="1" t="s">
        <v>73</v>
      </c>
    </row>
    <row r="619" spans="1:19" x14ac:dyDescent="0.35">
      <c r="A619" s="1" t="s">
        <v>965</v>
      </c>
      <c r="B619" s="3">
        <v>45674</v>
      </c>
      <c r="C619" s="1" t="s">
        <v>193</v>
      </c>
      <c r="D619" s="1">
        <v>1</v>
      </c>
      <c r="E619" s="1" t="s">
        <v>142</v>
      </c>
      <c r="F619" s="1" t="s">
        <v>43</v>
      </c>
      <c r="G619" s="1" t="s">
        <v>64</v>
      </c>
      <c r="H619" s="1" t="s">
        <v>39</v>
      </c>
      <c r="I619" s="1" t="s">
        <v>40</v>
      </c>
      <c r="J619" s="1">
        <v>6</v>
      </c>
      <c r="K619" s="1">
        <v>51309.95</v>
      </c>
      <c r="L619" s="1">
        <v>0.1</v>
      </c>
      <c r="M619" s="1">
        <v>307859.7</v>
      </c>
      <c r="N619" s="1">
        <v>30785.97</v>
      </c>
      <c r="O619" s="1">
        <v>277073.73</v>
      </c>
      <c r="P619" s="1">
        <v>216117.50940000001</v>
      </c>
      <c r="Q619" s="1">
        <v>60956.220600000001</v>
      </c>
      <c r="R619" s="1">
        <v>22</v>
      </c>
      <c r="S619" s="1" t="s">
        <v>33</v>
      </c>
    </row>
    <row r="620" spans="1:19" x14ac:dyDescent="0.35">
      <c r="A620" s="1" t="s">
        <v>966</v>
      </c>
      <c r="B620" s="3">
        <v>45904</v>
      </c>
      <c r="C620" s="1" t="s">
        <v>50</v>
      </c>
      <c r="D620" s="1">
        <v>9</v>
      </c>
      <c r="E620" s="1" t="s">
        <v>274</v>
      </c>
      <c r="F620" s="1" t="s">
        <v>76</v>
      </c>
      <c r="G620" s="1" t="s">
        <v>23</v>
      </c>
      <c r="H620" s="1" t="s">
        <v>53</v>
      </c>
      <c r="I620" s="1" t="s">
        <v>123</v>
      </c>
      <c r="J620" s="1">
        <v>2</v>
      </c>
      <c r="K620" s="1">
        <v>2306.1</v>
      </c>
      <c r="L620" s="1">
        <v>0.1</v>
      </c>
      <c r="M620" s="1">
        <v>4612.2</v>
      </c>
      <c r="N620" s="1">
        <v>461.22</v>
      </c>
      <c r="O620" s="1">
        <v>4150.9799999999996</v>
      </c>
      <c r="P620" s="1">
        <v>2407.5684000000001</v>
      </c>
      <c r="Q620" s="1">
        <v>1743.4115999999999</v>
      </c>
      <c r="R620" s="1">
        <v>42.000000000000007</v>
      </c>
      <c r="S620" s="1" t="s">
        <v>26</v>
      </c>
    </row>
    <row r="621" spans="1:19" x14ac:dyDescent="0.35">
      <c r="A621" s="1" t="s">
        <v>967</v>
      </c>
      <c r="B621" s="3">
        <v>45955</v>
      </c>
      <c r="C621" s="1" t="s">
        <v>35</v>
      </c>
      <c r="D621" s="1">
        <v>10</v>
      </c>
      <c r="E621" s="1" t="s">
        <v>796</v>
      </c>
      <c r="F621" s="1" t="s">
        <v>69</v>
      </c>
      <c r="G621" s="1" t="s">
        <v>38</v>
      </c>
      <c r="H621" s="1" t="s">
        <v>53</v>
      </c>
      <c r="I621" s="1" t="s">
        <v>185</v>
      </c>
      <c r="J621" s="1">
        <v>1</v>
      </c>
      <c r="K621" s="1">
        <v>818.16</v>
      </c>
      <c r="L621" s="1">
        <v>0.1</v>
      </c>
      <c r="M621" s="1">
        <v>818.16</v>
      </c>
      <c r="N621" s="1">
        <v>81.816000000000003</v>
      </c>
      <c r="O621" s="1">
        <v>736.34399999999994</v>
      </c>
      <c r="P621" s="1">
        <v>427.07951999999989</v>
      </c>
      <c r="Q621" s="1">
        <v>309.26447999999999</v>
      </c>
      <c r="R621" s="1">
        <v>42.000000000000007</v>
      </c>
      <c r="S621" s="1" t="s">
        <v>73</v>
      </c>
    </row>
    <row r="622" spans="1:19" x14ac:dyDescent="0.35">
      <c r="A622" s="1" t="s">
        <v>968</v>
      </c>
      <c r="B622" s="3">
        <v>46012</v>
      </c>
      <c r="C622" s="1" t="s">
        <v>67</v>
      </c>
      <c r="D622" s="1">
        <v>12</v>
      </c>
      <c r="E622" s="1" t="s">
        <v>867</v>
      </c>
      <c r="F622" s="1" t="s">
        <v>52</v>
      </c>
      <c r="G622" s="1" t="s">
        <v>23</v>
      </c>
      <c r="H622" s="1" t="s">
        <v>24</v>
      </c>
      <c r="I622" s="1" t="s">
        <v>117</v>
      </c>
      <c r="J622" s="1">
        <v>4</v>
      </c>
      <c r="K622" s="1">
        <v>5675.46</v>
      </c>
      <c r="L622" s="1">
        <v>0.15</v>
      </c>
      <c r="M622" s="1">
        <v>22701.84</v>
      </c>
      <c r="N622" s="1">
        <v>3405.2759999999998</v>
      </c>
      <c r="O622" s="1">
        <v>19296.563999999998</v>
      </c>
      <c r="P622" s="1">
        <v>10613.110199999999</v>
      </c>
      <c r="Q622" s="1">
        <v>8683.4537999999993</v>
      </c>
      <c r="R622" s="1">
        <v>45</v>
      </c>
      <c r="S622" s="1" t="s">
        <v>60</v>
      </c>
    </row>
    <row r="623" spans="1:19" x14ac:dyDescent="0.35">
      <c r="A623" s="1" t="s">
        <v>969</v>
      </c>
      <c r="B623" s="3">
        <v>45682</v>
      </c>
      <c r="C623" s="1" t="s">
        <v>193</v>
      </c>
      <c r="D623" s="1">
        <v>1</v>
      </c>
      <c r="E623" s="1" t="s">
        <v>970</v>
      </c>
      <c r="F623" s="1" t="s">
        <v>22</v>
      </c>
      <c r="G623" s="1" t="s">
        <v>23</v>
      </c>
      <c r="H623" s="1" t="s">
        <v>99</v>
      </c>
      <c r="I623" s="1" t="s">
        <v>108</v>
      </c>
      <c r="J623" s="1">
        <v>6</v>
      </c>
      <c r="K623" s="1">
        <v>17659.52</v>
      </c>
      <c r="L623" s="1">
        <v>0.1</v>
      </c>
      <c r="M623" s="1">
        <v>105957.12</v>
      </c>
      <c r="N623" s="1">
        <v>10595.712</v>
      </c>
      <c r="O623" s="1">
        <v>95361.407999999996</v>
      </c>
      <c r="P623" s="1">
        <v>64845.757440000001</v>
      </c>
      <c r="Q623" s="1">
        <v>30515.650559999991</v>
      </c>
      <c r="R623" s="1">
        <v>32</v>
      </c>
      <c r="S623" s="1" t="s">
        <v>60</v>
      </c>
    </row>
    <row r="624" spans="1:19" x14ac:dyDescent="0.35">
      <c r="A624" s="1" t="s">
        <v>971</v>
      </c>
      <c r="B624" s="3">
        <v>45991</v>
      </c>
      <c r="C624" s="1" t="s">
        <v>56</v>
      </c>
      <c r="D624" s="1">
        <v>11</v>
      </c>
      <c r="E624" s="1" t="s">
        <v>424</v>
      </c>
      <c r="F624" s="1" t="s">
        <v>43</v>
      </c>
      <c r="G624" s="1" t="s">
        <v>64</v>
      </c>
      <c r="H624" s="1" t="s">
        <v>53</v>
      </c>
      <c r="I624" s="1" t="s">
        <v>72</v>
      </c>
      <c r="J624" s="1">
        <v>2</v>
      </c>
      <c r="K624" s="1">
        <v>589.75</v>
      </c>
      <c r="L624" s="1">
        <v>0.05</v>
      </c>
      <c r="M624" s="1">
        <v>1179.5</v>
      </c>
      <c r="N624" s="1">
        <v>58.975000000000001</v>
      </c>
      <c r="O624" s="1">
        <v>1120.5250000000001</v>
      </c>
      <c r="P624" s="1">
        <v>649.90449999999998</v>
      </c>
      <c r="Q624" s="1">
        <v>470.62050000000011</v>
      </c>
      <c r="R624" s="1">
        <v>42.000000000000007</v>
      </c>
      <c r="S624" s="1" t="s">
        <v>26</v>
      </c>
    </row>
    <row r="625" spans="1:19" x14ac:dyDescent="0.35">
      <c r="A625" s="1" t="s">
        <v>972</v>
      </c>
      <c r="B625" s="3">
        <v>45725</v>
      </c>
      <c r="C625" s="1" t="s">
        <v>28</v>
      </c>
      <c r="D625" s="1">
        <v>3</v>
      </c>
      <c r="E625" s="1" t="s">
        <v>543</v>
      </c>
      <c r="F625" s="1" t="s">
        <v>76</v>
      </c>
      <c r="G625" s="1" t="s">
        <v>23</v>
      </c>
      <c r="H625" s="1" t="s">
        <v>31</v>
      </c>
      <c r="I625" s="1" t="s">
        <v>59</v>
      </c>
      <c r="J625" s="1">
        <v>2</v>
      </c>
      <c r="K625" s="1">
        <v>3358.54</v>
      </c>
      <c r="L625" s="1">
        <v>0.1</v>
      </c>
      <c r="M625" s="1">
        <v>6717.08</v>
      </c>
      <c r="N625" s="1">
        <v>671.70800000000008</v>
      </c>
      <c r="O625" s="1">
        <v>6045.3719999999994</v>
      </c>
      <c r="P625" s="1">
        <v>3143.5934400000001</v>
      </c>
      <c r="Q625" s="1">
        <v>2901.7785600000002</v>
      </c>
      <c r="R625" s="1">
        <v>48</v>
      </c>
      <c r="S625" s="1" t="s">
        <v>60</v>
      </c>
    </row>
    <row r="626" spans="1:19" x14ac:dyDescent="0.35">
      <c r="A626" s="1" t="s">
        <v>973</v>
      </c>
      <c r="B626" s="3">
        <v>45926</v>
      </c>
      <c r="C626" s="1" t="s">
        <v>50</v>
      </c>
      <c r="D626" s="1">
        <v>9</v>
      </c>
      <c r="E626" s="1" t="s">
        <v>389</v>
      </c>
      <c r="F626" s="1" t="s">
        <v>37</v>
      </c>
      <c r="G626" s="1" t="s">
        <v>64</v>
      </c>
      <c r="H626" s="1" t="s">
        <v>77</v>
      </c>
      <c r="I626" s="1" t="s">
        <v>78</v>
      </c>
      <c r="J626" s="1">
        <v>6</v>
      </c>
      <c r="K626" s="1">
        <v>563.74</v>
      </c>
      <c r="L626" s="1">
        <v>0.05</v>
      </c>
      <c r="M626" s="1">
        <v>3382.44</v>
      </c>
      <c r="N626" s="1">
        <v>169.12200000000001</v>
      </c>
      <c r="O626" s="1">
        <v>3213.3180000000002</v>
      </c>
      <c r="P626" s="1">
        <v>2313.58896</v>
      </c>
      <c r="Q626" s="1">
        <v>899.72904000000017</v>
      </c>
      <c r="R626" s="1">
        <v>28</v>
      </c>
      <c r="S626" s="1" t="s">
        <v>60</v>
      </c>
    </row>
    <row r="627" spans="1:19" x14ac:dyDescent="0.35">
      <c r="A627" s="1" t="s">
        <v>974</v>
      </c>
      <c r="B627" s="3">
        <v>45911</v>
      </c>
      <c r="C627" s="1" t="s">
        <v>50</v>
      </c>
      <c r="D627" s="1">
        <v>9</v>
      </c>
      <c r="E627" s="1" t="s">
        <v>316</v>
      </c>
      <c r="F627" s="1" t="s">
        <v>30</v>
      </c>
      <c r="G627" s="1" t="s">
        <v>23</v>
      </c>
      <c r="H627" s="1" t="s">
        <v>24</v>
      </c>
      <c r="I627" s="1" t="s">
        <v>48</v>
      </c>
      <c r="J627" s="1">
        <v>2</v>
      </c>
      <c r="K627" s="1">
        <v>1342.29</v>
      </c>
      <c r="L627" s="1">
        <v>0.15</v>
      </c>
      <c r="M627" s="1">
        <v>2684.58</v>
      </c>
      <c r="N627" s="1">
        <v>402.68700000000001</v>
      </c>
      <c r="O627" s="1">
        <v>2281.893</v>
      </c>
      <c r="P627" s="1">
        <v>1255.04115</v>
      </c>
      <c r="Q627" s="1">
        <v>1026.85185</v>
      </c>
      <c r="R627" s="1">
        <v>45</v>
      </c>
      <c r="S627" s="1" t="s">
        <v>26</v>
      </c>
    </row>
    <row r="628" spans="1:19" x14ac:dyDescent="0.35">
      <c r="A628" s="1" t="s">
        <v>975</v>
      </c>
      <c r="B628" s="3">
        <v>45819</v>
      </c>
      <c r="C628" s="1" t="s">
        <v>82</v>
      </c>
      <c r="D628" s="1">
        <v>6</v>
      </c>
      <c r="E628" s="1" t="s">
        <v>628</v>
      </c>
      <c r="F628" s="1" t="s">
        <v>47</v>
      </c>
      <c r="G628" s="1" t="s">
        <v>38</v>
      </c>
      <c r="H628" s="1" t="s">
        <v>24</v>
      </c>
      <c r="I628" s="1" t="s">
        <v>139</v>
      </c>
      <c r="J628" s="1">
        <v>5</v>
      </c>
      <c r="K628" s="1">
        <v>3336.22</v>
      </c>
      <c r="L628" s="1">
        <v>0.1</v>
      </c>
      <c r="M628" s="1">
        <v>16681.099999999999</v>
      </c>
      <c r="N628" s="1">
        <v>1668.11</v>
      </c>
      <c r="O628" s="1">
        <v>15012.99</v>
      </c>
      <c r="P628" s="1">
        <v>8257.1445000000003</v>
      </c>
      <c r="Q628" s="1">
        <v>6755.8454999999976</v>
      </c>
      <c r="R628" s="1">
        <v>44.999999999999993</v>
      </c>
      <c r="S628" s="1" t="s">
        <v>26</v>
      </c>
    </row>
    <row r="629" spans="1:19" x14ac:dyDescent="0.35">
      <c r="A629" s="1" t="s">
        <v>976</v>
      </c>
      <c r="B629" s="3">
        <v>45728</v>
      </c>
      <c r="C629" s="1" t="s">
        <v>28</v>
      </c>
      <c r="D629" s="1">
        <v>3</v>
      </c>
      <c r="E629" s="1" t="s">
        <v>977</v>
      </c>
      <c r="F629" s="1" t="s">
        <v>111</v>
      </c>
      <c r="G629" s="1" t="s">
        <v>38</v>
      </c>
      <c r="H629" s="1" t="s">
        <v>53</v>
      </c>
      <c r="I629" s="1" t="s">
        <v>128</v>
      </c>
      <c r="J629" s="1">
        <v>6</v>
      </c>
      <c r="K629" s="1">
        <v>596.78</v>
      </c>
      <c r="L629" s="1">
        <v>0.2</v>
      </c>
      <c r="M629" s="1">
        <v>3580.68</v>
      </c>
      <c r="N629" s="1">
        <v>716.13599999999997</v>
      </c>
      <c r="O629" s="1">
        <v>2864.5439999999999</v>
      </c>
      <c r="P629" s="1">
        <v>1661.43552</v>
      </c>
      <c r="Q629" s="1">
        <v>1203.1084800000001</v>
      </c>
      <c r="R629" s="1">
        <v>42.000000000000007</v>
      </c>
      <c r="S629" s="1" t="s">
        <v>73</v>
      </c>
    </row>
    <row r="630" spans="1:19" x14ac:dyDescent="0.35">
      <c r="A630" s="1" t="s">
        <v>978</v>
      </c>
      <c r="B630" s="3">
        <v>45726</v>
      </c>
      <c r="C630" s="1" t="s">
        <v>28</v>
      </c>
      <c r="D630" s="1">
        <v>3</v>
      </c>
      <c r="E630" s="1" t="s">
        <v>127</v>
      </c>
      <c r="F630" s="1" t="s">
        <v>37</v>
      </c>
      <c r="G630" s="1" t="s">
        <v>64</v>
      </c>
      <c r="H630" s="1" t="s">
        <v>31</v>
      </c>
      <c r="I630" s="1" t="s">
        <v>65</v>
      </c>
      <c r="J630" s="1">
        <v>5</v>
      </c>
      <c r="K630" s="1">
        <v>593.04999999999995</v>
      </c>
      <c r="L630" s="1">
        <v>0.05</v>
      </c>
      <c r="M630" s="1">
        <v>2965.25</v>
      </c>
      <c r="N630" s="1">
        <v>148.26249999999999</v>
      </c>
      <c r="O630" s="1">
        <v>2816.9875000000002</v>
      </c>
      <c r="P630" s="1">
        <v>1464.8335</v>
      </c>
      <c r="Q630" s="1">
        <v>1352.154</v>
      </c>
      <c r="R630" s="1">
        <v>48</v>
      </c>
      <c r="S630" s="1" t="s">
        <v>60</v>
      </c>
    </row>
    <row r="631" spans="1:19" x14ac:dyDescent="0.35">
      <c r="A631" s="1" t="s">
        <v>979</v>
      </c>
      <c r="B631" s="3">
        <v>45924</v>
      </c>
      <c r="C631" s="1" t="s">
        <v>50</v>
      </c>
      <c r="D631" s="1">
        <v>9</v>
      </c>
      <c r="E631" s="1" t="s">
        <v>458</v>
      </c>
      <c r="F631" s="1" t="s">
        <v>22</v>
      </c>
      <c r="G631" s="1" t="s">
        <v>23</v>
      </c>
      <c r="H631" s="1" t="s">
        <v>77</v>
      </c>
      <c r="I631" s="1" t="s">
        <v>201</v>
      </c>
      <c r="J631" s="1">
        <v>2</v>
      </c>
      <c r="K631" s="1">
        <v>816.97</v>
      </c>
      <c r="L631" s="1">
        <v>0.1</v>
      </c>
      <c r="M631" s="1">
        <v>1633.94</v>
      </c>
      <c r="N631" s="1">
        <v>163.39400000000001</v>
      </c>
      <c r="O631" s="1">
        <v>1470.546</v>
      </c>
      <c r="P631" s="1">
        <v>1058.79312</v>
      </c>
      <c r="Q631" s="1">
        <v>411.75288</v>
      </c>
      <c r="R631" s="1">
        <v>28</v>
      </c>
      <c r="S631" s="1" t="s">
        <v>33</v>
      </c>
    </row>
    <row r="632" spans="1:19" x14ac:dyDescent="0.35">
      <c r="A632" s="1" t="s">
        <v>980</v>
      </c>
      <c r="B632" s="3">
        <v>45951</v>
      </c>
      <c r="C632" s="1" t="s">
        <v>35</v>
      </c>
      <c r="D632" s="1">
        <v>10</v>
      </c>
      <c r="E632" s="1" t="s">
        <v>981</v>
      </c>
      <c r="F632" s="1" t="s">
        <v>76</v>
      </c>
      <c r="G632" s="1" t="s">
        <v>64</v>
      </c>
      <c r="H632" s="1" t="s">
        <v>24</v>
      </c>
      <c r="I632" s="1" t="s">
        <v>25</v>
      </c>
      <c r="J632" s="1">
        <v>7</v>
      </c>
      <c r="K632" s="1">
        <v>1923.97</v>
      </c>
      <c r="L632" s="1">
        <v>0</v>
      </c>
      <c r="M632" s="1">
        <v>13467.79</v>
      </c>
      <c r="N632" s="1">
        <v>0</v>
      </c>
      <c r="O632" s="1">
        <v>13467.79</v>
      </c>
      <c r="P632" s="1">
        <v>7407.2845000000007</v>
      </c>
      <c r="Q632" s="1">
        <v>6060.5055000000002</v>
      </c>
      <c r="R632" s="1">
        <v>45</v>
      </c>
      <c r="S632" s="1" t="s">
        <v>26</v>
      </c>
    </row>
    <row r="633" spans="1:19" x14ac:dyDescent="0.35">
      <c r="A633" s="1" t="s">
        <v>982</v>
      </c>
      <c r="B633" s="3">
        <v>45914</v>
      </c>
      <c r="C633" s="1" t="s">
        <v>50</v>
      </c>
      <c r="D633" s="1">
        <v>9</v>
      </c>
      <c r="E633" s="1" t="s">
        <v>265</v>
      </c>
      <c r="F633" s="1" t="s">
        <v>111</v>
      </c>
      <c r="G633" s="1" t="s">
        <v>23</v>
      </c>
      <c r="H633" s="1" t="s">
        <v>24</v>
      </c>
      <c r="I633" s="1" t="s">
        <v>117</v>
      </c>
      <c r="J633" s="1">
        <v>7</v>
      </c>
      <c r="K633" s="1">
        <v>3803.21</v>
      </c>
      <c r="L633" s="1">
        <v>0.05</v>
      </c>
      <c r="M633" s="1">
        <v>26622.47</v>
      </c>
      <c r="N633" s="1">
        <v>1331.1234999999999</v>
      </c>
      <c r="O633" s="1">
        <v>25291.3465</v>
      </c>
      <c r="P633" s="1">
        <v>13910.240575</v>
      </c>
      <c r="Q633" s="1">
        <v>11381.105925</v>
      </c>
      <c r="R633" s="1">
        <v>44.999999999999993</v>
      </c>
      <c r="S633" s="1" t="s">
        <v>33</v>
      </c>
    </row>
    <row r="634" spans="1:19" x14ac:dyDescent="0.35">
      <c r="A634" s="1" t="s">
        <v>983</v>
      </c>
      <c r="B634" s="3">
        <v>45995</v>
      </c>
      <c r="C634" s="1" t="s">
        <v>67</v>
      </c>
      <c r="D634" s="1">
        <v>12</v>
      </c>
      <c r="E634" s="1" t="s">
        <v>984</v>
      </c>
      <c r="F634" s="1" t="s">
        <v>30</v>
      </c>
      <c r="G634" s="1" t="s">
        <v>64</v>
      </c>
      <c r="H634" s="1" t="s">
        <v>31</v>
      </c>
      <c r="I634" s="1" t="s">
        <v>190</v>
      </c>
      <c r="J634" s="1">
        <v>3</v>
      </c>
      <c r="K634" s="1">
        <v>3244.59</v>
      </c>
      <c r="L634" s="1">
        <v>0.2</v>
      </c>
      <c r="M634" s="1">
        <v>9733.77</v>
      </c>
      <c r="N634" s="1">
        <v>1946.7539999999999</v>
      </c>
      <c r="O634" s="1">
        <v>7787.0160000000014</v>
      </c>
      <c r="P634" s="1">
        <v>4049.2483200000011</v>
      </c>
      <c r="Q634" s="1">
        <v>3737.7676799999999</v>
      </c>
      <c r="R634" s="1">
        <v>48</v>
      </c>
      <c r="S634" s="1" t="s">
        <v>26</v>
      </c>
    </row>
    <row r="635" spans="1:19" x14ac:dyDescent="0.35">
      <c r="A635" s="1" t="s">
        <v>985</v>
      </c>
      <c r="B635" s="3">
        <v>45797</v>
      </c>
      <c r="C635" s="1" t="s">
        <v>97</v>
      </c>
      <c r="D635" s="1">
        <v>5</v>
      </c>
      <c r="E635" s="1" t="s">
        <v>657</v>
      </c>
      <c r="F635" s="1" t="s">
        <v>37</v>
      </c>
      <c r="G635" s="1" t="s">
        <v>64</v>
      </c>
      <c r="H635" s="1" t="s">
        <v>39</v>
      </c>
      <c r="I635" s="1" t="s">
        <v>234</v>
      </c>
      <c r="J635" s="1">
        <v>2</v>
      </c>
      <c r="K635" s="1">
        <v>38133.43</v>
      </c>
      <c r="L635" s="1">
        <v>0.1</v>
      </c>
      <c r="M635" s="1">
        <v>76266.86</v>
      </c>
      <c r="N635" s="1">
        <v>7626.6860000000006</v>
      </c>
      <c r="O635" s="1">
        <v>68640.173999999999</v>
      </c>
      <c r="P635" s="1">
        <v>53539.335720000003</v>
      </c>
      <c r="Q635" s="1">
        <v>15100.83828</v>
      </c>
      <c r="R635" s="1">
        <v>21.999999999999989</v>
      </c>
      <c r="S635" s="1" t="s">
        <v>33</v>
      </c>
    </row>
    <row r="636" spans="1:19" x14ac:dyDescent="0.35">
      <c r="A636" s="1" t="s">
        <v>986</v>
      </c>
      <c r="B636" s="3">
        <v>46019</v>
      </c>
      <c r="C636" s="1" t="s">
        <v>67</v>
      </c>
      <c r="D636" s="1">
        <v>12</v>
      </c>
      <c r="E636" s="1" t="s">
        <v>269</v>
      </c>
      <c r="F636" s="1" t="s">
        <v>47</v>
      </c>
      <c r="G636" s="1" t="s">
        <v>23</v>
      </c>
      <c r="H636" s="1" t="s">
        <v>24</v>
      </c>
      <c r="I636" s="1" t="s">
        <v>48</v>
      </c>
      <c r="J636" s="1">
        <v>5</v>
      </c>
      <c r="K636" s="1">
        <v>4120.6899999999996</v>
      </c>
      <c r="L636" s="1">
        <v>0.1</v>
      </c>
      <c r="M636" s="1">
        <v>20603.45</v>
      </c>
      <c r="N636" s="1">
        <v>2060.3449999999998</v>
      </c>
      <c r="O636" s="1">
        <v>18543.105</v>
      </c>
      <c r="P636" s="1">
        <v>10198.70775</v>
      </c>
      <c r="Q636" s="1">
        <v>8344.3972499999982</v>
      </c>
      <c r="R636" s="1">
        <v>45</v>
      </c>
      <c r="S636" s="1" t="s">
        <v>60</v>
      </c>
    </row>
    <row r="637" spans="1:19" x14ac:dyDescent="0.35">
      <c r="A637" s="1" t="s">
        <v>987</v>
      </c>
      <c r="B637" s="3">
        <v>45786</v>
      </c>
      <c r="C637" s="1" t="s">
        <v>97</v>
      </c>
      <c r="D637" s="1">
        <v>5</v>
      </c>
      <c r="E637" s="1" t="s">
        <v>152</v>
      </c>
      <c r="F637" s="1" t="s">
        <v>37</v>
      </c>
      <c r="G637" s="1" t="s">
        <v>38</v>
      </c>
      <c r="H637" s="1" t="s">
        <v>99</v>
      </c>
      <c r="I637" s="1" t="s">
        <v>145</v>
      </c>
      <c r="J637" s="1">
        <v>6</v>
      </c>
      <c r="K637" s="1">
        <v>21319.35</v>
      </c>
      <c r="L637" s="1">
        <v>0.2</v>
      </c>
      <c r="M637" s="1">
        <v>127916.1</v>
      </c>
      <c r="N637" s="1">
        <v>25583.22</v>
      </c>
      <c r="O637" s="1">
        <v>102332.88</v>
      </c>
      <c r="P637" s="1">
        <v>69586.358399999997</v>
      </c>
      <c r="Q637" s="1">
        <v>32746.521599999989</v>
      </c>
      <c r="R637" s="1">
        <v>32</v>
      </c>
      <c r="S637" s="1" t="s">
        <v>60</v>
      </c>
    </row>
    <row r="638" spans="1:19" x14ac:dyDescent="0.35">
      <c r="A638" s="1" t="s">
        <v>988</v>
      </c>
      <c r="B638" s="3">
        <v>45708</v>
      </c>
      <c r="C638" s="1" t="s">
        <v>42</v>
      </c>
      <c r="D638" s="1">
        <v>2</v>
      </c>
      <c r="E638" s="1" t="s">
        <v>767</v>
      </c>
      <c r="F638" s="1" t="s">
        <v>111</v>
      </c>
      <c r="G638" s="1" t="s">
        <v>23</v>
      </c>
      <c r="H638" s="1" t="s">
        <v>99</v>
      </c>
      <c r="I638" s="1" t="s">
        <v>120</v>
      </c>
      <c r="J638" s="1">
        <v>6</v>
      </c>
      <c r="K638" s="1">
        <v>13412.9</v>
      </c>
      <c r="L638" s="1">
        <v>0</v>
      </c>
      <c r="M638" s="1">
        <v>80477.399999999994</v>
      </c>
      <c r="N638" s="1">
        <v>0</v>
      </c>
      <c r="O638" s="1">
        <v>80477.399999999994</v>
      </c>
      <c r="P638" s="1">
        <v>54724.631999999998</v>
      </c>
      <c r="Q638" s="1">
        <v>25752.768</v>
      </c>
      <c r="R638" s="1">
        <v>32</v>
      </c>
      <c r="S638" s="1" t="s">
        <v>60</v>
      </c>
    </row>
    <row r="639" spans="1:19" x14ac:dyDescent="0.35">
      <c r="A639" s="1" t="s">
        <v>989</v>
      </c>
      <c r="B639" s="3">
        <v>45696</v>
      </c>
      <c r="C639" s="1" t="s">
        <v>42</v>
      </c>
      <c r="D639" s="1">
        <v>2</v>
      </c>
      <c r="E639" s="1" t="s">
        <v>990</v>
      </c>
      <c r="F639" s="1" t="s">
        <v>37</v>
      </c>
      <c r="G639" s="1" t="s">
        <v>38</v>
      </c>
      <c r="H639" s="1" t="s">
        <v>39</v>
      </c>
      <c r="I639" s="1" t="s">
        <v>214</v>
      </c>
      <c r="J639" s="1">
        <v>3</v>
      </c>
      <c r="K639" s="1">
        <v>52631.01</v>
      </c>
      <c r="L639" s="1">
        <v>0.2</v>
      </c>
      <c r="M639" s="1">
        <v>157893.03</v>
      </c>
      <c r="N639" s="1">
        <v>31578.606</v>
      </c>
      <c r="O639" s="1">
        <v>126314.424</v>
      </c>
      <c r="P639" s="1">
        <v>98525.250719999996</v>
      </c>
      <c r="Q639" s="1">
        <v>27789.173279999999</v>
      </c>
      <c r="R639" s="1">
        <v>22</v>
      </c>
      <c r="S639" s="1" t="s">
        <v>60</v>
      </c>
    </row>
    <row r="640" spans="1:19" x14ac:dyDescent="0.35">
      <c r="A640" s="1" t="s">
        <v>991</v>
      </c>
      <c r="B640" s="3">
        <v>45837</v>
      </c>
      <c r="C640" s="1" t="s">
        <v>82</v>
      </c>
      <c r="D640" s="1">
        <v>6</v>
      </c>
      <c r="E640" s="1" t="s">
        <v>236</v>
      </c>
      <c r="F640" s="1" t="s">
        <v>43</v>
      </c>
      <c r="G640" s="1" t="s">
        <v>23</v>
      </c>
      <c r="H640" s="1" t="s">
        <v>99</v>
      </c>
      <c r="I640" s="1" t="s">
        <v>120</v>
      </c>
      <c r="J640" s="1">
        <v>2</v>
      </c>
      <c r="K640" s="1">
        <v>15478.18</v>
      </c>
      <c r="L640" s="1">
        <v>0</v>
      </c>
      <c r="M640" s="1">
        <v>30956.36</v>
      </c>
      <c r="N640" s="1">
        <v>0</v>
      </c>
      <c r="O640" s="1">
        <v>30956.36</v>
      </c>
      <c r="P640" s="1">
        <v>21050.324799999999</v>
      </c>
      <c r="Q640" s="1">
        <v>9906.0351999999984</v>
      </c>
      <c r="R640" s="1">
        <v>32</v>
      </c>
      <c r="S640" s="1" t="s">
        <v>60</v>
      </c>
    </row>
    <row r="641" spans="1:19" x14ac:dyDescent="0.35">
      <c r="A641" s="1" t="s">
        <v>992</v>
      </c>
      <c r="B641" s="3">
        <v>45870</v>
      </c>
      <c r="C641" s="1" t="s">
        <v>113</v>
      </c>
      <c r="D641" s="1">
        <v>8</v>
      </c>
      <c r="E641" s="1" t="s">
        <v>993</v>
      </c>
      <c r="F641" s="1" t="s">
        <v>69</v>
      </c>
      <c r="G641" s="1" t="s">
        <v>38</v>
      </c>
      <c r="H641" s="1" t="s">
        <v>99</v>
      </c>
      <c r="I641" s="1" t="s">
        <v>145</v>
      </c>
      <c r="J641" s="1">
        <v>2</v>
      </c>
      <c r="K641" s="1">
        <v>4762.66</v>
      </c>
      <c r="L641" s="1">
        <v>0.1</v>
      </c>
      <c r="M641" s="1">
        <v>9525.32</v>
      </c>
      <c r="N641" s="1">
        <v>952.53200000000004</v>
      </c>
      <c r="O641" s="1">
        <v>8572.7880000000005</v>
      </c>
      <c r="P641" s="1">
        <v>5829.4958399999996</v>
      </c>
      <c r="Q641" s="1">
        <v>2743.29216</v>
      </c>
      <c r="R641" s="1">
        <v>32</v>
      </c>
      <c r="S641" s="1" t="s">
        <v>93</v>
      </c>
    </row>
    <row r="642" spans="1:19" x14ac:dyDescent="0.35">
      <c r="A642" s="1" t="s">
        <v>994</v>
      </c>
      <c r="B642" s="3">
        <v>45903</v>
      </c>
      <c r="C642" s="1" t="s">
        <v>50</v>
      </c>
      <c r="D642" s="1">
        <v>9</v>
      </c>
      <c r="E642" s="1" t="s">
        <v>484</v>
      </c>
      <c r="F642" s="1" t="s">
        <v>111</v>
      </c>
      <c r="G642" s="1" t="s">
        <v>23</v>
      </c>
      <c r="H642" s="1" t="s">
        <v>99</v>
      </c>
      <c r="I642" s="1" t="s">
        <v>108</v>
      </c>
      <c r="J642" s="1">
        <v>6</v>
      </c>
      <c r="K642" s="1">
        <v>10379.469999999999</v>
      </c>
      <c r="L642" s="1">
        <v>0.15</v>
      </c>
      <c r="M642" s="1">
        <v>62276.819999999992</v>
      </c>
      <c r="N642" s="1">
        <v>9341.5229999999992</v>
      </c>
      <c r="O642" s="1">
        <v>52935.296999999991</v>
      </c>
      <c r="P642" s="1">
        <v>35996.001959999987</v>
      </c>
      <c r="Q642" s="1">
        <v>16939.295040000001</v>
      </c>
      <c r="R642" s="1">
        <v>32</v>
      </c>
      <c r="S642" s="1" t="s">
        <v>60</v>
      </c>
    </row>
    <row r="643" spans="1:19" x14ac:dyDescent="0.35">
      <c r="A643" s="1" t="s">
        <v>995</v>
      </c>
      <c r="B643" s="3">
        <v>45796</v>
      </c>
      <c r="C643" s="1" t="s">
        <v>97</v>
      </c>
      <c r="D643" s="1">
        <v>5</v>
      </c>
      <c r="E643" s="1" t="s">
        <v>231</v>
      </c>
      <c r="F643" s="1" t="s">
        <v>30</v>
      </c>
      <c r="G643" s="1" t="s">
        <v>64</v>
      </c>
      <c r="H643" s="1" t="s">
        <v>99</v>
      </c>
      <c r="I643" s="1" t="s">
        <v>108</v>
      </c>
      <c r="J643" s="1">
        <v>2</v>
      </c>
      <c r="K643" s="1">
        <v>15204.4</v>
      </c>
      <c r="L643" s="1">
        <v>0.1</v>
      </c>
      <c r="M643" s="1">
        <v>30408.799999999999</v>
      </c>
      <c r="N643" s="1">
        <v>3040.88</v>
      </c>
      <c r="O643" s="1">
        <v>27367.919999999998</v>
      </c>
      <c r="P643" s="1">
        <v>18610.185600000001</v>
      </c>
      <c r="Q643" s="1">
        <v>8757.7343999999975</v>
      </c>
      <c r="R643" s="1">
        <v>32</v>
      </c>
      <c r="S643" s="1" t="s">
        <v>73</v>
      </c>
    </row>
    <row r="644" spans="1:19" x14ac:dyDescent="0.35">
      <c r="A644" s="1" t="s">
        <v>996</v>
      </c>
      <c r="B644" s="3">
        <v>45867</v>
      </c>
      <c r="C644" s="1" t="s">
        <v>62</v>
      </c>
      <c r="D644" s="1">
        <v>7</v>
      </c>
      <c r="E644" s="1" t="s">
        <v>359</v>
      </c>
      <c r="F644" s="1" t="s">
        <v>76</v>
      </c>
      <c r="G644" s="1" t="s">
        <v>23</v>
      </c>
      <c r="H644" s="1" t="s">
        <v>31</v>
      </c>
      <c r="I644" s="1" t="s">
        <v>65</v>
      </c>
      <c r="J644" s="1">
        <v>6</v>
      </c>
      <c r="K644" s="1">
        <v>1790.66</v>
      </c>
      <c r="L644" s="1">
        <v>0.2</v>
      </c>
      <c r="M644" s="1">
        <v>10743.96</v>
      </c>
      <c r="N644" s="1">
        <v>2148.7919999999999</v>
      </c>
      <c r="O644" s="1">
        <v>8595.1680000000015</v>
      </c>
      <c r="P644" s="1">
        <v>4469.487360000001</v>
      </c>
      <c r="Q644" s="1">
        <v>4125.6806399999996</v>
      </c>
      <c r="R644" s="1">
        <v>48</v>
      </c>
      <c r="S644" s="1" t="s">
        <v>60</v>
      </c>
    </row>
    <row r="645" spans="1:19" x14ac:dyDescent="0.35">
      <c r="A645" s="1" t="s">
        <v>997</v>
      </c>
      <c r="B645" s="3">
        <v>45675</v>
      </c>
      <c r="C645" s="1" t="s">
        <v>193</v>
      </c>
      <c r="D645" s="1">
        <v>1</v>
      </c>
      <c r="E645" s="1" t="s">
        <v>396</v>
      </c>
      <c r="F645" s="1" t="s">
        <v>69</v>
      </c>
      <c r="G645" s="1" t="s">
        <v>23</v>
      </c>
      <c r="H645" s="1" t="s">
        <v>39</v>
      </c>
      <c r="I645" s="1" t="s">
        <v>40</v>
      </c>
      <c r="J645" s="1">
        <v>5</v>
      </c>
      <c r="K645" s="1">
        <v>17382.16</v>
      </c>
      <c r="L645" s="1">
        <v>0</v>
      </c>
      <c r="M645" s="1">
        <v>86910.8</v>
      </c>
      <c r="N645" s="1">
        <v>0</v>
      </c>
      <c r="O645" s="1">
        <v>86910.8</v>
      </c>
      <c r="P645" s="1">
        <v>67790.423999999999</v>
      </c>
      <c r="Q645" s="1">
        <v>19120.376</v>
      </c>
      <c r="R645" s="1">
        <v>22</v>
      </c>
      <c r="S645" s="1" t="s">
        <v>73</v>
      </c>
    </row>
    <row r="646" spans="1:19" x14ac:dyDescent="0.35">
      <c r="A646" s="1" t="s">
        <v>998</v>
      </c>
      <c r="B646" s="3">
        <v>45907</v>
      </c>
      <c r="C646" s="1" t="s">
        <v>50</v>
      </c>
      <c r="D646" s="1">
        <v>9</v>
      </c>
      <c r="E646" s="1" t="s">
        <v>764</v>
      </c>
      <c r="F646" s="1" t="s">
        <v>111</v>
      </c>
      <c r="G646" s="1" t="s">
        <v>23</v>
      </c>
      <c r="H646" s="1" t="s">
        <v>24</v>
      </c>
      <c r="I646" s="1" t="s">
        <v>48</v>
      </c>
      <c r="J646" s="1">
        <v>2</v>
      </c>
      <c r="K646" s="1">
        <v>588.15</v>
      </c>
      <c r="L646" s="1">
        <v>0.3</v>
      </c>
      <c r="M646" s="1">
        <v>1176.3</v>
      </c>
      <c r="N646" s="1">
        <v>352.89</v>
      </c>
      <c r="O646" s="1">
        <v>823.41</v>
      </c>
      <c r="P646" s="1">
        <v>452.87549999999999</v>
      </c>
      <c r="Q646" s="1">
        <v>370.53449999999992</v>
      </c>
      <c r="R646" s="1">
        <v>44.999999999999993</v>
      </c>
      <c r="S646" s="1" t="s">
        <v>73</v>
      </c>
    </row>
    <row r="647" spans="1:19" x14ac:dyDescent="0.35">
      <c r="A647" s="1" t="s">
        <v>999</v>
      </c>
      <c r="B647" s="3">
        <v>45784</v>
      </c>
      <c r="C647" s="1" t="s">
        <v>97</v>
      </c>
      <c r="D647" s="1">
        <v>5</v>
      </c>
      <c r="E647" s="1" t="s">
        <v>622</v>
      </c>
      <c r="F647" s="1" t="s">
        <v>22</v>
      </c>
      <c r="G647" s="1" t="s">
        <v>23</v>
      </c>
      <c r="H647" s="1" t="s">
        <v>31</v>
      </c>
      <c r="I647" s="1" t="s">
        <v>59</v>
      </c>
      <c r="J647" s="1">
        <v>7</v>
      </c>
      <c r="K647" s="1">
        <v>3277.47</v>
      </c>
      <c r="L647" s="1">
        <v>0.15</v>
      </c>
      <c r="M647" s="1">
        <v>22942.29</v>
      </c>
      <c r="N647" s="1">
        <v>3441.343499999999</v>
      </c>
      <c r="O647" s="1">
        <v>19500.946499999998</v>
      </c>
      <c r="P647" s="1">
        <v>10140.492179999999</v>
      </c>
      <c r="Q647" s="1">
        <v>9360.4543199999989</v>
      </c>
      <c r="R647" s="1">
        <v>48</v>
      </c>
      <c r="S647" s="1" t="s">
        <v>60</v>
      </c>
    </row>
    <row r="648" spans="1:19" x14ac:dyDescent="0.35">
      <c r="A648" s="1" t="s">
        <v>1000</v>
      </c>
      <c r="B648" s="3">
        <v>45689</v>
      </c>
      <c r="C648" s="1" t="s">
        <v>42</v>
      </c>
      <c r="D648" s="1">
        <v>2</v>
      </c>
      <c r="E648" s="1" t="s">
        <v>662</v>
      </c>
      <c r="F648" s="1" t="s">
        <v>111</v>
      </c>
      <c r="G648" s="1" t="s">
        <v>23</v>
      </c>
      <c r="H648" s="1" t="s">
        <v>31</v>
      </c>
      <c r="I648" s="1" t="s">
        <v>32</v>
      </c>
      <c r="J648" s="1">
        <v>5</v>
      </c>
      <c r="K648" s="1">
        <v>2340.65</v>
      </c>
      <c r="L648" s="1">
        <v>0.25</v>
      </c>
      <c r="M648" s="1">
        <v>11703.25</v>
      </c>
      <c r="N648" s="1">
        <v>2925.8125</v>
      </c>
      <c r="O648" s="1">
        <v>8777.4375</v>
      </c>
      <c r="P648" s="1">
        <v>4564.2674999999999</v>
      </c>
      <c r="Q648" s="1">
        <v>4213.17</v>
      </c>
      <c r="R648" s="1">
        <v>48</v>
      </c>
      <c r="S648" s="1" t="s">
        <v>73</v>
      </c>
    </row>
    <row r="649" spans="1:19" x14ac:dyDescent="0.35">
      <c r="A649" s="1" t="s">
        <v>1001</v>
      </c>
      <c r="B649" s="3">
        <v>45905</v>
      </c>
      <c r="C649" s="1" t="s">
        <v>50</v>
      </c>
      <c r="D649" s="1">
        <v>9</v>
      </c>
      <c r="E649" s="1" t="s">
        <v>608</v>
      </c>
      <c r="F649" s="1" t="s">
        <v>76</v>
      </c>
      <c r="G649" s="1" t="s">
        <v>38</v>
      </c>
      <c r="H649" s="1" t="s">
        <v>24</v>
      </c>
      <c r="I649" s="1" t="s">
        <v>48</v>
      </c>
      <c r="J649" s="1">
        <v>3</v>
      </c>
      <c r="K649" s="1">
        <v>2155.31</v>
      </c>
      <c r="L649" s="1">
        <v>0.05</v>
      </c>
      <c r="M649" s="1">
        <v>6465.93</v>
      </c>
      <c r="N649" s="1">
        <v>323.29649999999998</v>
      </c>
      <c r="O649" s="1">
        <v>6142.6334999999999</v>
      </c>
      <c r="P649" s="1">
        <v>3378.448425</v>
      </c>
      <c r="Q649" s="1">
        <v>2764.1850749999999</v>
      </c>
      <c r="R649" s="1">
        <v>45</v>
      </c>
      <c r="S649" s="1" t="s">
        <v>73</v>
      </c>
    </row>
    <row r="650" spans="1:19" x14ac:dyDescent="0.35">
      <c r="A650" s="1" t="s">
        <v>1002</v>
      </c>
      <c r="B650" s="3">
        <v>45808</v>
      </c>
      <c r="C650" s="1" t="s">
        <v>97</v>
      </c>
      <c r="D650" s="1">
        <v>5</v>
      </c>
      <c r="E650" s="1" t="s">
        <v>679</v>
      </c>
      <c r="F650" s="1" t="s">
        <v>22</v>
      </c>
      <c r="G650" s="1" t="s">
        <v>64</v>
      </c>
      <c r="H650" s="1" t="s">
        <v>31</v>
      </c>
      <c r="I650" s="1" t="s">
        <v>190</v>
      </c>
      <c r="J650" s="1">
        <v>5</v>
      </c>
      <c r="K650" s="1">
        <v>1746.24</v>
      </c>
      <c r="L650" s="1">
        <v>0.05</v>
      </c>
      <c r="M650" s="1">
        <v>8731.2000000000007</v>
      </c>
      <c r="N650" s="1">
        <v>436.56000000000012</v>
      </c>
      <c r="O650" s="1">
        <v>8294.6400000000012</v>
      </c>
      <c r="P650" s="1">
        <v>4313.2128000000012</v>
      </c>
      <c r="Q650" s="1">
        <v>3981.4272000000001</v>
      </c>
      <c r="R650" s="1">
        <v>47.999999999999993</v>
      </c>
      <c r="S650" s="1" t="s">
        <v>93</v>
      </c>
    </row>
    <row r="651" spans="1:19" x14ac:dyDescent="0.35">
      <c r="A651" s="1" t="s">
        <v>1003</v>
      </c>
      <c r="B651" s="3">
        <v>45912</v>
      </c>
      <c r="C651" s="1" t="s">
        <v>50</v>
      </c>
      <c r="D651" s="1">
        <v>9</v>
      </c>
      <c r="E651" s="1" t="s">
        <v>165</v>
      </c>
      <c r="F651" s="1" t="s">
        <v>111</v>
      </c>
      <c r="G651" s="1" t="s">
        <v>64</v>
      </c>
      <c r="H651" s="1" t="s">
        <v>24</v>
      </c>
      <c r="I651" s="1" t="s">
        <v>48</v>
      </c>
      <c r="J651" s="1">
        <v>7</v>
      </c>
      <c r="K651" s="1">
        <v>615.54999999999995</v>
      </c>
      <c r="L651" s="1">
        <v>0</v>
      </c>
      <c r="M651" s="1">
        <v>4308.8499999999995</v>
      </c>
      <c r="N651" s="1">
        <v>0</v>
      </c>
      <c r="O651" s="1">
        <v>4308.8499999999995</v>
      </c>
      <c r="P651" s="1">
        <v>2369.8674999999998</v>
      </c>
      <c r="Q651" s="1">
        <v>1938.9825000000001</v>
      </c>
      <c r="R651" s="1">
        <v>44.999999999999993</v>
      </c>
      <c r="S651" s="1" t="s">
        <v>60</v>
      </c>
    </row>
    <row r="652" spans="1:19" x14ac:dyDescent="0.35">
      <c r="A652" s="1" t="s">
        <v>1004</v>
      </c>
      <c r="B652" s="3">
        <v>45669</v>
      </c>
      <c r="C652" s="1" t="s">
        <v>193</v>
      </c>
      <c r="D652" s="1">
        <v>1</v>
      </c>
      <c r="E652" s="1" t="s">
        <v>130</v>
      </c>
      <c r="F652" s="1" t="s">
        <v>111</v>
      </c>
      <c r="G652" s="1" t="s">
        <v>23</v>
      </c>
      <c r="H652" s="1" t="s">
        <v>31</v>
      </c>
      <c r="I652" s="1" t="s">
        <v>32</v>
      </c>
      <c r="J652" s="1">
        <v>6</v>
      </c>
      <c r="K652" s="1">
        <v>2294.04</v>
      </c>
      <c r="L652" s="1">
        <v>0.15</v>
      </c>
      <c r="M652" s="1">
        <v>13764.24</v>
      </c>
      <c r="N652" s="1">
        <v>2064.636</v>
      </c>
      <c r="O652" s="1">
        <v>11699.603999999999</v>
      </c>
      <c r="P652" s="1">
        <v>6083.7940799999997</v>
      </c>
      <c r="Q652" s="1">
        <v>5615.8099199999997</v>
      </c>
      <c r="R652" s="1">
        <v>48</v>
      </c>
      <c r="S652" s="1" t="s">
        <v>93</v>
      </c>
    </row>
    <row r="653" spans="1:19" x14ac:dyDescent="0.35">
      <c r="A653" s="1" t="s">
        <v>1005</v>
      </c>
      <c r="B653" s="3">
        <v>45760</v>
      </c>
      <c r="C653" s="1" t="s">
        <v>20</v>
      </c>
      <c r="D653" s="1">
        <v>4</v>
      </c>
      <c r="E653" s="1" t="s">
        <v>307</v>
      </c>
      <c r="F653" s="1" t="s">
        <v>52</v>
      </c>
      <c r="G653" s="1" t="s">
        <v>64</v>
      </c>
      <c r="H653" s="1" t="s">
        <v>99</v>
      </c>
      <c r="I653" s="1" t="s">
        <v>223</v>
      </c>
      <c r="J653" s="1">
        <v>5</v>
      </c>
      <c r="K653" s="1">
        <v>17723.89</v>
      </c>
      <c r="L653" s="1">
        <v>0.1</v>
      </c>
      <c r="M653" s="1">
        <v>88619.45</v>
      </c>
      <c r="N653" s="1">
        <v>8861.9449999999997</v>
      </c>
      <c r="O653" s="1">
        <v>79757.505000000005</v>
      </c>
      <c r="P653" s="1">
        <v>54235.103400000007</v>
      </c>
      <c r="Q653" s="1">
        <v>25522.401600000001</v>
      </c>
      <c r="R653" s="1">
        <v>32</v>
      </c>
      <c r="S653" s="1" t="s">
        <v>60</v>
      </c>
    </row>
    <row r="654" spans="1:19" x14ac:dyDescent="0.35">
      <c r="A654" s="1" t="s">
        <v>1006</v>
      </c>
      <c r="B654" s="3">
        <v>45857</v>
      </c>
      <c r="C654" s="1" t="s">
        <v>62</v>
      </c>
      <c r="D654" s="1">
        <v>7</v>
      </c>
      <c r="E654" s="1" t="s">
        <v>923</v>
      </c>
      <c r="F654" s="1" t="s">
        <v>111</v>
      </c>
      <c r="G654" s="1" t="s">
        <v>64</v>
      </c>
      <c r="H654" s="1" t="s">
        <v>31</v>
      </c>
      <c r="I654" s="1" t="s">
        <v>190</v>
      </c>
      <c r="J654" s="1">
        <v>3</v>
      </c>
      <c r="K654" s="1">
        <v>875.85</v>
      </c>
      <c r="L654" s="1">
        <v>0.2</v>
      </c>
      <c r="M654" s="1">
        <v>2627.55</v>
      </c>
      <c r="N654" s="1">
        <v>525.5100000000001</v>
      </c>
      <c r="O654" s="1">
        <v>2102.04</v>
      </c>
      <c r="P654" s="1">
        <v>1093.0608</v>
      </c>
      <c r="Q654" s="1">
        <v>1008.9792</v>
      </c>
      <c r="R654" s="1">
        <v>48</v>
      </c>
      <c r="S654" s="1" t="s">
        <v>26</v>
      </c>
    </row>
    <row r="655" spans="1:19" x14ac:dyDescent="0.35">
      <c r="A655" s="1" t="s">
        <v>1007</v>
      </c>
      <c r="B655" s="3">
        <v>45667</v>
      </c>
      <c r="C655" s="1" t="s">
        <v>193</v>
      </c>
      <c r="D655" s="1">
        <v>1</v>
      </c>
      <c r="E655" s="1" t="s">
        <v>441</v>
      </c>
      <c r="F655" s="1" t="s">
        <v>43</v>
      </c>
      <c r="G655" s="1" t="s">
        <v>38</v>
      </c>
      <c r="H655" s="1" t="s">
        <v>24</v>
      </c>
      <c r="I655" s="1" t="s">
        <v>48</v>
      </c>
      <c r="J655" s="1">
        <v>6</v>
      </c>
      <c r="K655" s="1">
        <v>5906.21</v>
      </c>
      <c r="L655" s="1">
        <v>0.15</v>
      </c>
      <c r="M655" s="1">
        <v>35437.26</v>
      </c>
      <c r="N655" s="1">
        <v>5315.5889999999999</v>
      </c>
      <c r="O655" s="1">
        <v>30121.670999999998</v>
      </c>
      <c r="P655" s="1">
        <v>16566.91905</v>
      </c>
      <c r="Q655" s="1">
        <v>13554.75195</v>
      </c>
      <c r="R655" s="1">
        <v>44.999999999999993</v>
      </c>
      <c r="S655" s="1" t="s">
        <v>73</v>
      </c>
    </row>
    <row r="656" spans="1:19" x14ac:dyDescent="0.35">
      <c r="A656" s="1" t="s">
        <v>1008</v>
      </c>
      <c r="B656" s="3">
        <v>45758</v>
      </c>
      <c r="C656" s="1" t="s">
        <v>20</v>
      </c>
      <c r="D656" s="1">
        <v>4</v>
      </c>
      <c r="E656" s="1" t="s">
        <v>276</v>
      </c>
      <c r="F656" s="1" t="s">
        <v>43</v>
      </c>
      <c r="G656" s="1" t="s">
        <v>38</v>
      </c>
      <c r="H656" s="1" t="s">
        <v>53</v>
      </c>
      <c r="I656" s="1" t="s">
        <v>54</v>
      </c>
      <c r="J656" s="1">
        <v>1</v>
      </c>
      <c r="K656" s="1">
        <v>2186.88</v>
      </c>
      <c r="L656" s="1">
        <v>0.05</v>
      </c>
      <c r="M656" s="1">
        <v>2186.88</v>
      </c>
      <c r="N656" s="1">
        <v>109.34399999999999</v>
      </c>
      <c r="O656" s="1">
        <v>2077.5360000000001</v>
      </c>
      <c r="P656" s="1">
        <v>1204.9708800000001</v>
      </c>
      <c r="Q656" s="1">
        <v>872.56512000000021</v>
      </c>
      <c r="R656" s="1">
        <v>42.000000000000007</v>
      </c>
      <c r="S656" s="1" t="s">
        <v>60</v>
      </c>
    </row>
    <row r="657" spans="1:19" x14ac:dyDescent="0.35">
      <c r="A657" s="1" t="s">
        <v>1009</v>
      </c>
      <c r="B657" s="3">
        <v>45917</v>
      </c>
      <c r="C657" s="1" t="s">
        <v>50</v>
      </c>
      <c r="D657" s="1">
        <v>9</v>
      </c>
      <c r="E657" s="1" t="s">
        <v>71</v>
      </c>
      <c r="F657" s="1" t="s">
        <v>37</v>
      </c>
      <c r="G657" s="1" t="s">
        <v>64</v>
      </c>
      <c r="H657" s="1" t="s">
        <v>31</v>
      </c>
      <c r="I657" s="1" t="s">
        <v>32</v>
      </c>
      <c r="J657" s="1">
        <v>1</v>
      </c>
      <c r="K657" s="1">
        <v>640.04</v>
      </c>
      <c r="L657" s="1">
        <v>0.05</v>
      </c>
      <c r="M657" s="1">
        <v>640.04</v>
      </c>
      <c r="N657" s="1">
        <v>32.002000000000002</v>
      </c>
      <c r="O657" s="1">
        <v>608.03800000000001</v>
      </c>
      <c r="P657" s="1">
        <v>316.17975999999999</v>
      </c>
      <c r="Q657" s="1">
        <v>291.85824000000002</v>
      </c>
      <c r="R657" s="1">
        <v>47.999999999999993</v>
      </c>
      <c r="S657" s="1" t="s">
        <v>73</v>
      </c>
    </row>
    <row r="658" spans="1:19" x14ac:dyDescent="0.35">
      <c r="A658" s="1" t="s">
        <v>1010</v>
      </c>
      <c r="B658" s="3">
        <v>45658</v>
      </c>
      <c r="C658" s="1" t="s">
        <v>193</v>
      </c>
      <c r="D658" s="1">
        <v>1</v>
      </c>
      <c r="E658" s="1" t="s">
        <v>693</v>
      </c>
      <c r="F658" s="1" t="s">
        <v>37</v>
      </c>
      <c r="G658" s="1" t="s">
        <v>23</v>
      </c>
      <c r="H658" s="1" t="s">
        <v>99</v>
      </c>
      <c r="I658" s="1" t="s">
        <v>145</v>
      </c>
      <c r="J658" s="1">
        <v>1</v>
      </c>
      <c r="K658" s="1">
        <v>11499.62</v>
      </c>
      <c r="L658" s="1">
        <v>0</v>
      </c>
      <c r="M658" s="1">
        <v>11499.62</v>
      </c>
      <c r="N658" s="1">
        <v>0</v>
      </c>
      <c r="O658" s="1">
        <v>11499.62</v>
      </c>
      <c r="P658" s="1">
        <v>7819.7416000000012</v>
      </c>
      <c r="Q658" s="1">
        <v>3679.8784000000001</v>
      </c>
      <c r="R658" s="1">
        <v>32</v>
      </c>
      <c r="S658" s="1" t="s">
        <v>60</v>
      </c>
    </row>
    <row r="659" spans="1:19" x14ac:dyDescent="0.35">
      <c r="A659" s="1" t="s">
        <v>1011</v>
      </c>
      <c r="B659" s="3">
        <v>45951</v>
      </c>
      <c r="C659" s="1" t="s">
        <v>35</v>
      </c>
      <c r="D659" s="1">
        <v>10</v>
      </c>
      <c r="E659" s="1" t="s">
        <v>326</v>
      </c>
      <c r="F659" s="1" t="s">
        <v>22</v>
      </c>
      <c r="G659" s="1" t="s">
        <v>23</v>
      </c>
      <c r="H659" s="1" t="s">
        <v>77</v>
      </c>
      <c r="I659" s="1" t="s">
        <v>148</v>
      </c>
      <c r="J659" s="1">
        <v>4</v>
      </c>
      <c r="K659" s="1">
        <v>856.26</v>
      </c>
      <c r="L659" s="1">
        <v>0.1</v>
      </c>
      <c r="M659" s="1">
        <v>3425.04</v>
      </c>
      <c r="N659" s="1">
        <v>342.50400000000002</v>
      </c>
      <c r="O659" s="1">
        <v>3082.5360000000001</v>
      </c>
      <c r="P659" s="1">
        <v>2219.4259200000001</v>
      </c>
      <c r="Q659" s="1">
        <v>863.11007999999993</v>
      </c>
      <c r="R659" s="1">
        <v>28</v>
      </c>
      <c r="S659" s="1" t="s">
        <v>26</v>
      </c>
    </row>
    <row r="660" spans="1:19" x14ac:dyDescent="0.35">
      <c r="A660" s="1" t="s">
        <v>1012</v>
      </c>
      <c r="B660" s="3">
        <v>45956</v>
      </c>
      <c r="C660" s="1" t="s">
        <v>35</v>
      </c>
      <c r="D660" s="1">
        <v>10</v>
      </c>
      <c r="E660" s="1" t="s">
        <v>1013</v>
      </c>
      <c r="F660" s="1" t="s">
        <v>43</v>
      </c>
      <c r="G660" s="1" t="s">
        <v>38</v>
      </c>
      <c r="H660" s="1" t="s">
        <v>99</v>
      </c>
      <c r="I660" s="1" t="s">
        <v>120</v>
      </c>
      <c r="J660" s="1">
        <v>7</v>
      </c>
      <c r="K660" s="1">
        <v>22973.43</v>
      </c>
      <c r="L660" s="1">
        <v>0.15</v>
      </c>
      <c r="M660" s="1">
        <v>160814.01</v>
      </c>
      <c r="N660" s="1">
        <v>24122.101500000001</v>
      </c>
      <c r="O660" s="1">
        <v>136691.90849999999</v>
      </c>
      <c r="P660" s="1">
        <v>92950.49778000002</v>
      </c>
      <c r="Q660" s="1">
        <v>43741.41072</v>
      </c>
      <c r="R660" s="1">
        <v>32</v>
      </c>
      <c r="S660" s="1" t="s">
        <v>26</v>
      </c>
    </row>
    <row r="661" spans="1:19" x14ac:dyDescent="0.35">
      <c r="A661" s="1" t="s">
        <v>1014</v>
      </c>
      <c r="B661" s="3">
        <v>45852</v>
      </c>
      <c r="C661" s="1" t="s">
        <v>62</v>
      </c>
      <c r="D661" s="1">
        <v>7</v>
      </c>
      <c r="E661" s="1" t="s">
        <v>336</v>
      </c>
      <c r="F661" s="1" t="s">
        <v>76</v>
      </c>
      <c r="G661" s="1" t="s">
        <v>38</v>
      </c>
      <c r="H661" s="1" t="s">
        <v>77</v>
      </c>
      <c r="I661" s="1" t="s">
        <v>78</v>
      </c>
      <c r="J661" s="1">
        <v>1</v>
      </c>
      <c r="K661" s="1">
        <v>145.71</v>
      </c>
      <c r="L661" s="1">
        <v>0.2</v>
      </c>
      <c r="M661" s="1">
        <v>145.71</v>
      </c>
      <c r="N661" s="1">
        <v>29.141999999999999</v>
      </c>
      <c r="O661" s="1">
        <v>116.568</v>
      </c>
      <c r="P661" s="1">
        <v>83.928960000000004</v>
      </c>
      <c r="Q661" s="1">
        <v>32.639040000000008</v>
      </c>
      <c r="R661" s="1">
        <v>28</v>
      </c>
      <c r="S661" s="1" t="s">
        <v>33</v>
      </c>
    </row>
    <row r="662" spans="1:19" x14ac:dyDescent="0.35">
      <c r="A662" s="1" t="s">
        <v>1015</v>
      </c>
      <c r="B662" s="3">
        <v>46008</v>
      </c>
      <c r="C662" s="1" t="s">
        <v>67</v>
      </c>
      <c r="D662" s="1">
        <v>12</v>
      </c>
      <c r="E662" s="1" t="s">
        <v>993</v>
      </c>
      <c r="F662" s="1" t="s">
        <v>22</v>
      </c>
      <c r="G662" s="1" t="s">
        <v>64</v>
      </c>
      <c r="H662" s="1" t="s">
        <v>24</v>
      </c>
      <c r="I662" s="1" t="s">
        <v>139</v>
      </c>
      <c r="J662" s="1">
        <v>7</v>
      </c>
      <c r="K662" s="1">
        <v>1713.92</v>
      </c>
      <c r="L662" s="1">
        <v>0.05</v>
      </c>
      <c r="M662" s="1">
        <v>11997.44</v>
      </c>
      <c r="N662" s="1">
        <v>599.87200000000007</v>
      </c>
      <c r="O662" s="1">
        <v>11397.567999999999</v>
      </c>
      <c r="P662" s="1">
        <v>6268.6624000000011</v>
      </c>
      <c r="Q662" s="1">
        <v>5128.9056</v>
      </c>
      <c r="R662" s="1">
        <v>44.999999999999993</v>
      </c>
      <c r="S662" s="1" t="s">
        <v>60</v>
      </c>
    </row>
    <row r="663" spans="1:19" x14ac:dyDescent="0.35">
      <c r="A663" s="1" t="s">
        <v>1016</v>
      </c>
      <c r="B663" s="3">
        <v>45694</v>
      </c>
      <c r="C663" s="1" t="s">
        <v>42</v>
      </c>
      <c r="D663" s="1">
        <v>2</v>
      </c>
      <c r="E663" s="1" t="s">
        <v>240</v>
      </c>
      <c r="F663" s="1" t="s">
        <v>58</v>
      </c>
      <c r="G663" s="1" t="s">
        <v>38</v>
      </c>
      <c r="H663" s="1" t="s">
        <v>31</v>
      </c>
      <c r="I663" s="1" t="s">
        <v>65</v>
      </c>
      <c r="J663" s="1">
        <v>3</v>
      </c>
      <c r="K663" s="1">
        <v>1206.18</v>
      </c>
      <c r="L663" s="1">
        <v>0.05</v>
      </c>
      <c r="M663" s="1">
        <v>3618.54</v>
      </c>
      <c r="N663" s="1">
        <v>180.92699999999999</v>
      </c>
      <c r="O663" s="1">
        <v>3437.6129999999998</v>
      </c>
      <c r="P663" s="1">
        <v>1787.5587599999999</v>
      </c>
      <c r="Q663" s="1">
        <v>1650.0542399999999</v>
      </c>
      <c r="R663" s="1">
        <v>48</v>
      </c>
      <c r="S663" s="1" t="s">
        <v>33</v>
      </c>
    </row>
    <row r="664" spans="1:19" x14ac:dyDescent="0.35">
      <c r="A664" s="1" t="s">
        <v>1017</v>
      </c>
      <c r="B664" s="3">
        <v>45664</v>
      </c>
      <c r="C664" s="1" t="s">
        <v>193</v>
      </c>
      <c r="D664" s="1">
        <v>1</v>
      </c>
      <c r="E664" s="1" t="s">
        <v>833</v>
      </c>
      <c r="F664" s="1" t="s">
        <v>111</v>
      </c>
      <c r="G664" s="1" t="s">
        <v>38</v>
      </c>
      <c r="H664" s="1" t="s">
        <v>39</v>
      </c>
      <c r="I664" s="1" t="s">
        <v>214</v>
      </c>
      <c r="J664" s="1">
        <v>4</v>
      </c>
      <c r="K664" s="1">
        <v>12292.18</v>
      </c>
      <c r="L664" s="1">
        <v>0.1</v>
      </c>
      <c r="M664" s="1">
        <v>49168.72</v>
      </c>
      <c r="N664" s="1">
        <v>4916.8720000000003</v>
      </c>
      <c r="O664" s="1">
        <v>44251.847999999998</v>
      </c>
      <c r="P664" s="1">
        <v>34516.441440000002</v>
      </c>
      <c r="Q664" s="1">
        <v>9735.4065599999958</v>
      </c>
      <c r="R664" s="1">
        <v>21.999999999999989</v>
      </c>
      <c r="S664" s="1" t="s">
        <v>73</v>
      </c>
    </row>
    <row r="665" spans="1:19" x14ac:dyDescent="0.35">
      <c r="A665" s="1" t="s">
        <v>1018</v>
      </c>
      <c r="B665" s="3">
        <v>45954</v>
      </c>
      <c r="C665" s="1" t="s">
        <v>35</v>
      </c>
      <c r="D665" s="1">
        <v>10</v>
      </c>
      <c r="E665" s="1" t="s">
        <v>844</v>
      </c>
      <c r="F665" s="1" t="s">
        <v>69</v>
      </c>
      <c r="G665" s="1" t="s">
        <v>64</v>
      </c>
      <c r="H665" s="1" t="s">
        <v>31</v>
      </c>
      <c r="I665" s="1" t="s">
        <v>167</v>
      </c>
      <c r="J665" s="1">
        <v>7</v>
      </c>
      <c r="K665" s="1">
        <v>3140.76</v>
      </c>
      <c r="L665" s="1">
        <v>0.1</v>
      </c>
      <c r="M665" s="1">
        <v>21985.32</v>
      </c>
      <c r="N665" s="1">
        <v>2198.5320000000002</v>
      </c>
      <c r="O665" s="1">
        <v>19786.788</v>
      </c>
      <c r="P665" s="1">
        <v>10289.12976</v>
      </c>
      <c r="Q665" s="1">
        <v>9497.6582400000007</v>
      </c>
      <c r="R665" s="1">
        <v>48.000000000000007</v>
      </c>
      <c r="S665" s="1" t="s">
        <v>33</v>
      </c>
    </row>
    <row r="666" spans="1:19" x14ac:dyDescent="0.35">
      <c r="A666" s="1" t="s">
        <v>1019</v>
      </c>
      <c r="B666" s="3">
        <v>45888</v>
      </c>
      <c r="C666" s="1" t="s">
        <v>113</v>
      </c>
      <c r="D666" s="1">
        <v>8</v>
      </c>
      <c r="E666" s="1" t="s">
        <v>196</v>
      </c>
      <c r="F666" s="1" t="s">
        <v>111</v>
      </c>
      <c r="G666" s="1" t="s">
        <v>23</v>
      </c>
      <c r="H666" s="1" t="s">
        <v>77</v>
      </c>
      <c r="I666" s="1" t="s">
        <v>148</v>
      </c>
      <c r="J666" s="1">
        <v>5</v>
      </c>
      <c r="K666" s="1">
        <v>930.75</v>
      </c>
      <c r="L666" s="1">
        <v>0</v>
      </c>
      <c r="M666" s="1">
        <v>4653.75</v>
      </c>
      <c r="N666" s="1">
        <v>0</v>
      </c>
      <c r="O666" s="1">
        <v>4653.75</v>
      </c>
      <c r="P666" s="1">
        <v>3350.7</v>
      </c>
      <c r="Q666" s="1">
        <v>1303.05</v>
      </c>
      <c r="R666" s="1">
        <v>28</v>
      </c>
      <c r="S666" s="1" t="s">
        <v>33</v>
      </c>
    </row>
    <row r="667" spans="1:19" x14ac:dyDescent="0.35">
      <c r="A667" s="1" t="s">
        <v>1020</v>
      </c>
      <c r="B667" s="3">
        <v>45953</v>
      </c>
      <c r="C667" s="1" t="s">
        <v>35</v>
      </c>
      <c r="D667" s="1">
        <v>10</v>
      </c>
      <c r="E667" s="1" t="s">
        <v>119</v>
      </c>
      <c r="F667" s="1" t="s">
        <v>30</v>
      </c>
      <c r="G667" s="1" t="s">
        <v>64</v>
      </c>
      <c r="H667" s="1" t="s">
        <v>77</v>
      </c>
      <c r="I667" s="1" t="s">
        <v>78</v>
      </c>
      <c r="J667" s="1">
        <v>3</v>
      </c>
      <c r="K667" s="1">
        <v>81.17</v>
      </c>
      <c r="L667" s="1">
        <v>0.2</v>
      </c>
      <c r="M667" s="1">
        <v>243.51</v>
      </c>
      <c r="N667" s="1">
        <v>48.701999999999998</v>
      </c>
      <c r="O667" s="1">
        <v>194.80799999999999</v>
      </c>
      <c r="P667" s="1">
        <v>140.26176000000001</v>
      </c>
      <c r="Q667" s="1">
        <v>54.546240000000012</v>
      </c>
      <c r="R667" s="1">
        <v>28.000000000000011</v>
      </c>
      <c r="S667" s="1" t="s">
        <v>26</v>
      </c>
    </row>
    <row r="668" spans="1:19" x14ac:dyDescent="0.35">
      <c r="A668" s="1" t="s">
        <v>1021</v>
      </c>
      <c r="B668" s="3">
        <v>45949</v>
      </c>
      <c r="C668" s="1" t="s">
        <v>35</v>
      </c>
      <c r="D668" s="1">
        <v>10</v>
      </c>
      <c r="E668" s="1" t="s">
        <v>1022</v>
      </c>
      <c r="F668" s="1" t="s">
        <v>37</v>
      </c>
      <c r="G668" s="1" t="s">
        <v>38</v>
      </c>
      <c r="H668" s="1" t="s">
        <v>99</v>
      </c>
      <c r="I668" s="1" t="s">
        <v>120</v>
      </c>
      <c r="J668" s="1">
        <v>4</v>
      </c>
      <c r="K668" s="1">
        <v>11257.19</v>
      </c>
      <c r="L668" s="1">
        <v>0.25</v>
      </c>
      <c r="M668" s="1">
        <v>45028.76</v>
      </c>
      <c r="N668" s="1">
        <v>11257.19</v>
      </c>
      <c r="O668" s="1">
        <v>33771.57</v>
      </c>
      <c r="P668" s="1">
        <v>22964.667600000001</v>
      </c>
      <c r="Q668" s="1">
        <v>10806.902400000001</v>
      </c>
      <c r="R668" s="1">
        <v>32</v>
      </c>
      <c r="S668" s="1" t="s">
        <v>33</v>
      </c>
    </row>
    <row r="669" spans="1:19" x14ac:dyDescent="0.35">
      <c r="A669" s="1" t="s">
        <v>1023</v>
      </c>
      <c r="B669" s="3">
        <v>45784</v>
      </c>
      <c r="C669" s="1" t="s">
        <v>97</v>
      </c>
      <c r="D669" s="1">
        <v>5</v>
      </c>
      <c r="E669" s="1" t="s">
        <v>175</v>
      </c>
      <c r="F669" s="1" t="s">
        <v>111</v>
      </c>
      <c r="G669" s="1" t="s">
        <v>64</v>
      </c>
      <c r="H669" s="1" t="s">
        <v>77</v>
      </c>
      <c r="I669" s="1" t="s">
        <v>201</v>
      </c>
      <c r="J669" s="1">
        <v>7</v>
      </c>
      <c r="K669" s="1">
        <v>108.08</v>
      </c>
      <c r="L669" s="1">
        <v>0.1</v>
      </c>
      <c r="M669" s="1">
        <v>756.56</v>
      </c>
      <c r="N669" s="1">
        <v>75.655999999999992</v>
      </c>
      <c r="O669" s="1">
        <v>680.904</v>
      </c>
      <c r="P669" s="1">
        <v>490.25088</v>
      </c>
      <c r="Q669" s="1">
        <v>190.65312</v>
      </c>
      <c r="R669" s="1">
        <v>28</v>
      </c>
      <c r="S669" s="1" t="s">
        <v>60</v>
      </c>
    </row>
    <row r="670" spans="1:19" x14ac:dyDescent="0.35">
      <c r="A670" s="1" t="s">
        <v>1024</v>
      </c>
      <c r="B670" s="3">
        <v>45750</v>
      </c>
      <c r="C670" s="1" t="s">
        <v>20</v>
      </c>
      <c r="D670" s="1">
        <v>4</v>
      </c>
      <c r="E670" s="1" t="s">
        <v>470</v>
      </c>
      <c r="F670" s="1" t="s">
        <v>69</v>
      </c>
      <c r="G670" s="1" t="s">
        <v>64</v>
      </c>
      <c r="H670" s="1" t="s">
        <v>53</v>
      </c>
      <c r="I670" s="1" t="s">
        <v>128</v>
      </c>
      <c r="J670" s="1">
        <v>1</v>
      </c>
      <c r="K670" s="1">
        <v>2497.1</v>
      </c>
      <c r="L670" s="1">
        <v>0</v>
      </c>
      <c r="M670" s="1">
        <v>2497.1</v>
      </c>
      <c r="N670" s="1">
        <v>0</v>
      </c>
      <c r="O670" s="1">
        <v>2497.1</v>
      </c>
      <c r="P670" s="1">
        <v>1448.318</v>
      </c>
      <c r="Q670" s="1">
        <v>1048.7819999999999</v>
      </c>
      <c r="R670" s="1">
        <v>42.000000000000007</v>
      </c>
      <c r="S670" s="1" t="s">
        <v>60</v>
      </c>
    </row>
    <row r="671" spans="1:19" x14ac:dyDescent="0.35">
      <c r="A671" s="1" t="s">
        <v>1025</v>
      </c>
      <c r="B671" s="3">
        <v>45784</v>
      </c>
      <c r="C671" s="1" t="s">
        <v>97</v>
      </c>
      <c r="D671" s="1">
        <v>5</v>
      </c>
      <c r="E671" s="1" t="s">
        <v>422</v>
      </c>
      <c r="F671" s="1" t="s">
        <v>47</v>
      </c>
      <c r="G671" s="1" t="s">
        <v>64</v>
      </c>
      <c r="H671" s="1" t="s">
        <v>31</v>
      </c>
      <c r="I671" s="1" t="s">
        <v>190</v>
      </c>
      <c r="J671" s="1">
        <v>6</v>
      </c>
      <c r="K671" s="1">
        <v>410.87</v>
      </c>
      <c r="L671" s="1">
        <v>0</v>
      </c>
      <c r="M671" s="1">
        <v>2465.2199999999998</v>
      </c>
      <c r="N671" s="1">
        <v>0</v>
      </c>
      <c r="O671" s="1">
        <v>2465.2199999999998</v>
      </c>
      <c r="P671" s="1">
        <v>1281.9143999999999</v>
      </c>
      <c r="Q671" s="1">
        <v>1183.3055999999999</v>
      </c>
      <c r="R671" s="1">
        <v>48</v>
      </c>
      <c r="S671" s="1" t="s">
        <v>93</v>
      </c>
    </row>
    <row r="672" spans="1:19" x14ac:dyDescent="0.35">
      <c r="A672" s="1" t="s">
        <v>1026</v>
      </c>
      <c r="B672" s="3">
        <v>45744</v>
      </c>
      <c r="C672" s="1" t="s">
        <v>28</v>
      </c>
      <c r="D672" s="1">
        <v>3</v>
      </c>
      <c r="E672" s="1" t="s">
        <v>495</v>
      </c>
      <c r="F672" s="1" t="s">
        <v>37</v>
      </c>
      <c r="G672" s="1" t="s">
        <v>23</v>
      </c>
      <c r="H672" s="1" t="s">
        <v>39</v>
      </c>
      <c r="I672" s="1" t="s">
        <v>40</v>
      </c>
      <c r="J672" s="1">
        <v>1</v>
      </c>
      <c r="K672" s="1">
        <v>43637.32</v>
      </c>
      <c r="L672" s="1">
        <v>0.25</v>
      </c>
      <c r="M672" s="1">
        <v>43637.32</v>
      </c>
      <c r="N672" s="1">
        <v>10909.33</v>
      </c>
      <c r="O672" s="1">
        <v>32727.99</v>
      </c>
      <c r="P672" s="1">
        <v>25527.832200000001</v>
      </c>
      <c r="Q672" s="1">
        <v>7200.1577999999972</v>
      </c>
      <c r="R672" s="1">
        <v>21.999999999999989</v>
      </c>
      <c r="S672" s="1" t="s">
        <v>33</v>
      </c>
    </row>
    <row r="673" spans="1:19" x14ac:dyDescent="0.35">
      <c r="A673" s="1" t="s">
        <v>1027</v>
      </c>
      <c r="B673" s="3">
        <v>45986</v>
      </c>
      <c r="C673" s="1" t="s">
        <v>56</v>
      </c>
      <c r="D673" s="1">
        <v>11</v>
      </c>
      <c r="E673" s="1" t="s">
        <v>614</v>
      </c>
      <c r="F673" s="1" t="s">
        <v>69</v>
      </c>
      <c r="G673" s="1" t="s">
        <v>64</v>
      </c>
      <c r="H673" s="1" t="s">
        <v>39</v>
      </c>
      <c r="I673" s="1" t="s">
        <v>155</v>
      </c>
      <c r="J673" s="1">
        <v>3</v>
      </c>
      <c r="K673" s="1">
        <v>22685.02</v>
      </c>
      <c r="L673" s="1">
        <v>0.1</v>
      </c>
      <c r="M673" s="1">
        <v>68055.06</v>
      </c>
      <c r="N673" s="1">
        <v>6805.5060000000003</v>
      </c>
      <c r="O673" s="1">
        <v>61249.553999999996</v>
      </c>
      <c r="P673" s="1">
        <v>47774.652119999999</v>
      </c>
      <c r="Q673" s="1">
        <v>13474.901879999999</v>
      </c>
      <c r="R673" s="1">
        <v>22</v>
      </c>
      <c r="S673" s="1" t="s">
        <v>73</v>
      </c>
    </row>
    <row r="674" spans="1:19" x14ac:dyDescent="0.35">
      <c r="A674" s="1" t="s">
        <v>1028</v>
      </c>
      <c r="B674" s="3">
        <v>45903</v>
      </c>
      <c r="C674" s="1" t="s">
        <v>50</v>
      </c>
      <c r="D674" s="1">
        <v>9</v>
      </c>
      <c r="E674" s="1" t="s">
        <v>675</v>
      </c>
      <c r="F674" s="1" t="s">
        <v>58</v>
      </c>
      <c r="G674" s="1" t="s">
        <v>64</v>
      </c>
      <c r="H674" s="1" t="s">
        <v>53</v>
      </c>
      <c r="I674" s="1" t="s">
        <v>185</v>
      </c>
      <c r="J674" s="1">
        <v>7</v>
      </c>
      <c r="K674" s="1">
        <v>1379.98</v>
      </c>
      <c r="L674" s="1">
        <v>0.1</v>
      </c>
      <c r="M674" s="1">
        <v>9659.86</v>
      </c>
      <c r="N674" s="1">
        <v>965.9860000000001</v>
      </c>
      <c r="O674" s="1">
        <v>8693.8739999999998</v>
      </c>
      <c r="P674" s="1">
        <v>5042.4469199999994</v>
      </c>
      <c r="Q674" s="1">
        <v>3651.4270799999999</v>
      </c>
      <c r="R674" s="1">
        <v>42.000000000000007</v>
      </c>
      <c r="S674" s="1" t="s">
        <v>33</v>
      </c>
    </row>
    <row r="675" spans="1:19" x14ac:dyDescent="0.35">
      <c r="A675" s="1" t="s">
        <v>1029</v>
      </c>
      <c r="B675" s="3">
        <v>45964</v>
      </c>
      <c r="C675" s="1" t="s">
        <v>56</v>
      </c>
      <c r="D675" s="1">
        <v>11</v>
      </c>
      <c r="E675" s="1" t="s">
        <v>299</v>
      </c>
      <c r="F675" s="1" t="s">
        <v>47</v>
      </c>
      <c r="G675" s="1" t="s">
        <v>64</v>
      </c>
      <c r="H675" s="1" t="s">
        <v>77</v>
      </c>
      <c r="I675" s="1" t="s">
        <v>90</v>
      </c>
      <c r="J675" s="1">
        <v>5</v>
      </c>
      <c r="K675" s="1">
        <v>642.44000000000005</v>
      </c>
      <c r="L675" s="1">
        <v>0.3</v>
      </c>
      <c r="M675" s="1">
        <v>3212.2</v>
      </c>
      <c r="N675" s="1">
        <v>963.66000000000008</v>
      </c>
      <c r="O675" s="1">
        <v>2248.54</v>
      </c>
      <c r="P675" s="1">
        <v>1618.9487999999999</v>
      </c>
      <c r="Q675" s="1">
        <v>629.59120000000007</v>
      </c>
      <c r="R675" s="1">
        <v>28</v>
      </c>
      <c r="S675" s="1" t="s">
        <v>26</v>
      </c>
    </row>
    <row r="676" spans="1:19" x14ac:dyDescent="0.35">
      <c r="A676" s="1" t="s">
        <v>1030</v>
      </c>
      <c r="B676" s="3">
        <v>45936</v>
      </c>
      <c r="C676" s="1" t="s">
        <v>35</v>
      </c>
      <c r="D676" s="1">
        <v>10</v>
      </c>
      <c r="E676" s="1" t="s">
        <v>354</v>
      </c>
      <c r="F676" s="1" t="s">
        <v>30</v>
      </c>
      <c r="G676" s="1" t="s">
        <v>64</v>
      </c>
      <c r="H676" s="1" t="s">
        <v>39</v>
      </c>
      <c r="I676" s="1" t="s">
        <v>40</v>
      </c>
      <c r="J676" s="1">
        <v>1</v>
      </c>
      <c r="K676" s="1">
        <v>27776.66</v>
      </c>
      <c r="L676" s="1">
        <v>0.1</v>
      </c>
      <c r="M676" s="1">
        <v>27776.66</v>
      </c>
      <c r="N676" s="1">
        <v>2777.6660000000002</v>
      </c>
      <c r="O676" s="1">
        <v>24998.993999999999</v>
      </c>
      <c r="P676" s="1">
        <v>19499.215319999999</v>
      </c>
      <c r="Q676" s="1">
        <v>5499.7786799999994</v>
      </c>
      <c r="R676" s="1">
        <v>22</v>
      </c>
      <c r="S676" s="1" t="s">
        <v>26</v>
      </c>
    </row>
    <row r="677" spans="1:19" x14ac:dyDescent="0.35">
      <c r="A677" s="1" t="s">
        <v>1031</v>
      </c>
      <c r="B677" s="3">
        <v>45868</v>
      </c>
      <c r="C677" s="1" t="s">
        <v>62</v>
      </c>
      <c r="D677" s="1">
        <v>7</v>
      </c>
      <c r="E677" s="1" t="s">
        <v>701</v>
      </c>
      <c r="F677" s="1" t="s">
        <v>76</v>
      </c>
      <c r="G677" s="1" t="s">
        <v>23</v>
      </c>
      <c r="H677" s="1" t="s">
        <v>31</v>
      </c>
      <c r="I677" s="1" t="s">
        <v>190</v>
      </c>
      <c r="J677" s="1">
        <v>4</v>
      </c>
      <c r="K677" s="1">
        <v>2528.12</v>
      </c>
      <c r="L677" s="1">
        <v>0.05</v>
      </c>
      <c r="M677" s="1">
        <v>10112.48</v>
      </c>
      <c r="N677" s="1">
        <v>505.62400000000002</v>
      </c>
      <c r="O677" s="1">
        <v>9606.8559999999998</v>
      </c>
      <c r="P677" s="1">
        <v>4995.5651200000002</v>
      </c>
      <c r="Q677" s="1">
        <v>4611.2908799999996</v>
      </c>
      <c r="R677" s="1">
        <v>48</v>
      </c>
      <c r="S677" s="1" t="s">
        <v>26</v>
      </c>
    </row>
    <row r="678" spans="1:19" x14ac:dyDescent="0.35">
      <c r="A678" s="1" t="s">
        <v>1032</v>
      </c>
      <c r="B678" s="3">
        <v>45753</v>
      </c>
      <c r="C678" s="1" t="s">
        <v>20</v>
      </c>
      <c r="D678" s="1">
        <v>4</v>
      </c>
      <c r="E678" s="1" t="s">
        <v>356</v>
      </c>
      <c r="F678" s="1" t="s">
        <v>47</v>
      </c>
      <c r="G678" s="1" t="s">
        <v>38</v>
      </c>
      <c r="H678" s="1" t="s">
        <v>77</v>
      </c>
      <c r="I678" s="1" t="s">
        <v>148</v>
      </c>
      <c r="J678" s="1">
        <v>7</v>
      </c>
      <c r="K678" s="1">
        <v>637.76</v>
      </c>
      <c r="L678" s="1">
        <v>0.1</v>
      </c>
      <c r="M678" s="1">
        <v>4464.32</v>
      </c>
      <c r="N678" s="1">
        <v>446.43200000000002</v>
      </c>
      <c r="O678" s="1">
        <v>4017.8879999999999</v>
      </c>
      <c r="P678" s="1">
        <v>2892.8793599999999</v>
      </c>
      <c r="Q678" s="1">
        <v>1125.00864</v>
      </c>
      <c r="R678" s="1">
        <v>28</v>
      </c>
      <c r="S678" s="1" t="s">
        <v>93</v>
      </c>
    </row>
    <row r="679" spans="1:19" x14ac:dyDescent="0.35">
      <c r="A679" s="1" t="s">
        <v>1033</v>
      </c>
      <c r="B679" s="3">
        <v>45739</v>
      </c>
      <c r="C679" s="1" t="s">
        <v>28</v>
      </c>
      <c r="D679" s="1">
        <v>3</v>
      </c>
      <c r="E679" s="1" t="s">
        <v>246</v>
      </c>
      <c r="F679" s="1" t="s">
        <v>43</v>
      </c>
      <c r="G679" s="1" t="s">
        <v>38</v>
      </c>
      <c r="H679" s="1" t="s">
        <v>24</v>
      </c>
      <c r="I679" s="1" t="s">
        <v>117</v>
      </c>
      <c r="J679" s="1">
        <v>6</v>
      </c>
      <c r="K679" s="1">
        <v>5592.05</v>
      </c>
      <c r="L679" s="1">
        <v>0.15</v>
      </c>
      <c r="M679" s="1">
        <v>33552.300000000003</v>
      </c>
      <c r="N679" s="1">
        <v>5032.8450000000003</v>
      </c>
      <c r="O679" s="1">
        <v>28519.455000000002</v>
      </c>
      <c r="P679" s="1">
        <v>15685.70025</v>
      </c>
      <c r="Q679" s="1">
        <v>12833.75475</v>
      </c>
      <c r="R679" s="1">
        <v>44.999999999999993</v>
      </c>
      <c r="S679" s="1" t="s">
        <v>26</v>
      </c>
    </row>
    <row r="680" spans="1:19" x14ac:dyDescent="0.35">
      <c r="A680" s="1" t="s">
        <v>1034</v>
      </c>
      <c r="B680" s="3">
        <v>45692</v>
      </c>
      <c r="C680" s="1" t="s">
        <v>42</v>
      </c>
      <c r="D680" s="1">
        <v>2</v>
      </c>
      <c r="E680" s="1" t="s">
        <v>1035</v>
      </c>
      <c r="F680" s="1" t="s">
        <v>58</v>
      </c>
      <c r="G680" s="1" t="s">
        <v>64</v>
      </c>
      <c r="H680" s="1" t="s">
        <v>99</v>
      </c>
      <c r="I680" s="1" t="s">
        <v>108</v>
      </c>
      <c r="J680" s="1">
        <v>5</v>
      </c>
      <c r="K680" s="1">
        <v>14064</v>
      </c>
      <c r="L680" s="1">
        <v>0.15</v>
      </c>
      <c r="M680" s="1">
        <v>70320</v>
      </c>
      <c r="N680" s="1">
        <v>10548</v>
      </c>
      <c r="O680" s="1">
        <v>59772</v>
      </c>
      <c r="P680" s="1">
        <v>40644.960000000006</v>
      </c>
      <c r="Q680" s="1">
        <v>19127.03999999999</v>
      </c>
      <c r="R680" s="1">
        <v>31.999999999999989</v>
      </c>
      <c r="S680" s="1" t="s">
        <v>33</v>
      </c>
    </row>
    <row r="681" spans="1:19" x14ac:dyDescent="0.35">
      <c r="A681" s="1" t="s">
        <v>1036</v>
      </c>
      <c r="B681" s="3">
        <v>45851</v>
      </c>
      <c r="C681" s="1" t="s">
        <v>62</v>
      </c>
      <c r="D681" s="1">
        <v>7</v>
      </c>
      <c r="E681" s="1" t="s">
        <v>923</v>
      </c>
      <c r="F681" s="1" t="s">
        <v>22</v>
      </c>
      <c r="G681" s="1" t="s">
        <v>38</v>
      </c>
      <c r="H681" s="1" t="s">
        <v>53</v>
      </c>
      <c r="I681" s="1" t="s">
        <v>185</v>
      </c>
      <c r="J681" s="1">
        <v>6</v>
      </c>
      <c r="K681" s="1">
        <v>1750.65</v>
      </c>
      <c r="L681" s="1">
        <v>0.05</v>
      </c>
      <c r="M681" s="1">
        <v>10503.9</v>
      </c>
      <c r="N681" s="1">
        <v>525.19500000000005</v>
      </c>
      <c r="O681" s="1">
        <v>9978.7050000000017</v>
      </c>
      <c r="P681" s="1">
        <v>5787.648900000001</v>
      </c>
      <c r="Q681" s="1">
        <v>4191.0561000000007</v>
      </c>
      <c r="R681" s="1">
        <v>42</v>
      </c>
      <c r="S681" s="1" t="s">
        <v>60</v>
      </c>
    </row>
    <row r="682" spans="1:19" x14ac:dyDescent="0.35">
      <c r="A682" s="1" t="s">
        <v>1037</v>
      </c>
      <c r="B682" s="3">
        <v>45792</v>
      </c>
      <c r="C682" s="1" t="s">
        <v>97</v>
      </c>
      <c r="D682" s="1">
        <v>5</v>
      </c>
      <c r="E682" s="1" t="s">
        <v>331</v>
      </c>
      <c r="F682" s="1" t="s">
        <v>37</v>
      </c>
      <c r="G682" s="1" t="s">
        <v>23</v>
      </c>
      <c r="H682" s="1" t="s">
        <v>39</v>
      </c>
      <c r="I682" s="1" t="s">
        <v>234</v>
      </c>
      <c r="J682" s="1">
        <v>7</v>
      </c>
      <c r="K682" s="1">
        <v>35988.129999999997</v>
      </c>
      <c r="L682" s="1">
        <v>0.1</v>
      </c>
      <c r="M682" s="1">
        <v>251916.91</v>
      </c>
      <c r="N682" s="1">
        <v>25191.690999999999</v>
      </c>
      <c r="O682" s="1">
        <v>226725.21900000001</v>
      </c>
      <c r="P682" s="1">
        <v>176845.67082</v>
      </c>
      <c r="Q682" s="1">
        <v>49879.548179999983</v>
      </c>
      <c r="R682" s="1">
        <v>21.999999999999989</v>
      </c>
      <c r="S682" s="1" t="s">
        <v>33</v>
      </c>
    </row>
    <row r="683" spans="1:19" x14ac:dyDescent="0.35">
      <c r="A683" s="1" t="s">
        <v>1038</v>
      </c>
      <c r="B683" s="3">
        <v>46016</v>
      </c>
      <c r="C683" s="1" t="s">
        <v>67</v>
      </c>
      <c r="D683" s="1">
        <v>12</v>
      </c>
      <c r="E683" s="1" t="s">
        <v>981</v>
      </c>
      <c r="F683" s="1" t="s">
        <v>76</v>
      </c>
      <c r="G683" s="1" t="s">
        <v>38</v>
      </c>
      <c r="H683" s="1" t="s">
        <v>99</v>
      </c>
      <c r="I683" s="1" t="s">
        <v>223</v>
      </c>
      <c r="J683" s="1">
        <v>2</v>
      </c>
      <c r="K683" s="1">
        <v>12506.04</v>
      </c>
      <c r="L683" s="1">
        <v>0.15</v>
      </c>
      <c r="M683" s="1">
        <v>25012.080000000002</v>
      </c>
      <c r="N683" s="1">
        <v>3751.8119999999999</v>
      </c>
      <c r="O683" s="1">
        <v>21260.268</v>
      </c>
      <c r="P683" s="1">
        <v>14456.982239999999</v>
      </c>
      <c r="Q683" s="1">
        <v>6803.2857600000007</v>
      </c>
      <c r="R683" s="1">
        <v>32</v>
      </c>
      <c r="S683" s="1" t="s">
        <v>26</v>
      </c>
    </row>
    <row r="684" spans="1:19" x14ac:dyDescent="0.35">
      <c r="A684" s="1" t="s">
        <v>1039</v>
      </c>
      <c r="B684" s="3">
        <v>45909</v>
      </c>
      <c r="C684" s="1" t="s">
        <v>50</v>
      </c>
      <c r="D684" s="1">
        <v>9</v>
      </c>
      <c r="E684" s="1" t="s">
        <v>624</v>
      </c>
      <c r="F684" s="1" t="s">
        <v>37</v>
      </c>
      <c r="G684" s="1" t="s">
        <v>38</v>
      </c>
      <c r="H684" s="1" t="s">
        <v>53</v>
      </c>
      <c r="I684" s="1" t="s">
        <v>54</v>
      </c>
      <c r="J684" s="1">
        <v>7</v>
      </c>
      <c r="K684" s="1">
        <v>1290.5</v>
      </c>
      <c r="L684" s="1">
        <v>0</v>
      </c>
      <c r="M684" s="1">
        <v>9033.5</v>
      </c>
      <c r="N684" s="1">
        <v>0</v>
      </c>
      <c r="O684" s="1">
        <v>9033.5</v>
      </c>
      <c r="P684" s="1">
        <v>5239.4299999999994</v>
      </c>
      <c r="Q684" s="1">
        <v>3794.0700000000011</v>
      </c>
      <c r="R684" s="1">
        <v>42.000000000000007</v>
      </c>
      <c r="S684" s="1" t="s">
        <v>33</v>
      </c>
    </row>
    <row r="685" spans="1:19" x14ac:dyDescent="0.35">
      <c r="A685" s="1" t="s">
        <v>1040</v>
      </c>
      <c r="B685" s="3">
        <v>45928</v>
      </c>
      <c r="C685" s="1" t="s">
        <v>50</v>
      </c>
      <c r="D685" s="1">
        <v>9</v>
      </c>
      <c r="E685" s="1" t="s">
        <v>721</v>
      </c>
      <c r="F685" s="1" t="s">
        <v>52</v>
      </c>
      <c r="G685" s="1" t="s">
        <v>23</v>
      </c>
      <c r="H685" s="1" t="s">
        <v>77</v>
      </c>
      <c r="I685" s="1" t="s">
        <v>201</v>
      </c>
      <c r="J685" s="1">
        <v>6</v>
      </c>
      <c r="K685" s="1">
        <v>1020.38</v>
      </c>
      <c r="L685" s="1">
        <v>0.1</v>
      </c>
      <c r="M685" s="1">
        <v>6122.28</v>
      </c>
      <c r="N685" s="1">
        <v>612.22799999999995</v>
      </c>
      <c r="O685" s="1">
        <v>5510.0519999999997</v>
      </c>
      <c r="P685" s="1">
        <v>3967.237439999999</v>
      </c>
      <c r="Q685" s="1">
        <v>1542.81456</v>
      </c>
      <c r="R685" s="1">
        <v>28.000000000000011</v>
      </c>
      <c r="S685" s="1" t="s">
        <v>26</v>
      </c>
    </row>
    <row r="686" spans="1:19" x14ac:dyDescent="0.35">
      <c r="A686" s="1" t="s">
        <v>1041</v>
      </c>
      <c r="B686" s="3">
        <v>45724</v>
      </c>
      <c r="C686" s="1" t="s">
        <v>28</v>
      </c>
      <c r="D686" s="1">
        <v>3</v>
      </c>
      <c r="E686" s="1" t="s">
        <v>1042</v>
      </c>
      <c r="F686" s="1" t="s">
        <v>30</v>
      </c>
      <c r="G686" s="1" t="s">
        <v>23</v>
      </c>
      <c r="H686" s="1" t="s">
        <v>31</v>
      </c>
      <c r="I686" s="1" t="s">
        <v>59</v>
      </c>
      <c r="J686" s="1">
        <v>4</v>
      </c>
      <c r="K686" s="1">
        <v>1795.71</v>
      </c>
      <c r="L686" s="1">
        <v>0.05</v>
      </c>
      <c r="M686" s="1">
        <v>7182.84</v>
      </c>
      <c r="N686" s="1">
        <v>359.14200000000011</v>
      </c>
      <c r="O686" s="1">
        <v>6823.6980000000003</v>
      </c>
      <c r="P686" s="1">
        <v>3548.32296</v>
      </c>
      <c r="Q686" s="1">
        <v>3275.3750399999999</v>
      </c>
      <c r="R686" s="1">
        <v>48</v>
      </c>
      <c r="S686" s="1" t="s">
        <v>73</v>
      </c>
    </row>
    <row r="687" spans="1:19" x14ac:dyDescent="0.35">
      <c r="A687" s="1" t="s">
        <v>1043</v>
      </c>
      <c r="B687" s="3">
        <v>45888</v>
      </c>
      <c r="C687" s="1" t="s">
        <v>113</v>
      </c>
      <c r="D687" s="1">
        <v>8</v>
      </c>
      <c r="E687" s="1" t="s">
        <v>679</v>
      </c>
      <c r="F687" s="1" t="s">
        <v>69</v>
      </c>
      <c r="G687" s="1" t="s">
        <v>64</v>
      </c>
      <c r="H687" s="1" t="s">
        <v>39</v>
      </c>
      <c r="I687" s="1" t="s">
        <v>234</v>
      </c>
      <c r="J687" s="1">
        <v>4</v>
      </c>
      <c r="K687" s="1">
        <v>20171.939999999999</v>
      </c>
      <c r="L687" s="1">
        <v>0.1</v>
      </c>
      <c r="M687" s="1">
        <v>80687.759999999995</v>
      </c>
      <c r="N687" s="1">
        <v>8068.7759999999998</v>
      </c>
      <c r="O687" s="1">
        <v>72618.983999999997</v>
      </c>
      <c r="P687" s="1">
        <v>56642.807520000002</v>
      </c>
      <c r="Q687" s="1">
        <v>15976.176479999989</v>
      </c>
      <c r="R687" s="1">
        <v>21.999999999999989</v>
      </c>
      <c r="S687" s="1" t="s">
        <v>26</v>
      </c>
    </row>
    <row r="688" spans="1:19" x14ac:dyDescent="0.35">
      <c r="A688" s="1" t="s">
        <v>1044</v>
      </c>
      <c r="B688" s="3">
        <v>45916</v>
      </c>
      <c r="C688" s="1" t="s">
        <v>50</v>
      </c>
      <c r="D688" s="1">
        <v>9</v>
      </c>
      <c r="E688" s="1" t="s">
        <v>285</v>
      </c>
      <c r="F688" s="1" t="s">
        <v>30</v>
      </c>
      <c r="G688" s="1" t="s">
        <v>64</v>
      </c>
      <c r="H688" s="1" t="s">
        <v>24</v>
      </c>
      <c r="I688" s="1" t="s">
        <v>139</v>
      </c>
      <c r="J688" s="1">
        <v>1</v>
      </c>
      <c r="K688" s="1">
        <v>2168.06</v>
      </c>
      <c r="L688" s="1">
        <v>0.15</v>
      </c>
      <c r="M688" s="1">
        <v>2168.06</v>
      </c>
      <c r="N688" s="1">
        <v>325.209</v>
      </c>
      <c r="O688" s="1">
        <v>1842.8510000000001</v>
      </c>
      <c r="P688" s="1">
        <v>1013.56805</v>
      </c>
      <c r="Q688" s="1">
        <v>829.28294999999991</v>
      </c>
      <c r="R688" s="1">
        <v>44.999999999999993</v>
      </c>
      <c r="S688" s="1" t="s">
        <v>33</v>
      </c>
    </row>
    <row r="689" spans="1:19" x14ac:dyDescent="0.35">
      <c r="A689" s="1" t="s">
        <v>1045</v>
      </c>
      <c r="B689" s="3">
        <v>45959</v>
      </c>
      <c r="C689" s="1" t="s">
        <v>35</v>
      </c>
      <c r="D689" s="1">
        <v>10</v>
      </c>
      <c r="E689" s="1" t="s">
        <v>551</v>
      </c>
      <c r="F689" s="1" t="s">
        <v>76</v>
      </c>
      <c r="G689" s="1" t="s">
        <v>38</v>
      </c>
      <c r="H689" s="1" t="s">
        <v>77</v>
      </c>
      <c r="I689" s="1" t="s">
        <v>148</v>
      </c>
      <c r="J689" s="1">
        <v>5</v>
      </c>
      <c r="K689" s="1">
        <v>463.63</v>
      </c>
      <c r="L689" s="1">
        <v>0.15</v>
      </c>
      <c r="M689" s="1">
        <v>2318.15</v>
      </c>
      <c r="N689" s="1">
        <v>347.72250000000003</v>
      </c>
      <c r="O689" s="1">
        <v>1970.4275</v>
      </c>
      <c r="P689" s="1">
        <v>1418.7077999999999</v>
      </c>
      <c r="Q689" s="1">
        <v>551.7197000000001</v>
      </c>
      <c r="R689" s="1">
        <v>28</v>
      </c>
      <c r="S689" s="1" t="s">
        <v>60</v>
      </c>
    </row>
    <row r="690" spans="1:19" x14ac:dyDescent="0.35">
      <c r="A690" s="1" t="s">
        <v>1046</v>
      </c>
      <c r="B690" s="3">
        <v>45915</v>
      </c>
      <c r="C690" s="1" t="s">
        <v>50</v>
      </c>
      <c r="D690" s="1">
        <v>9</v>
      </c>
      <c r="E690" s="1" t="s">
        <v>1047</v>
      </c>
      <c r="F690" s="1" t="s">
        <v>37</v>
      </c>
      <c r="G690" s="1" t="s">
        <v>23</v>
      </c>
      <c r="H690" s="1" t="s">
        <v>39</v>
      </c>
      <c r="I690" s="1" t="s">
        <v>40</v>
      </c>
      <c r="J690" s="1">
        <v>5</v>
      </c>
      <c r="K690" s="1">
        <v>31323.41</v>
      </c>
      <c r="L690" s="1">
        <v>0.1</v>
      </c>
      <c r="M690" s="1">
        <v>156617.04999999999</v>
      </c>
      <c r="N690" s="1">
        <v>15661.705</v>
      </c>
      <c r="O690" s="1">
        <v>140955.345</v>
      </c>
      <c r="P690" s="1">
        <v>109945.1691</v>
      </c>
      <c r="Q690" s="1">
        <v>31010.175899999998</v>
      </c>
      <c r="R690" s="1">
        <v>22</v>
      </c>
      <c r="S690" s="1" t="s">
        <v>26</v>
      </c>
    </row>
    <row r="691" spans="1:19" x14ac:dyDescent="0.35">
      <c r="A691" s="1" t="s">
        <v>1048</v>
      </c>
      <c r="B691" s="3">
        <v>45884</v>
      </c>
      <c r="C691" s="1" t="s">
        <v>113</v>
      </c>
      <c r="D691" s="1">
        <v>8</v>
      </c>
      <c r="E691" s="1" t="s">
        <v>210</v>
      </c>
      <c r="F691" s="1" t="s">
        <v>22</v>
      </c>
      <c r="G691" s="1" t="s">
        <v>64</v>
      </c>
      <c r="H691" s="1" t="s">
        <v>24</v>
      </c>
      <c r="I691" s="1" t="s">
        <v>117</v>
      </c>
      <c r="J691" s="1">
        <v>2</v>
      </c>
      <c r="K691" s="1">
        <v>5911.49</v>
      </c>
      <c r="L691" s="1">
        <v>0.25</v>
      </c>
      <c r="M691" s="1">
        <v>11822.98</v>
      </c>
      <c r="N691" s="1">
        <v>2955.7449999999999</v>
      </c>
      <c r="O691" s="1">
        <v>8867.2350000000006</v>
      </c>
      <c r="P691" s="1">
        <v>4876.9792500000003</v>
      </c>
      <c r="Q691" s="1">
        <v>3990.2557499999998</v>
      </c>
      <c r="R691" s="1">
        <v>45</v>
      </c>
      <c r="S691" s="1" t="s">
        <v>60</v>
      </c>
    </row>
    <row r="692" spans="1:19" x14ac:dyDescent="0.35">
      <c r="A692" s="1" t="s">
        <v>1049</v>
      </c>
      <c r="B692" s="3">
        <v>45838</v>
      </c>
      <c r="C692" s="1" t="s">
        <v>82</v>
      </c>
      <c r="D692" s="1">
        <v>6</v>
      </c>
      <c r="E692" s="1" t="s">
        <v>1050</v>
      </c>
      <c r="F692" s="1" t="s">
        <v>30</v>
      </c>
      <c r="G692" s="1" t="s">
        <v>23</v>
      </c>
      <c r="H692" s="1" t="s">
        <v>31</v>
      </c>
      <c r="I692" s="1" t="s">
        <v>65</v>
      </c>
      <c r="J692" s="1">
        <v>4</v>
      </c>
      <c r="K692" s="1">
        <v>1953.88</v>
      </c>
      <c r="L692" s="1">
        <v>0.1</v>
      </c>
      <c r="M692" s="1">
        <v>7815.52</v>
      </c>
      <c r="N692" s="1">
        <v>781.55200000000013</v>
      </c>
      <c r="O692" s="1">
        <v>7033.9680000000008</v>
      </c>
      <c r="P692" s="1">
        <v>3657.66336</v>
      </c>
      <c r="Q692" s="1">
        <v>3376.3046399999998</v>
      </c>
      <c r="R692" s="1">
        <v>48</v>
      </c>
      <c r="S692" s="1" t="s">
        <v>26</v>
      </c>
    </row>
    <row r="693" spans="1:19" x14ac:dyDescent="0.35">
      <c r="A693" s="1" t="s">
        <v>1051</v>
      </c>
      <c r="B693" s="3">
        <v>45916</v>
      </c>
      <c r="C693" s="1" t="s">
        <v>50</v>
      </c>
      <c r="D693" s="1">
        <v>9</v>
      </c>
      <c r="E693" s="1" t="s">
        <v>796</v>
      </c>
      <c r="F693" s="1" t="s">
        <v>37</v>
      </c>
      <c r="G693" s="1" t="s">
        <v>23</v>
      </c>
      <c r="H693" s="1" t="s">
        <v>31</v>
      </c>
      <c r="I693" s="1" t="s">
        <v>59</v>
      </c>
      <c r="J693" s="1">
        <v>2</v>
      </c>
      <c r="K693" s="1">
        <v>2111.73</v>
      </c>
      <c r="L693" s="1">
        <v>0.25</v>
      </c>
      <c r="M693" s="1">
        <v>4223.46</v>
      </c>
      <c r="N693" s="1">
        <v>1055.865</v>
      </c>
      <c r="O693" s="1">
        <v>3167.5949999999998</v>
      </c>
      <c r="P693" s="1">
        <v>1647.1494</v>
      </c>
      <c r="Q693" s="1">
        <v>1520.4456</v>
      </c>
      <c r="R693" s="1">
        <v>48</v>
      </c>
      <c r="S693" s="1" t="s">
        <v>73</v>
      </c>
    </row>
    <row r="694" spans="1:19" x14ac:dyDescent="0.35">
      <c r="A694" s="1" t="s">
        <v>1052</v>
      </c>
      <c r="B694" s="3">
        <v>45724</v>
      </c>
      <c r="C694" s="1" t="s">
        <v>28</v>
      </c>
      <c r="D694" s="1">
        <v>3</v>
      </c>
      <c r="E694" s="1" t="s">
        <v>1053</v>
      </c>
      <c r="F694" s="1" t="s">
        <v>58</v>
      </c>
      <c r="G694" s="1" t="s">
        <v>64</v>
      </c>
      <c r="H694" s="1" t="s">
        <v>53</v>
      </c>
      <c r="I694" s="1" t="s">
        <v>54</v>
      </c>
      <c r="J694" s="1">
        <v>5</v>
      </c>
      <c r="K694" s="1">
        <v>1280.8</v>
      </c>
      <c r="L694" s="1">
        <v>0.1</v>
      </c>
      <c r="M694" s="1">
        <v>6404</v>
      </c>
      <c r="N694" s="1">
        <v>640.40000000000009</v>
      </c>
      <c r="O694" s="1">
        <v>5763.6</v>
      </c>
      <c r="P694" s="1">
        <v>3342.8879999999999</v>
      </c>
      <c r="Q694" s="1">
        <v>2420.712</v>
      </c>
      <c r="R694" s="1">
        <v>42.000000000000007</v>
      </c>
      <c r="S694" s="1" t="s">
        <v>73</v>
      </c>
    </row>
    <row r="695" spans="1:19" x14ac:dyDescent="0.35">
      <c r="A695" s="1" t="s">
        <v>1054</v>
      </c>
      <c r="B695" s="3">
        <v>45856</v>
      </c>
      <c r="C695" s="1" t="s">
        <v>62</v>
      </c>
      <c r="D695" s="1">
        <v>7</v>
      </c>
      <c r="E695" s="1" t="s">
        <v>641</v>
      </c>
      <c r="F695" s="1" t="s">
        <v>52</v>
      </c>
      <c r="G695" s="1" t="s">
        <v>23</v>
      </c>
      <c r="H695" s="1" t="s">
        <v>39</v>
      </c>
      <c r="I695" s="1" t="s">
        <v>214</v>
      </c>
      <c r="J695" s="1">
        <v>5</v>
      </c>
      <c r="K695" s="1">
        <v>57459.02</v>
      </c>
      <c r="L695" s="1">
        <v>0.15</v>
      </c>
      <c r="M695" s="1">
        <v>287295.09999999998</v>
      </c>
      <c r="N695" s="1">
        <v>43094.264999999992</v>
      </c>
      <c r="O695" s="1">
        <v>244200.83499999999</v>
      </c>
      <c r="P695" s="1">
        <v>190476.6513</v>
      </c>
      <c r="Q695" s="1">
        <v>53724.183699999987</v>
      </c>
      <c r="R695" s="1">
        <v>22</v>
      </c>
      <c r="S695" s="1" t="s">
        <v>33</v>
      </c>
    </row>
    <row r="696" spans="1:19" x14ac:dyDescent="0.35">
      <c r="A696" s="1" t="s">
        <v>1055</v>
      </c>
      <c r="B696" s="3">
        <v>45746</v>
      </c>
      <c r="C696" s="1" t="s">
        <v>28</v>
      </c>
      <c r="D696" s="1">
        <v>3</v>
      </c>
      <c r="E696" s="1" t="s">
        <v>418</v>
      </c>
      <c r="F696" s="1" t="s">
        <v>76</v>
      </c>
      <c r="G696" s="1" t="s">
        <v>23</v>
      </c>
      <c r="H696" s="1" t="s">
        <v>24</v>
      </c>
      <c r="I696" s="1" t="s">
        <v>44</v>
      </c>
      <c r="J696" s="1">
        <v>1</v>
      </c>
      <c r="K696" s="1">
        <v>5088.79</v>
      </c>
      <c r="L696" s="1">
        <v>0.15</v>
      </c>
      <c r="M696" s="1">
        <v>5088.79</v>
      </c>
      <c r="N696" s="1">
        <v>763.31849999999997</v>
      </c>
      <c r="O696" s="1">
        <v>4325.4714999999997</v>
      </c>
      <c r="P696" s="1">
        <v>2379.009325</v>
      </c>
      <c r="Q696" s="1">
        <v>1946.4621749999999</v>
      </c>
      <c r="R696" s="1">
        <v>44.999999999999993</v>
      </c>
      <c r="S696" s="1" t="s">
        <v>93</v>
      </c>
    </row>
    <row r="697" spans="1:19" x14ac:dyDescent="0.35">
      <c r="A697" s="1" t="s">
        <v>1056</v>
      </c>
      <c r="B697" s="3">
        <v>45931</v>
      </c>
      <c r="C697" s="1" t="s">
        <v>35</v>
      </c>
      <c r="D697" s="1">
        <v>10</v>
      </c>
      <c r="E697" s="1" t="s">
        <v>244</v>
      </c>
      <c r="F697" s="1" t="s">
        <v>37</v>
      </c>
      <c r="G697" s="1" t="s">
        <v>38</v>
      </c>
      <c r="H697" s="1" t="s">
        <v>77</v>
      </c>
      <c r="I697" s="1" t="s">
        <v>103</v>
      </c>
      <c r="J697" s="1">
        <v>6</v>
      </c>
      <c r="K697" s="1">
        <v>143.66</v>
      </c>
      <c r="L697" s="1">
        <v>0.1</v>
      </c>
      <c r="M697" s="1">
        <v>861.96</v>
      </c>
      <c r="N697" s="1">
        <v>86.196000000000012</v>
      </c>
      <c r="O697" s="1">
        <v>775.76400000000001</v>
      </c>
      <c r="P697" s="1">
        <v>558.55007999999998</v>
      </c>
      <c r="Q697" s="1">
        <v>217.21392</v>
      </c>
      <c r="R697" s="1">
        <v>28</v>
      </c>
      <c r="S697" s="1" t="s">
        <v>73</v>
      </c>
    </row>
    <row r="698" spans="1:19" x14ac:dyDescent="0.35">
      <c r="A698" s="1" t="s">
        <v>1057</v>
      </c>
      <c r="B698" s="3">
        <v>45744</v>
      </c>
      <c r="C698" s="1" t="s">
        <v>28</v>
      </c>
      <c r="D698" s="1">
        <v>3</v>
      </c>
      <c r="E698" s="1" t="s">
        <v>51</v>
      </c>
      <c r="F698" s="1" t="s">
        <v>43</v>
      </c>
      <c r="G698" s="1" t="s">
        <v>38</v>
      </c>
      <c r="H698" s="1" t="s">
        <v>39</v>
      </c>
      <c r="I698" s="1" t="s">
        <v>155</v>
      </c>
      <c r="J698" s="1">
        <v>6</v>
      </c>
      <c r="K698" s="1">
        <v>41347</v>
      </c>
      <c r="L698" s="1">
        <v>0.1</v>
      </c>
      <c r="M698" s="1">
        <v>248082</v>
      </c>
      <c r="N698" s="1">
        <v>24808.2</v>
      </c>
      <c r="O698" s="1">
        <v>223273.8</v>
      </c>
      <c r="P698" s="1">
        <v>174153.56400000001</v>
      </c>
      <c r="Q698" s="1">
        <v>49120.235999999997</v>
      </c>
      <c r="R698" s="1">
        <v>22</v>
      </c>
      <c r="S698" s="1" t="s">
        <v>33</v>
      </c>
    </row>
    <row r="699" spans="1:19" x14ac:dyDescent="0.35">
      <c r="A699" s="1" t="s">
        <v>1058</v>
      </c>
      <c r="B699" s="3">
        <v>45838</v>
      </c>
      <c r="C699" s="1" t="s">
        <v>82</v>
      </c>
      <c r="D699" s="1">
        <v>6</v>
      </c>
      <c r="E699" s="1" t="s">
        <v>844</v>
      </c>
      <c r="F699" s="1" t="s">
        <v>22</v>
      </c>
      <c r="G699" s="1" t="s">
        <v>23</v>
      </c>
      <c r="H699" s="1" t="s">
        <v>31</v>
      </c>
      <c r="I699" s="1" t="s">
        <v>65</v>
      </c>
      <c r="J699" s="1">
        <v>4</v>
      </c>
      <c r="K699" s="1">
        <v>2265.98</v>
      </c>
      <c r="L699" s="1">
        <v>0</v>
      </c>
      <c r="M699" s="1">
        <v>9063.92</v>
      </c>
      <c r="N699" s="1">
        <v>0</v>
      </c>
      <c r="O699" s="1">
        <v>9063.92</v>
      </c>
      <c r="P699" s="1">
        <v>4713.2384000000002</v>
      </c>
      <c r="Q699" s="1">
        <v>4350.6815999999999</v>
      </c>
      <c r="R699" s="1">
        <v>48</v>
      </c>
      <c r="S699" s="1" t="s">
        <v>26</v>
      </c>
    </row>
    <row r="700" spans="1:19" x14ac:dyDescent="0.35">
      <c r="A700" s="1" t="s">
        <v>1059</v>
      </c>
      <c r="B700" s="3">
        <v>45695</v>
      </c>
      <c r="C700" s="1" t="s">
        <v>42</v>
      </c>
      <c r="D700" s="1">
        <v>2</v>
      </c>
      <c r="E700" s="1" t="s">
        <v>412</v>
      </c>
      <c r="F700" s="1" t="s">
        <v>37</v>
      </c>
      <c r="G700" s="1" t="s">
        <v>38</v>
      </c>
      <c r="H700" s="1" t="s">
        <v>31</v>
      </c>
      <c r="I700" s="1" t="s">
        <v>190</v>
      </c>
      <c r="J700" s="1">
        <v>7</v>
      </c>
      <c r="K700" s="1">
        <v>2909.77</v>
      </c>
      <c r="L700" s="1">
        <v>0.3</v>
      </c>
      <c r="M700" s="1">
        <v>20368.39</v>
      </c>
      <c r="N700" s="1">
        <v>6110.5169999999998</v>
      </c>
      <c r="O700" s="1">
        <v>14257.873</v>
      </c>
      <c r="P700" s="1">
        <v>7414.0939600000002</v>
      </c>
      <c r="Q700" s="1">
        <v>6843.7790399999994</v>
      </c>
      <c r="R700" s="1">
        <v>48</v>
      </c>
      <c r="S700" s="1" t="s">
        <v>60</v>
      </c>
    </row>
    <row r="701" spans="1:19" x14ac:dyDescent="0.35">
      <c r="A701" s="1" t="s">
        <v>1060</v>
      </c>
      <c r="B701" s="3">
        <v>45721</v>
      </c>
      <c r="C701" s="1" t="s">
        <v>28</v>
      </c>
      <c r="D701" s="1">
        <v>3</v>
      </c>
      <c r="E701" s="1" t="s">
        <v>553</v>
      </c>
      <c r="F701" s="1" t="s">
        <v>69</v>
      </c>
      <c r="G701" s="1" t="s">
        <v>64</v>
      </c>
      <c r="H701" s="1" t="s">
        <v>31</v>
      </c>
      <c r="I701" s="1" t="s">
        <v>59</v>
      </c>
      <c r="J701" s="1">
        <v>6</v>
      </c>
      <c r="K701" s="1">
        <v>2309.06</v>
      </c>
      <c r="L701" s="1">
        <v>0.1</v>
      </c>
      <c r="M701" s="1">
        <v>13854.36</v>
      </c>
      <c r="N701" s="1">
        <v>1385.4359999999999</v>
      </c>
      <c r="O701" s="1">
        <v>12468.924000000001</v>
      </c>
      <c r="P701" s="1">
        <v>6483.8404800000008</v>
      </c>
      <c r="Q701" s="1">
        <v>5985.0835200000001</v>
      </c>
      <c r="R701" s="1">
        <v>48</v>
      </c>
      <c r="S701" s="1" t="s">
        <v>26</v>
      </c>
    </row>
    <row r="702" spans="1:19" x14ac:dyDescent="0.35">
      <c r="A702" s="1" t="s">
        <v>1061</v>
      </c>
      <c r="B702" s="3">
        <v>45754</v>
      </c>
      <c r="C702" s="1" t="s">
        <v>20</v>
      </c>
      <c r="D702" s="1">
        <v>4</v>
      </c>
      <c r="E702" s="1" t="s">
        <v>399</v>
      </c>
      <c r="F702" s="1" t="s">
        <v>52</v>
      </c>
      <c r="G702" s="1" t="s">
        <v>23</v>
      </c>
      <c r="H702" s="1" t="s">
        <v>77</v>
      </c>
      <c r="I702" s="1" t="s">
        <v>201</v>
      </c>
      <c r="J702" s="1">
        <v>2</v>
      </c>
      <c r="K702" s="1">
        <v>136.19999999999999</v>
      </c>
      <c r="L702" s="1">
        <v>0.05</v>
      </c>
      <c r="M702" s="1">
        <v>272.39999999999998</v>
      </c>
      <c r="N702" s="1">
        <v>13.62</v>
      </c>
      <c r="O702" s="1">
        <v>258.77999999999997</v>
      </c>
      <c r="P702" s="1">
        <v>186.32159999999999</v>
      </c>
      <c r="Q702" s="1">
        <v>72.458400000000012</v>
      </c>
      <c r="R702" s="1">
        <v>28.000000000000011</v>
      </c>
      <c r="S702" s="1" t="s">
        <v>26</v>
      </c>
    </row>
    <row r="703" spans="1:19" x14ac:dyDescent="0.35">
      <c r="A703" s="1" t="s">
        <v>1062</v>
      </c>
      <c r="B703" s="3">
        <v>45821</v>
      </c>
      <c r="C703" s="1" t="s">
        <v>82</v>
      </c>
      <c r="D703" s="1">
        <v>6</v>
      </c>
      <c r="E703" s="1" t="s">
        <v>130</v>
      </c>
      <c r="F703" s="1" t="s">
        <v>69</v>
      </c>
      <c r="G703" s="1" t="s">
        <v>38</v>
      </c>
      <c r="H703" s="1" t="s">
        <v>53</v>
      </c>
      <c r="I703" s="1" t="s">
        <v>72</v>
      </c>
      <c r="J703" s="1">
        <v>7</v>
      </c>
      <c r="K703" s="1">
        <v>1651.14</v>
      </c>
      <c r="L703" s="1">
        <v>0.15</v>
      </c>
      <c r="M703" s="1">
        <v>11557.98</v>
      </c>
      <c r="N703" s="1">
        <v>1733.6969999999999</v>
      </c>
      <c r="O703" s="1">
        <v>9824.2830000000013</v>
      </c>
      <c r="P703" s="1">
        <v>5698.0841399999999</v>
      </c>
      <c r="Q703" s="1">
        <v>4126.1988600000013</v>
      </c>
      <c r="R703" s="1">
        <v>42.000000000000007</v>
      </c>
      <c r="S703" s="1" t="s">
        <v>60</v>
      </c>
    </row>
    <row r="704" spans="1:19" x14ac:dyDescent="0.35">
      <c r="A704" s="1" t="s">
        <v>1063</v>
      </c>
      <c r="B704" s="3">
        <v>45938</v>
      </c>
      <c r="C704" s="1" t="s">
        <v>35</v>
      </c>
      <c r="D704" s="1">
        <v>10</v>
      </c>
      <c r="E704" s="1" t="s">
        <v>263</v>
      </c>
      <c r="F704" s="1" t="s">
        <v>37</v>
      </c>
      <c r="G704" s="1" t="s">
        <v>64</v>
      </c>
      <c r="H704" s="1" t="s">
        <v>53</v>
      </c>
      <c r="I704" s="1" t="s">
        <v>185</v>
      </c>
      <c r="J704" s="1">
        <v>6</v>
      </c>
      <c r="K704" s="1">
        <v>1512.08</v>
      </c>
      <c r="L704" s="1">
        <v>0.05</v>
      </c>
      <c r="M704" s="1">
        <v>9072.48</v>
      </c>
      <c r="N704" s="1">
        <v>453.62400000000002</v>
      </c>
      <c r="O704" s="1">
        <v>8618.8559999999998</v>
      </c>
      <c r="P704" s="1">
        <v>4998.9364799999994</v>
      </c>
      <c r="Q704" s="1">
        <v>3619.9195199999999</v>
      </c>
      <c r="R704" s="1">
        <v>42.000000000000007</v>
      </c>
      <c r="S704" s="1" t="s">
        <v>73</v>
      </c>
    </row>
    <row r="705" spans="1:19" x14ac:dyDescent="0.35">
      <c r="A705" s="1" t="s">
        <v>1064</v>
      </c>
      <c r="B705" s="3">
        <v>45845</v>
      </c>
      <c r="C705" s="1" t="s">
        <v>62</v>
      </c>
      <c r="D705" s="1">
        <v>7</v>
      </c>
      <c r="E705" s="1" t="s">
        <v>303</v>
      </c>
      <c r="F705" s="1" t="s">
        <v>52</v>
      </c>
      <c r="G705" s="1" t="s">
        <v>64</v>
      </c>
      <c r="H705" s="1" t="s">
        <v>77</v>
      </c>
      <c r="I705" s="1" t="s">
        <v>148</v>
      </c>
      <c r="J705" s="1">
        <v>5</v>
      </c>
      <c r="K705" s="1">
        <v>1138.9100000000001</v>
      </c>
      <c r="L705" s="1">
        <v>0.05</v>
      </c>
      <c r="M705" s="1">
        <v>5694.55</v>
      </c>
      <c r="N705" s="1">
        <v>284.72750000000002</v>
      </c>
      <c r="O705" s="1">
        <v>5409.8225000000002</v>
      </c>
      <c r="P705" s="1">
        <v>3895.0722000000001</v>
      </c>
      <c r="Q705" s="1">
        <v>1514.7502999999999</v>
      </c>
      <c r="R705" s="1">
        <v>28</v>
      </c>
      <c r="S705" s="1" t="s">
        <v>60</v>
      </c>
    </row>
    <row r="706" spans="1:19" x14ac:dyDescent="0.35">
      <c r="A706" s="1" t="s">
        <v>1065</v>
      </c>
      <c r="B706" s="3">
        <v>45875</v>
      </c>
      <c r="C706" s="1" t="s">
        <v>113</v>
      </c>
      <c r="D706" s="1">
        <v>8</v>
      </c>
      <c r="E706" s="1" t="s">
        <v>875</v>
      </c>
      <c r="F706" s="1" t="s">
        <v>37</v>
      </c>
      <c r="G706" s="1" t="s">
        <v>64</v>
      </c>
      <c r="H706" s="1" t="s">
        <v>31</v>
      </c>
      <c r="I706" s="1" t="s">
        <v>190</v>
      </c>
      <c r="J706" s="1">
        <v>5</v>
      </c>
      <c r="K706" s="1">
        <v>2385.37</v>
      </c>
      <c r="L706" s="1">
        <v>0.15</v>
      </c>
      <c r="M706" s="1">
        <v>11926.85</v>
      </c>
      <c r="N706" s="1">
        <v>1789.0274999999999</v>
      </c>
      <c r="O706" s="1">
        <v>10137.8225</v>
      </c>
      <c r="P706" s="1">
        <v>5271.6676999999991</v>
      </c>
      <c r="Q706" s="1">
        <v>4866.1547999999993</v>
      </c>
      <c r="R706" s="1">
        <v>48.000000000000007</v>
      </c>
      <c r="S706" s="1" t="s">
        <v>60</v>
      </c>
    </row>
    <row r="707" spans="1:19" x14ac:dyDescent="0.35">
      <c r="A707" s="1" t="s">
        <v>1066</v>
      </c>
      <c r="B707" s="3">
        <v>45801</v>
      </c>
      <c r="C707" s="1" t="s">
        <v>97</v>
      </c>
      <c r="D707" s="1">
        <v>5</v>
      </c>
      <c r="E707" s="1" t="s">
        <v>359</v>
      </c>
      <c r="F707" s="1" t="s">
        <v>22</v>
      </c>
      <c r="G707" s="1" t="s">
        <v>38</v>
      </c>
      <c r="H707" s="1" t="s">
        <v>31</v>
      </c>
      <c r="I707" s="1" t="s">
        <v>65</v>
      </c>
      <c r="J707" s="1">
        <v>3</v>
      </c>
      <c r="K707" s="1">
        <v>3070</v>
      </c>
      <c r="L707" s="1">
        <v>0.25</v>
      </c>
      <c r="M707" s="1">
        <v>9210</v>
      </c>
      <c r="N707" s="1">
        <v>2302.5</v>
      </c>
      <c r="O707" s="1">
        <v>6907.5</v>
      </c>
      <c r="P707" s="1">
        <v>3591.9</v>
      </c>
      <c r="Q707" s="1">
        <v>3315.6</v>
      </c>
      <c r="R707" s="1">
        <v>48</v>
      </c>
      <c r="S707" s="1" t="s">
        <v>73</v>
      </c>
    </row>
    <row r="708" spans="1:19" x14ac:dyDescent="0.35">
      <c r="A708" s="1" t="s">
        <v>1067</v>
      </c>
      <c r="B708" s="3">
        <v>45812</v>
      </c>
      <c r="C708" s="1" t="s">
        <v>82</v>
      </c>
      <c r="D708" s="1">
        <v>6</v>
      </c>
      <c r="E708" s="1" t="s">
        <v>693</v>
      </c>
      <c r="F708" s="1" t="s">
        <v>43</v>
      </c>
      <c r="G708" s="1" t="s">
        <v>38</v>
      </c>
      <c r="H708" s="1" t="s">
        <v>77</v>
      </c>
      <c r="I708" s="1" t="s">
        <v>148</v>
      </c>
      <c r="J708" s="1">
        <v>2</v>
      </c>
      <c r="K708" s="1">
        <v>331.35</v>
      </c>
      <c r="L708" s="1">
        <v>0.1</v>
      </c>
      <c r="M708" s="1">
        <v>662.7</v>
      </c>
      <c r="N708" s="1">
        <v>66.27000000000001</v>
      </c>
      <c r="O708" s="1">
        <v>596.43000000000006</v>
      </c>
      <c r="P708" s="1">
        <v>429.42960000000011</v>
      </c>
      <c r="Q708" s="1">
        <v>167.00040000000001</v>
      </c>
      <c r="R708" s="1">
        <v>28</v>
      </c>
      <c r="S708" s="1" t="s">
        <v>93</v>
      </c>
    </row>
    <row r="709" spans="1:19" x14ac:dyDescent="0.35">
      <c r="A709" s="1" t="s">
        <v>1068</v>
      </c>
      <c r="B709" s="3">
        <v>45856</v>
      </c>
      <c r="C709" s="1" t="s">
        <v>62</v>
      </c>
      <c r="D709" s="1">
        <v>7</v>
      </c>
      <c r="E709" s="1" t="s">
        <v>518</v>
      </c>
      <c r="F709" s="1" t="s">
        <v>58</v>
      </c>
      <c r="G709" s="1" t="s">
        <v>23</v>
      </c>
      <c r="H709" s="1" t="s">
        <v>77</v>
      </c>
      <c r="I709" s="1" t="s">
        <v>201</v>
      </c>
      <c r="J709" s="1">
        <v>5</v>
      </c>
      <c r="K709" s="1">
        <v>342.4</v>
      </c>
      <c r="L709" s="1">
        <v>0.15</v>
      </c>
      <c r="M709" s="1">
        <v>1712</v>
      </c>
      <c r="N709" s="1">
        <v>256.8</v>
      </c>
      <c r="O709" s="1">
        <v>1455.2</v>
      </c>
      <c r="P709" s="1">
        <v>1047.7439999999999</v>
      </c>
      <c r="Q709" s="1">
        <v>407.45600000000007</v>
      </c>
      <c r="R709" s="1">
        <v>28.000000000000011</v>
      </c>
      <c r="S709" s="1" t="s">
        <v>60</v>
      </c>
    </row>
    <row r="710" spans="1:19" x14ac:dyDescent="0.35">
      <c r="A710" s="1" t="s">
        <v>1069</v>
      </c>
      <c r="B710" s="3">
        <v>45750</v>
      </c>
      <c r="C710" s="1" t="s">
        <v>20</v>
      </c>
      <c r="D710" s="1">
        <v>4</v>
      </c>
      <c r="E710" s="1" t="s">
        <v>1013</v>
      </c>
      <c r="F710" s="1" t="s">
        <v>58</v>
      </c>
      <c r="G710" s="1" t="s">
        <v>64</v>
      </c>
      <c r="H710" s="1" t="s">
        <v>39</v>
      </c>
      <c r="I710" s="1" t="s">
        <v>155</v>
      </c>
      <c r="J710" s="1">
        <v>7</v>
      </c>
      <c r="K710" s="1">
        <v>46975.93</v>
      </c>
      <c r="L710" s="1">
        <v>0.2</v>
      </c>
      <c r="M710" s="1">
        <v>328831.51</v>
      </c>
      <c r="N710" s="1">
        <v>65766.302000000011</v>
      </c>
      <c r="O710" s="1">
        <v>263065.20799999998</v>
      </c>
      <c r="P710" s="1">
        <v>205190.86223999999</v>
      </c>
      <c r="Q710" s="1">
        <v>57874.345759999997</v>
      </c>
      <c r="R710" s="1">
        <v>22</v>
      </c>
      <c r="S710" s="1" t="s">
        <v>60</v>
      </c>
    </row>
    <row r="711" spans="1:19" x14ac:dyDescent="0.35">
      <c r="A711" s="1" t="s">
        <v>1070</v>
      </c>
      <c r="B711" s="3">
        <v>45889</v>
      </c>
      <c r="C711" s="1" t="s">
        <v>113</v>
      </c>
      <c r="D711" s="1">
        <v>8</v>
      </c>
      <c r="E711" s="1" t="s">
        <v>458</v>
      </c>
      <c r="F711" s="1" t="s">
        <v>111</v>
      </c>
      <c r="G711" s="1" t="s">
        <v>64</v>
      </c>
      <c r="H711" s="1" t="s">
        <v>31</v>
      </c>
      <c r="I711" s="1" t="s">
        <v>167</v>
      </c>
      <c r="J711" s="1">
        <v>6</v>
      </c>
      <c r="K711" s="1">
        <v>361.72</v>
      </c>
      <c r="L711" s="1">
        <v>0.15</v>
      </c>
      <c r="M711" s="1">
        <v>2170.3200000000002</v>
      </c>
      <c r="N711" s="1">
        <v>325.548</v>
      </c>
      <c r="O711" s="1">
        <v>1844.7719999999999</v>
      </c>
      <c r="P711" s="1">
        <v>959.28144000000009</v>
      </c>
      <c r="Q711" s="1">
        <v>885.49056000000007</v>
      </c>
      <c r="R711" s="1">
        <v>48</v>
      </c>
      <c r="S711" s="1" t="s">
        <v>60</v>
      </c>
    </row>
    <row r="712" spans="1:19" x14ac:dyDescent="0.35">
      <c r="A712" s="1" t="s">
        <v>1071</v>
      </c>
      <c r="B712" s="3">
        <v>45906</v>
      </c>
      <c r="C712" s="1" t="s">
        <v>50</v>
      </c>
      <c r="D712" s="1">
        <v>9</v>
      </c>
      <c r="E712" s="1" t="s">
        <v>502</v>
      </c>
      <c r="F712" s="1" t="s">
        <v>30</v>
      </c>
      <c r="G712" s="1" t="s">
        <v>38</v>
      </c>
      <c r="H712" s="1" t="s">
        <v>53</v>
      </c>
      <c r="I712" s="1" t="s">
        <v>123</v>
      </c>
      <c r="J712" s="1">
        <v>5</v>
      </c>
      <c r="K712" s="1">
        <v>163.86</v>
      </c>
      <c r="L712" s="1">
        <v>0.15</v>
      </c>
      <c r="M712" s="1">
        <v>819.30000000000007</v>
      </c>
      <c r="N712" s="1">
        <v>122.895</v>
      </c>
      <c r="O712" s="1">
        <v>696.40500000000009</v>
      </c>
      <c r="P712" s="1">
        <v>403.91489999999999</v>
      </c>
      <c r="Q712" s="1">
        <v>292.49009999999998</v>
      </c>
      <c r="R712" s="1">
        <v>42</v>
      </c>
      <c r="S712" s="1" t="s">
        <v>93</v>
      </c>
    </row>
    <row r="713" spans="1:19" x14ac:dyDescent="0.35">
      <c r="A713" s="1" t="s">
        <v>1072</v>
      </c>
      <c r="B713" s="3">
        <v>45699</v>
      </c>
      <c r="C713" s="1" t="s">
        <v>42</v>
      </c>
      <c r="D713" s="1">
        <v>2</v>
      </c>
      <c r="E713" s="1" t="s">
        <v>175</v>
      </c>
      <c r="F713" s="1" t="s">
        <v>43</v>
      </c>
      <c r="G713" s="1" t="s">
        <v>64</v>
      </c>
      <c r="H713" s="1" t="s">
        <v>99</v>
      </c>
      <c r="I713" s="1" t="s">
        <v>100</v>
      </c>
      <c r="J713" s="1">
        <v>4</v>
      </c>
      <c r="K713" s="1">
        <v>8885.4500000000007</v>
      </c>
      <c r="L713" s="1">
        <v>0.15</v>
      </c>
      <c r="M713" s="1">
        <v>35541.800000000003</v>
      </c>
      <c r="N713" s="1">
        <v>5331.27</v>
      </c>
      <c r="O713" s="1">
        <v>30210.53</v>
      </c>
      <c r="P713" s="1">
        <v>20543.160400000001</v>
      </c>
      <c r="Q713" s="1">
        <v>9667.3695999999982</v>
      </c>
      <c r="R713" s="1">
        <v>31.999999999999989</v>
      </c>
      <c r="S713" s="1" t="s">
        <v>60</v>
      </c>
    </row>
    <row r="714" spans="1:19" x14ac:dyDescent="0.35">
      <c r="A714" s="1" t="s">
        <v>1073</v>
      </c>
      <c r="B714" s="3">
        <v>45744</v>
      </c>
      <c r="C714" s="1" t="s">
        <v>28</v>
      </c>
      <c r="D714" s="1">
        <v>3</v>
      </c>
      <c r="E714" s="1" t="s">
        <v>576</v>
      </c>
      <c r="F714" s="1" t="s">
        <v>52</v>
      </c>
      <c r="G714" s="1" t="s">
        <v>64</v>
      </c>
      <c r="H714" s="1" t="s">
        <v>99</v>
      </c>
      <c r="I714" s="1" t="s">
        <v>145</v>
      </c>
      <c r="J714" s="1">
        <v>2</v>
      </c>
      <c r="K714" s="1">
        <v>6642.28</v>
      </c>
      <c r="L714" s="1">
        <v>0</v>
      </c>
      <c r="M714" s="1">
        <v>13284.56</v>
      </c>
      <c r="N714" s="1">
        <v>0</v>
      </c>
      <c r="O714" s="1">
        <v>13284.56</v>
      </c>
      <c r="P714" s="1">
        <v>9033.5007999999998</v>
      </c>
      <c r="Q714" s="1">
        <v>4251.0591999999997</v>
      </c>
      <c r="R714" s="1">
        <v>32</v>
      </c>
      <c r="S714" s="1" t="s">
        <v>93</v>
      </c>
    </row>
    <row r="715" spans="1:19" x14ac:dyDescent="0.35">
      <c r="A715" s="1" t="s">
        <v>1074</v>
      </c>
      <c r="B715" s="3">
        <v>45723</v>
      </c>
      <c r="C715" s="1" t="s">
        <v>28</v>
      </c>
      <c r="D715" s="1">
        <v>3</v>
      </c>
      <c r="E715" s="1" t="s">
        <v>880</v>
      </c>
      <c r="F715" s="1" t="s">
        <v>111</v>
      </c>
      <c r="G715" s="1" t="s">
        <v>38</v>
      </c>
      <c r="H715" s="1" t="s">
        <v>99</v>
      </c>
      <c r="I715" s="1" t="s">
        <v>108</v>
      </c>
      <c r="J715" s="1">
        <v>2</v>
      </c>
      <c r="K715" s="1">
        <v>17358.740000000002</v>
      </c>
      <c r="L715" s="1">
        <v>0.2</v>
      </c>
      <c r="M715" s="1">
        <v>34717.480000000003</v>
      </c>
      <c r="N715" s="1">
        <v>6943.496000000001</v>
      </c>
      <c r="O715" s="1">
        <v>27773.984</v>
      </c>
      <c r="P715" s="1">
        <v>18886.309120000009</v>
      </c>
      <c r="Q715" s="1">
        <v>8887.6748799999987</v>
      </c>
      <c r="R715" s="1">
        <v>31.999999999999989</v>
      </c>
      <c r="S715" s="1" t="s">
        <v>60</v>
      </c>
    </row>
    <row r="716" spans="1:19" x14ac:dyDescent="0.35">
      <c r="A716" s="1" t="s">
        <v>1075</v>
      </c>
      <c r="B716" s="3">
        <v>45866</v>
      </c>
      <c r="C716" s="1" t="s">
        <v>62</v>
      </c>
      <c r="D716" s="1">
        <v>7</v>
      </c>
      <c r="E716" s="1" t="s">
        <v>1076</v>
      </c>
      <c r="F716" s="1" t="s">
        <v>69</v>
      </c>
      <c r="G716" s="1" t="s">
        <v>23</v>
      </c>
      <c r="H716" s="1" t="s">
        <v>53</v>
      </c>
      <c r="I716" s="1" t="s">
        <v>128</v>
      </c>
      <c r="J716" s="1">
        <v>1</v>
      </c>
      <c r="K716" s="1">
        <v>179.23</v>
      </c>
      <c r="L716" s="1">
        <v>0.3</v>
      </c>
      <c r="M716" s="1">
        <v>179.23</v>
      </c>
      <c r="N716" s="1">
        <v>53.768999999999998</v>
      </c>
      <c r="O716" s="1">
        <v>125.461</v>
      </c>
      <c r="P716" s="1">
        <v>72.767379999999989</v>
      </c>
      <c r="Q716" s="1">
        <v>52.693620000000003</v>
      </c>
      <c r="R716" s="1">
        <v>42.000000000000007</v>
      </c>
      <c r="S716" s="1" t="s">
        <v>33</v>
      </c>
    </row>
    <row r="717" spans="1:19" x14ac:dyDescent="0.35">
      <c r="A717" s="1" t="s">
        <v>1077</v>
      </c>
      <c r="B717" s="3">
        <v>45958</v>
      </c>
      <c r="C717" s="1" t="s">
        <v>35</v>
      </c>
      <c r="D717" s="1">
        <v>10</v>
      </c>
      <c r="E717" s="1" t="s">
        <v>75</v>
      </c>
      <c r="F717" s="1" t="s">
        <v>30</v>
      </c>
      <c r="G717" s="1" t="s">
        <v>38</v>
      </c>
      <c r="H717" s="1" t="s">
        <v>99</v>
      </c>
      <c r="I717" s="1" t="s">
        <v>223</v>
      </c>
      <c r="J717" s="1">
        <v>5</v>
      </c>
      <c r="K717" s="1">
        <v>7263.57</v>
      </c>
      <c r="L717" s="1">
        <v>0.05</v>
      </c>
      <c r="M717" s="1">
        <v>36317.85</v>
      </c>
      <c r="N717" s="1">
        <v>1815.8924999999999</v>
      </c>
      <c r="O717" s="1">
        <v>34501.957499999997</v>
      </c>
      <c r="P717" s="1">
        <v>23461.331099999999</v>
      </c>
      <c r="Q717" s="1">
        <v>11040.626399999999</v>
      </c>
      <c r="R717" s="1">
        <v>32</v>
      </c>
      <c r="S717" s="1" t="s">
        <v>26</v>
      </c>
    </row>
    <row r="718" spans="1:19" x14ac:dyDescent="0.35">
      <c r="A718" s="1" t="s">
        <v>1078</v>
      </c>
      <c r="B718" s="3">
        <v>45864</v>
      </c>
      <c r="C718" s="1" t="s">
        <v>62</v>
      </c>
      <c r="D718" s="1">
        <v>7</v>
      </c>
      <c r="E718" s="1" t="s">
        <v>536</v>
      </c>
      <c r="F718" s="1" t="s">
        <v>58</v>
      </c>
      <c r="G718" s="1" t="s">
        <v>38</v>
      </c>
      <c r="H718" s="1" t="s">
        <v>39</v>
      </c>
      <c r="I718" s="1" t="s">
        <v>155</v>
      </c>
      <c r="J718" s="1">
        <v>2</v>
      </c>
      <c r="K718" s="1">
        <v>41840.019999999997</v>
      </c>
      <c r="L718" s="1">
        <v>0.2</v>
      </c>
      <c r="M718" s="1">
        <v>83680.039999999994</v>
      </c>
      <c r="N718" s="1">
        <v>16736.008000000002</v>
      </c>
      <c r="O718" s="1">
        <v>66944.031999999992</v>
      </c>
      <c r="P718" s="1">
        <v>52216.344959999988</v>
      </c>
      <c r="Q718" s="1">
        <v>14727.687040000001</v>
      </c>
      <c r="R718" s="1">
        <v>22</v>
      </c>
      <c r="S718" s="1" t="s">
        <v>26</v>
      </c>
    </row>
    <row r="719" spans="1:19" x14ac:dyDescent="0.35">
      <c r="A719" s="1" t="s">
        <v>1079</v>
      </c>
      <c r="B719" s="3">
        <v>45732</v>
      </c>
      <c r="C719" s="1" t="s">
        <v>28</v>
      </c>
      <c r="D719" s="1">
        <v>3</v>
      </c>
      <c r="E719" s="1" t="s">
        <v>435</v>
      </c>
      <c r="F719" s="1" t="s">
        <v>22</v>
      </c>
      <c r="G719" s="1" t="s">
        <v>38</v>
      </c>
      <c r="H719" s="1" t="s">
        <v>99</v>
      </c>
      <c r="I719" s="1" t="s">
        <v>100</v>
      </c>
      <c r="J719" s="1">
        <v>2</v>
      </c>
      <c r="K719" s="1">
        <v>9133.39</v>
      </c>
      <c r="L719" s="1">
        <v>0.1</v>
      </c>
      <c r="M719" s="1">
        <v>18266.78</v>
      </c>
      <c r="N719" s="1">
        <v>1826.6780000000001</v>
      </c>
      <c r="O719" s="1">
        <v>16440.101999999999</v>
      </c>
      <c r="P719" s="1">
        <v>11179.26936</v>
      </c>
      <c r="Q719" s="1">
        <v>5260.8326399999987</v>
      </c>
      <c r="R719" s="1">
        <v>32</v>
      </c>
      <c r="S719" s="1" t="s">
        <v>33</v>
      </c>
    </row>
    <row r="720" spans="1:19" x14ac:dyDescent="0.35">
      <c r="A720" s="1" t="s">
        <v>1080</v>
      </c>
      <c r="B720" s="3">
        <v>45664</v>
      </c>
      <c r="C720" s="1" t="s">
        <v>193</v>
      </c>
      <c r="D720" s="1">
        <v>1</v>
      </c>
      <c r="E720" s="1" t="s">
        <v>51</v>
      </c>
      <c r="F720" s="1" t="s">
        <v>43</v>
      </c>
      <c r="G720" s="1" t="s">
        <v>38</v>
      </c>
      <c r="H720" s="1" t="s">
        <v>39</v>
      </c>
      <c r="I720" s="1" t="s">
        <v>234</v>
      </c>
      <c r="J720" s="1">
        <v>2</v>
      </c>
      <c r="K720" s="1">
        <v>19210.03</v>
      </c>
      <c r="L720" s="1">
        <v>0.25</v>
      </c>
      <c r="M720" s="1">
        <v>38420.06</v>
      </c>
      <c r="N720" s="1">
        <v>9605.0149999999994</v>
      </c>
      <c r="O720" s="1">
        <v>28815.044999999998</v>
      </c>
      <c r="P720" s="1">
        <v>22475.735100000002</v>
      </c>
      <c r="Q720" s="1">
        <v>6339.3099000000002</v>
      </c>
      <c r="R720" s="1">
        <v>22</v>
      </c>
      <c r="S720" s="1" t="s">
        <v>33</v>
      </c>
    </row>
    <row r="721" spans="1:19" x14ac:dyDescent="0.35">
      <c r="A721" s="1" t="s">
        <v>1081</v>
      </c>
      <c r="B721" s="3">
        <v>45774</v>
      </c>
      <c r="C721" s="1" t="s">
        <v>20</v>
      </c>
      <c r="D721" s="1">
        <v>4</v>
      </c>
      <c r="E721" s="1" t="s">
        <v>75</v>
      </c>
      <c r="F721" s="1" t="s">
        <v>52</v>
      </c>
      <c r="G721" s="1" t="s">
        <v>64</v>
      </c>
      <c r="H721" s="1" t="s">
        <v>24</v>
      </c>
      <c r="I721" s="1" t="s">
        <v>117</v>
      </c>
      <c r="J721" s="1">
        <v>4</v>
      </c>
      <c r="K721" s="1">
        <v>3364.87</v>
      </c>
      <c r="L721" s="1">
        <v>0.1</v>
      </c>
      <c r="M721" s="1">
        <v>13459.48</v>
      </c>
      <c r="N721" s="1">
        <v>1345.9480000000001</v>
      </c>
      <c r="O721" s="1">
        <v>12113.531999999999</v>
      </c>
      <c r="P721" s="1">
        <v>6662.4426000000003</v>
      </c>
      <c r="Q721" s="1">
        <v>5451.0893999999989</v>
      </c>
      <c r="R721" s="1">
        <v>44.999999999999993</v>
      </c>
      <c r="S721" s="1" t="s">
        <v>73</v>
      </c>
    </row>
    <row r="722" spans="1:19" x14ac:dyDescent="0.35">
      <c r="A722" s="1" t="s">
        <v>1082</v>
      </c>
      <c r="B722" s="3">
        <v>45740</v>
      </c>
      <c r="C722" s="1" t="s">
        <v>28</v>
      </c>
      <c r="D722" s="1">
        <v>3</v>
      </c>
      <c r="E722" s="1" t="s">
        <v>328</v>
      </c>
      <c r="F722" s="1" t="s">
        <v>58</v>
      </c>
      <c r="G722" s="1" t="s">
        <v>64</v>
      </c>
      <c r="H722" s="1" t="s">
        <v>39</v>
      </c>
      <c r="I722" s="1" t="s">
        <v>155</v>
      </c>
      <c r="J722" s="1">
        <v>5</v>
      </c>
      <c r="K722" s="1">
        <v>16058.86</v>
      </c>
      <c r="L722" s="1">
        <v>0.05</v>
      </c>
      <c r="M722" s="1">
        <v>80294.3</v>
      </c>
      <c r="N722" s="1">
        <v>4014.7150000000001</v>
      </c>
      <c r="O722" s="1">
        <v>76279.585000000006</v>
      </c>
      <c r="P722" s="1">
        <v>59498.076300000008</v>
      </c>
      <c r="Q722" s="1">
        <v>16781.508699999998</v>
      </c>
      <c r="R722" s="1">
        <v>22</v>
      </c>
      <c r="S722" s="1" t="s">
        <v>33</v>
      </c>
    </row>
    <row r="723" spans="1:19" x14ac:dyDescent="0.35">
      <c r="A723" s="1" t="s">
        <v>1083</v>
      </c>
      <c r="B723" s="3">
        <v>45821</v>
      </c>
      <c r="C723" s="1" t="s">
        <v>82</v>
      </c>
      <c r="D723" s="1">
        <v>6</v>
      </c>
      <c r="E723" s="1" t="s">
        <v>662</v>
      </c>
      <c r="F723" s="1" t="s">
        <v>47</v>
      </c>
      <c r="G723" s="1" t="s">
        <v>23</v>
      </c>
      <c r="H723" s="1" t="s">
        <v>24</v>
      </c>
      <c r="I723" s="1" t="s">
        <v>44</v>
      </c>
      <c r="J723" s="1">
        <v>4</v>
      </c>
      <c r="K723" s="1">
        <v>1802.67</v>
      </c>
      <c r="L723" s="1">
        <v>0.05</v>
      </c>
      <c r="M723" s="1">
        <v>7210.68</v>
      </c>
      <c r="N723" s="1">
        <v>360.53399999999999</v>
      </c>
      <c r="O723" s="1">
        <v>6850.1460000000006</v>
      </c>
      <c r="P723" s="1">
        <v>3767.580300000001</v>
      </c>
      <c r="Q723" s="1">
        <v>3082.5657000000001</v>
      </c>
      <c r="R723" s="1">
        <v>44.999999999999993</v>
      </c>
      <c r="S723" s="1" t="s">
        <v>93</v>
      </c>
    </row>
    <row r="724" spans="1:19" x14ac:dyDescent="0.35">
      <c r="A724" s="1" t="s">
        <v>1084</v>
      </c>
      <c r="B724" s="3">
        <v>45757</v>
      </c>
      <c r="C724" s="1" t="s">
        <v>20</v>
      </c>
      <c r="D724" s="1">
        <v>4</v>
      </c>
      <c r="E724" s="1" t="s">
        <v>165</v>
      </c>
      <c r="F724" s="1" t="s">
        <v>111</v>
      </c>
      <c r="G724" s="1" t="s">
        <v>64</v>
      </c>
      <c r="H724" s="1" t="s">
        <v>24</v>
      </c>
      <c r="I724" s="1" t="s">
        <v>48</v>
      </c>
      <c r="J724" s="1">
        <v>7</v>
      </c>
      <c r="K724" s="1">
        <v>597.19000000000005</v>
      </c>
      <c r="L724" s="1">
        <v>0</v>
      </c>
      <c r="M724" s="1">
        <v>4180.33</v>
      </c>
      <c r="N724" s="1">
        <v>0</v>
      </c>
      <c r="O724" s="1">
        <v>4180.33</v>
      </c>
      <c r="P724" s="1">
        <v>2299.1815000000001</v>
      </c>
      <c r="Q724" s="1">
        <v>1881.1485</v>
      </c>
      <c r="R724" s="1">
        <v>44.999999999999993</v>
      </c>
      <c r="S724" s="1" t="s">
        <v>26</v>
      </c>
    </row>
    <row r="725" spans="1:19" x14ac:dyDescent="0.35">
      <c r="A725" s="1" t="s">
        <v>1085</v>
      </c>
      <c r="B725" s="3">
        <v>45730</v>
      </c>
      <c r="C725" s="1" t="s">
        <v>28</v>
      </c>
      <c r="D725" s="1">
        <v>3</v>
      </c>
      <c r="E725" s="1" t="s">
        <v>1086</v>
      </c>
      <c r="F725" s="1" t="s">
        <v>76</v>
      </c>
      <c r="G725" s="1" t="s">
        <v>38</v>
      </c>
      <c r="H725" s="1" t="s">
        <v>77</v>
      </c>
      <c r="I725" s="1" t="s">
        <v>201</v>
      </c>
      <c r="J725" s="1">
        <v>1</v>
      </c>
      <c r="K725" s="1">
        <v>238.16</v>
      </c>
      <c r="L725" s="1">
        <v>0.15</v>
      </c>
      <c r="M725" s="1">
        <v>238.16</v>
      </c>
      <c r="N725" s="1">
        <v>35.723999999999997</v>
      </c>
      <c r="O725" s="1">
        <v>202.43600000000001</v>
      </c>
      <c r="P725" s="1">
        <v>145.75391999999999</v>
      </c>
      <c r="Q725" s="1">
        <v>56.682080000000013</v>
      </c>
      <c r="R725" s="1">
        <v>28.000000000000011</v>
      </c>
      <c r="S725" s="1" t="s">
        <v>73</v>
      </c>
    </row>
    <row r="726" spans="1:19" x14ac:dyDescent="0.35">
      <c r="A726" s="1" t="s">
        <v>1087</v>
      </c>
      <c r="B726" s="3">
        <v>45659</v>
      </c>
      <c r="C726" s="1" t="s">
        <v>193</v>
      </c>
      <c r="D726" s="1">
        <v>1</v>
      </c>
      <c r="E726" s="1" t="s">
        <v>918</v>
      </c>
      <c r="F726" s="1" t="s">
        <v>58</v>
      </c>
      <c r="G726" s="1" t="s">
        <v>64</v>
      </c>
      <c r="H726" s="1" t="s">
        <v>53</v>
      </c>
      <c r="I726" s="1" t="s">
        <v>72</v>
      </c>
      <c r="J726" s="1">
        <v>1</v>
      </c>
      <c r="K726" s="1">
        <v>1973.68</v>
      </c>
      <c r="L726" s="1">
        <v>0.25</v>
      </c>
      <c r="M726" s="1">
        <v>1973.68</v>
      </c>
      <c r="N726" s="1">
        <v>493.42</v>
      </c>
      <c r="O726" s="1">
        <v>1480.26</v>
      </c>
      <c r="P726" s="1">
        <v>858.55079999999998</v>
      </c>
      <c r="Q726" s="1">
        <v>621.70920000000001</v>
      </c>
      <c r="R726" s="1">
        <v>42</v>
      </c>
      <c r="S726" s="1" t="s">
        <v>26</v>
      </c>
    </row>
    <row r="727" spans="1:19" x14ac:dyDescent="0.35">
      <c r="A727" s="1" t="s">
        <v>1088</v>
      </c>
      <c r="B727" s="3">
        <v>45994</v>
      </c>
      <c r="C727" s="1" t="s">
        <v>67</v>
      </c>
      <c r="D727" s="1">
        <v>12</v>
      </c>
      <c r="E727" s="1" t="s">
        <v>405</v>
      </c>
      <c r="F727" s="1" t="s">
        <v>37</v>
      </c>
      <c r="G727" s="1" t="s">
        <v>64</v>
      </c>
      <c r="H727" s="1" t="s">
        <v>99</v>
      </c>
      <c r="I727" s="1" t="s">
        <v>223</v>
      </c>
      <c r="J727" s="1">
        <v>2</v>
      </c>
      <c r="K727" s="1">
        <v>12608.68</v>
      </c>
      <c r="L727" s="1">
        <v>0.25</v>
      </c>
      <c r="M727" s="1">
        <v>25217.360000000001</v>
      </c>
      <c r="N727" s="1">
        <v>6304.34</v>
      </c>
      <c r="O727" s="1">
        <v>18913.02</v>
      </c>
      <c r="P727" s="1">
        <v>12860.8536</v>
      </c>
      <c r="Q727" s="1">
        <v>6052.1664000000001</v>
      </c>
      <c r="R727" s="1">
        <v>32</v>
      </c>
      <c r="S727" s="1" t="s">
        <v>60</v>
      </c>
    </row>
    <row r="728" spans="1:19" x14ac:dyDescent="0.35">
      <c r="A728" s="1" t="s">
        <v>1089</v>
      </c>
      <c r="B728" s="3">
        <v>45757</v>
      </c>
      <c r="C728" s="1" t="s">
        <v>20</v>
      </c>
      <c r="D728" s="1">
        <v>4</v>
      </c>
      <c r="E728" s="1" t="s">
        <v>338</v>
      </c>
      <c r="F728" s="1" t="s">
        <v>43</v>
      </c>
      <c r="G728" s="1" t="s">
        <v>38</v>
      </c>
      <c r="H728" s="1" t="s">
        <v>99</v>
      </c>
      <c r="I728" s="1" t="s">
        <v>145</v>
      </c>
      <c r="J728" s="1">
        <v>1</v>
      </c>
      <c r="K728" s="1">
        <v>8607.19</v>
      </c>
      <c r="L728" s="1">
        <v>0</v>
      </c>
      <c r="M728" s="1">
        <v>8607.19</v>
      </c>
      <c r="N728" s="1">
        <v>0</v>
      </c>
      <c r="O728" s="1">
        <v>8607.19</v>
      </c>
      <c r="P728" s="1">
        <v>5852.8892000000014</v>
      </c>
      <c r="Q728" s="1">
        <v>2754.3008</v>
      </c>
      <c r="R728" s="1">
        <v>32</v>
      </c>
      <c r="S728" s="1" t="s">
        <v>93</v>
      </c>
    </row>
    <row r="729" spans="1:19" x14ac:dyDescent="0.35">
      <c r="A729" s="1" t="s">
        <v>1090</v>
      </c>
      <c r="B729" s="3">
        <v>45992</v>
      </c>
      <c r="C729" s="1" t="s">
        <v>67</v>
      </c>
      <c r="D729" s="1">
        <v>12</v>
      </c>
      <c r="E729" s="1" t="s">
        <v>422</v>
      </c>
      <c r="F729" s="1" t="s">
        <v>22</v>
      </c>
      <c r="G729" s="1" t="s">
        <v>38</v>
      </c>
      <c r="H729" s="1" t="s">
        <v>31</v>
      </c>
      <c r="I729" s="1" t="s">
        <v>190</v>
      </c>
      <c r="J729" s="1">
        <v>4</v>
      </c>
      <c r="K729" s="1">
        <v>2268.29</v>
      </c>
      <c r="L729" s="1">
        <v>0.05</v>
      </c>
      <c r="M729" s="1">
        <v>9073.16</v>
      </c>
      <c r="N729" s="1">
        <v>453.65800000000002</v>
      </c>
      <c r="O729" s="1">
        <v>8619.5020000000004</v>
      </c>
      <c r="P729" s="1">
        <v>4482.1410400000004</v>
      </c>
      <c r="Q729" s="1">
        <v>4137.36096</v>
      </c>
      <c r="R729" s="1">
        <v>48</v>
      </c>
      <c r="S729" s="1" t="s">
        <v>26</v>
      </c>
    </row>
    <row r="730" spans="1:19" x14ac:dyDescent="0.35">
      <c r="A730" s="1" t="s">
        <v>1091</v>
      </c>
      <c r="B730" s="3">
        <v>45771</v>
      </c>
      <c r="C730" s="1" t="s">
        <v>20</v>
      </c>
      <c r="D730" s="1">
        <v>4</v>
      </c>
      <c r="E730" s="1" t="s">
        <v>263</v>
      </c>
      <c r="F730" s="1" t="s">
        <v>37</v>
      </c>
      <c r="G730" s="1" t="s">
        <v>38</v>
      </c>
      <c r="H730" s="1" t="s">
        <v>77</v>
      </c>
      <c r="I730" s="1" t="s">
        <v>103</v>
      </c>
      <c r="J730" s="1">
        <v>2</v>
      </c>
      <c r="K730" s="1">
        <v>173.57</v>
      </c>
      <c r="L730" s="1">
        <v>0</v>
      </c>
      <c r="M730" s="1">
        <v>347.14</v>
      </c>
      <c r="N730" s="1">
        <v>0</v>
      </c>
      <c r="O730" s="1">
        <v>347.14</v>
      </c>
      <c r="P730" s="1">
        <v>249.9408</v>
      </c>
      <c r="Q730" s="1">
        <v>97.199200000000019</v>
      </c>
      <c r="R730" s="1">
        <v>28.000000000000011</v>
      </c>
      <c r="S730" s="1" t="s">
        <v>73</v>
      </c>
    </row>
    <row r="731" spans="1:19" x14ac:dyDescent="0.35">
      <c r="A731" s="1" t="s">
        <v>1092</v>
      </c>
      <c r="B731" s="3">
        <v>45769</v>
      </c>
      <c r="C731" s="1" t="s">
        <v>20</v>
      </c>
      <c r="D731" s="1">
        <v>4</v>
      </c>
      <c r="E731" s="1" t="s">
        <v>584</v>
      </c>
      <c r="F731" s="1" t="s">
        <v>58</v>
      </c>
      <c r="G731" s="1" t="s">
        <v>64</v>
      </c>
      <c r="H731" s="1" t="s">
        <v>39</v>
      </c>
      <c r="I731" s="1" t="s">
        <v>234</v>
      </c>
      <c r="J731" s="1">
        <v>1</v>
      </c>
      <c r="K731" s="1">
        <v>20051.580000000002</v>
      </c>
      <c r="L731" s="1">
        <v>0.05</v>
      </c>
      <c r="M731" s="1">
        <v>20051.580000000002</v>
      </c>
      <c r="N731" s="1">
        <v>1002.579</v>
      </c>
      <c r="O731" s="1">
        <v>19049.001</v>
      </c>
      <c r="P731" s="1">
        <v>14858.22078</v>
      </c>
      <c r="Q731" s="1">
        <v>4190.7802199999987</v>
      </c>
      <c r="R731" s="1">
        <v>21.999999999999989</v>
      </c>
      <c r="S731" s="1" t="s">
        <v>73</v>
      </c>
    </row>
    <row r="732" spans="1:19" x14ac:dyDescent="0.35">
      <c r="A732" s="1" t="s">
        <v>1093</v>
      </c>
      <c r="B732" s="3">
        <v>45893</v>
      </c>
      <c r="C732" s="1" t="s">
        <v>113</v>
      </c>
      <c r="D732" s="1">
        <v>8</v>
      </c>
      <c r="E732" s="1" t="s">
        <v>89</v>
      </c>
      <c r="F732" s="1" t="s">
        <v>76</v>
      </c>
      <c r="G732" s="1" t="s">
        <v>23</v>
      </c>
      <c r="H732" s="1" t="s">
        <v>31</v>
      </c>
      <c r="I732" s="1" t="s">
        <v>190</v>
      </c>
      <c r="J732" s="1">
        <v>6</v>
      </c>
      <c r="K732" s="1">
        <v>3462.02</v>
      </c>
      <c r="L732" s="1">
        <v>0.1</v>
      </c>
      <c r="M732" s="1">
        <v>20772.12</v>
      </c>
      <c r="N732" s="1">
        <v>2077.212</v>
      </c>
      <c r="O732" s="1">
        <v>18694.907999999999</v>
      </c>
      <c r="P732" s="1">
        <v>9721.3521600000004</v>
      </c>
      <c r="Q732" s="1">
        <v>8973.5558399999991</v>
      </c>
      <c r="R732" s="1">
        <v>48</v>
      </c>
      <c r="S732" s="1" t="s">
        <v>73</v>
      </c>
    </row>
    <row r="733" spans="1:19" x14ac:dyDescent="0.35">
      <c r="A733" s="1" t="s">
        <v>1094</v>
      </c>
      <c r="B733" s="3">
        <v>45861</v>
      </c>
      <c r="C733" s="1" t="s">
        <v>62</v>
      </c>
      <c r="D733" s="1">
        <v>7</v>
      </c>
      <c r="E733" s="1" t="s">
        <v>240</v>
      </c>
      <c r="F733" s="1" t="s">
        <v>69</v>
      </c>
      <c r="G733" s="1" t="s">
        <v>23</v>
      </c>
      <c r="H733" s="1" t="s">
        <v>31</v>
      </c>
      <c r="I733" s="1" t="s">
        <v>59</v>
      </c>
      <c r="J733" s="1">
        <v>3</v>
      </c>
      <c r="K733" s="1">
        <v>872.39</v>
      </c>
      <c r="L733" s="1">
        <v>0.05</v>
      </c>
      <c r="M733" s="1">
        <v>2617.17</v>
      </c>
      <c r="N733" s="1">
        <v>130.85849999999999</v>
      </c>
      <c r="O733" s="1">
        <v>2486.3114999999998</v>
      </c>
      <c r="P733" s="1">
        <v>1292.8819800000001</v>
      </c>
      <c r="Q733" s="1">
        <v>1193.4295199999999</v>
      </c>
      <c r="R733" s="1">
        <v>48</v>
      </c>
      <c r="S733" s="1" t="s">
        <v>60</v>
      </c>
    </row>
    <row r="734" spans="1:19" x14ac:dyDescent="0.35">
      <c r="A734" s="1" t="s">
        <v>1095</v>
      </c>
      <c r="B734" s="3">
        <v>45836</v>
      </c>
      <c r="C734" s="1" t="s">
        <v>82</v>
      </c>
      <c r="D734" s="1">
        <v>6</v>
      </c>
      <c r="E734" s="1" t="s">
        <v>936</v>
      </c>
      <c r="F734" s="1" t="s">
        <v>52</v>
      </c>
      <c r="G734" s="1" t="s">
        <v>64</v>
      </c>
      <c r="H734" s="1" t="s">
        <v>31</v>
      </c>
      <c r="I734" s="1" t="s">
        <v>59</v>
      </c>
      <c r="J734" s="1">
        <v>7</v>
      </c>
      <c r="K734" s="1">
        <v>3454.38</v>
      </c>
      <c r="L734" s="1">
        <v>0.2</v>
      </c>
      <c r="M734" s="1">
        <v>24180.66</v>
      </c>
      <c r="N734" s="1">
        <v>4836.1320000000014</v>
      </c>
      <c r="O734" s="1">
        <v>19344.527999999998</v>
      </c>
      <c r="P734" s="1">
        <v>10059.154560000001</v>
      </c>
      <c r="Q734" s="1">
        <v>9285.3734399999994</v>
      </c>
      <c r="R734" s="1">
        <v>48</v>
      </c>
      <c r="S734" s="1" t="s">
        <v>33</v>
      </c>
    </row>
    <row r="735" spans="1:19" x14ac:dyDescent="0.35">
      <c r="A735" s="1" t="s">
        <v>1096</v>
      </c>
      <c r="B735" s="3">
        <v>45704</v>
      </c>
      <c r="C735" s="1" t="s">
        <v>42</v>
      </c>
      <c r="D735" s="1">
        <v>2</v>
      </c>
      <c r="E735" s="1" t="s">
        <v>265</v>
      </c>
      <c r="F735" s="1" t="s">
        <v>37</v>
      </c>
      <c r="G735" s="1" t="s">
        <v>38</v>
      </c>
      <c r="H735" s="1" t="s">
        <v>99</v>
      </c>
      <c r="I735" s="1" t="s">
        <v>223</v>
      </c>
      <c r="J735" s="1">
        <v>2</v>
      </c>
      <c r="K735" s="1">
        <v>9382.6299999999992</v>
      </c>
      <c r="L735" s="1">
        <v>0.1</v>
      </c>
      <c r="M735" s="1">
        <v>18765.259999999998</v>
      </c>
      <c r="N735" s="1">
        <v>1876.5260000000001</v>
      </c>
      <c r="O735" s="1">
        <v>16888.734</v>
      </c>
      <c r="P735" s="1">
        <v>11484.339120000001</v>
      </c>
      <c r="Q735" s="1">
        <v>5404.394879999998</v>
      </c>
      <c r="R735" s="1">
        <v>32</v>
      </c>
      <c r="S735" s="1" t="s">
        <v>73</v>
      </c>
    </row>
    <row r="736" spans="1:19" x14ac:dyDescent="0.35">
      <c r="A736" s="1" t="s">
        <v>1097</v>
      </c>
      <c r="B736" s="3">
        <v>45943</v>
      </c>
      <c r="C736" s="1" t="s">
        <v>35</v>
      </c>
      <c r="D736" s="1">
        <v>10</v>
      </c>
      <c r="E736" s="1" t="s">
        <v>424</v>
      </c>
      <c r="F736" s="1" t="s">
        <v>43</v>
      </c>
      <c r="G736" s="1" t="s">
        <v>23</v>
      </c>
      <c r="H736" s="1" t="s">
        <v>77</v>
      </c>
      <c r="I736" s="1" t="s">
        <v>78</v>
      </c>
      <c r="J736" s="1">
        <v>6</v>
      </c>
      <c r="K736" s="1">
        <v>665.02</v>
      </c>
      <c r="L736" s="1">
        <v>0.3</v>
      </c>
      <c r="M736" s="1">
        <v>3990.12</v>
      </c>
      <c r="N736" s="1">
        <v>1197.0360000000001</v>
      </c>
      <c r="O736" s="1">
        <v>2793.0839999999998</v>
      </c>
      <c r="P736" s="1">
        <v>2011.0204799999999</v>
      </c>
      <c r="Q736" s="1">
        <v>782.06351999999993</v>
      </c>
      <c r="R736" s="1">
        <v>28</v>
      </c>
      <c r="S736" s="1" t="s">
        <v>26</v>
      </c>
    </row>
    <row r="737" spans="1:19" x14ac:dyDescent="0.35">
      <c r="A737" s="1" t="s">
        <v>1098</v>
      </c>
      <c r="B737" s="3">
        <v>45845</v>
      </c>
      <c r="C737" s="1" t="s">
        <v>62</v>
      </c>
      <c r="D737" s="1">
        <v>7</v>
      </c>
      <c r="E737" s="1" t="s">
        <v>817</v>
      </c>
      <c r="F737" s="1" t="s">
        <v>22</v>
      </c>
      <c r="G737" s="1" t="s">
        <v>23</v>
      </c>
      <c r="H737" s="1" t="s">
        <v>99</v>
      </c>
      <c r="I737" s="1" t="s">
        <v>145</v>
      </c>
      <c r="J737" s="1">
        <v>1</v>
      </c>
      <c r="K737" s="1">
        <v>22448.400000000001</v>
      </c>
      <c r="L737" s="1">
        <v>0.1</v>
      </c>
      <c r="M737" s="1">
        <v>22448.400000000001</v>
      </c>
      <c r="N737" s="1">
        <v>2244.84</v>
      </c>
      <c r="O737" s="1">
        <v>20203.560000000001</v>
      </c>
      <c r="P737" s="1">
        <v>13738.4208</v>
      </c>
      <c r="Q737" s="1">
        <v>6465.1391999999996</v>
      </c>
      <c r="R737" s="1">
        <v>32</v>
      </c>
      <c r="S737" s="1" t="s">
        <v>73</v>
      </c>
    </row>
    <row r="738" spans="1:19" x14ac:dyDescent="0.35">
      <c r="A738" s="1" t="s">
        <v>1099</v>
      </c>
      <c r="B738" s="3">
        <v>45742</v>
      </c>
      <c r="C738" s="1" t="s">
        <v>28</v>
      </c>
      <c r="D738" s="1">
        <v>3</v>
      </c>
      <c r="E738" s="1" t="s">
        <v>696</v>
      </c>
      <c r="F738" s="1" t="s">
        <v>47</v>
      </c>
      <c r="G738" s="1" t="s">
        <v>38</v>
      </c>
      <c r="H738" s="1" t="s">
        <v>24</v>
      </c>
      <c r="I738" s="1" t="s">
        <v>139</v>
      </c>
      <c r="J738" s="1">
        <v>4</v>
      </c>
      <c r="K738" s="1">
        <v>591.69000000000005</v>
      </c>
      <c r="L738" s="1">
        <v>0.25</v>
      </c>
      <c r="M738" s="1">
        <v>2366.7600000000002</v>
      </c>
      <c r="N738" s="1">
        <v>591.69000000000005</v>
      </c>
      <c r="O738" s="1">
        <v>1775.07</v>
      </c>
      <c r="P738" s="1">
        <v>976.28850000000011</v>
      </c>
      <c r="Q738" s="1">
        <v>798.78150000000005</v>
      </c>
      <c r="R738" s="1">
        <v>45</v>
      </c>
      <c r="S738" s="1" t="s">
        <v>33</v>
      </c>
    </row>
    <row r="739" spans="1:19" x14ac:dyDescent="0.35">
      <c r="A739" s="1" t="s">
        <v>1100</v>
      </c>
      <c r="B739" s="3">
        <v>45687</v>
      </c>
      <c r="C739" s="1" t="s">
        <v>193</v>
      </c>
      <c r="D739" s="1">
        <v>1</v>
      </c>
      <c r="E739" s="1" t="s">
        <v>293</v>
      </c>
      <c r="F739" s="1" t="s">
        <v>69</v>
      </c>
      <c r="G739" s="1" t="s">
        <v>64</v>
      </c>
      <c r="H739" s="1" t="s">
        <v>99</v>
      </c>
      <c r="I739" s="1" t="s">
        <v>100</v>
      </c>
      <c r="J739" s="1">
        <v>1</v>
      </c>
      <c r="K739" s="1">
        <v>24079.4</v>
      </c>
      <c r="L739" s="1">
        <v>0.05</v>
      </c>
      <c r="M739" s="1">
        <v>24079.4</v>
      </c>
      <c r="N739" s="1">
        <v>1203.97</v>
      </c>
      <c r="O739" s="1">
        <v>22875.43</v>
      </c>
      <c r="P739" s="1">
        <v>15555.2924</v>
      </c>
      <c r="Q739" s="1">
        <v>7320.1375999999982</v>
      </c>
      <c r="R739" s="1">
        <v>31.999999999999989</v>
      </c>
      <c r="S739" s="1" t="s">
        <v>26</v>
      </c>
    </row>
    <row r="740" spans="1:19" x14ac:dyDescent="0.35">
      <c r="A740" s="1" t="s">
        <v>1101</v>
      </c>
      <c r="B740" s="3">
        <v>45872</v>
      </c>
      <c r="C740" s="1" t="s">
        <v>113</v>
      </c>
      <c r="D740" s="1">
        <v>8</v>
      </c>
      <c r="E740" s="1" t="s">
        <v>1102</v>
      </c>
      <c r="F740" s="1" t="s">
        <v>22</v>
      </c>
      <c r="G740" s="1" t="s">
        <v>64</v>
      </c>
      <c r="H740" s="1" t="s">
        <v>53</v>
      </c>
      <c r="I740" s="1" t="s">
        <v>185</v>
      </c>
      <c r="J740" s="1">
        <v>2</v>
      </c>
      <c r="K740" s="1">
        <v>1144.7</v>
      </c>
      <c r="L740" s="1">
        <v>0.1</v>
      </c>
      <c r="M740" s="1">
        <v>2289.4</v>
      </c>
      <c r="N740" s="1">
        <v>228.94</v>
      </c>
      <c r="O740" s="1">
        <v>2060.46</v>
      </c>
      <c r="P740" s="1">
        <v>1195.0668000000001</v>
      </c>
      <c r="Q740" s="1">
        <v>865.39320000000021</v>
      </c>
      <c r="R740" s="1">
        <v>42.000000000000007</v>
      </c>
      <c r="S740" s="1" t="s">
        <v>26</v>
      </c>
    </row>
    <row r="741" spans="1:19" x14ac:dyDescent="0.35">
      <c r="A741" s="1" t="s">
        <v>1103</v>
      </c>
      <c r="B741" s="3">
        <v>45886</v>
      </c>
      <c r="C741" s="1" t="s">
        <v>113</v>
      </c>
      <c r="D741" s="1">
        <v>8</v>
      </c>
      <c r="E741" s="1" t="s">
        <v>424</v>
      </c>
      <c r="F741" s="1" t="s">
        <v>30</v>
      </c>
      <c r="G741" s="1" t="s">
        <v>64</v>
      </c>
      <c r="H741" s="1" t="s">
        <v>53</v>
      </c>
      <c r="I741" s="1" t="s">
        <v>54</v>
      </c>
      <c r="J741" s="1">
        <v>1</v>
      </c>
      <c r="K741" s="1">
        <v>659.25</v>
      </c>
      <c r="L741" s="1">
        <v>0.2</v>
      </c>
      <c r="M741" s="1">
        <v>659.25</v>
      </c>
      <c r="N741" s="1">
        <v>131.85</v>
      </c>
      <c r="O741" s="1">
        <v>527.4</v>
      </c>
      <c r="P741" s="1">
        <v>305.89199999999988</v>
      </c>
      <c r="Q741" s="1">
        <v>221.50800000000001</v>
      </c>
      <c r="R741" s="1">
        <v>42.000000000000007</v>
      </c>
      <c r="S741" s="1" t="s">
        <v>33</v>
      </c>
    </row>
    <row r="742" spans="1:19" x14ac:dyDescent="0.35">
      <c r="A742" s="1" t="s">
        <v>1104</v>
      </c>
      <c r="B742" s="3">
        <v>45834</v>
      </c>
      <c r="C742" s="1" t="s">
        <v>82</v>
      </c>
      <c r="D742" s="1">
        <v>6</v>
      </c>
      <c r="E742" s="1" t="s">
        <v>119</v>
      </c>
      <c r="F742" s="1" t="s">
        <v>22</v>
      </c>
      <c r="G742" s="1" t="s">
        <v>64</v>
      </c>
      <c r="H742" s="1" t="s">
        <v>99</v>
      </c>
      <c r="I742" s="1" t="s">
        <v>100</v>
      </c>
      <c r="J742" s="1">
        <v>5</v>
      </c>
      <c r="K742" s="1">
        <v>8311.76</v>
      </c>
      <c r="L742" s="1">
        <v>0.2</v>
      </c>
      <c r="M742" s="1">
        <v>41558.800000000003</v>
      </c>
      <c r="N742" s="1">
        <v>8311.76</v>
      </c>
      <c r="O742" s="1">
        <v>33247.040000000001</v>
      </c>
      <c r="P742" s="1">
        <v>22607.9872</v>
      </c>
      <c r="Q742" s="1">
        <v>10639.052799999999</v>
      </c>
      <c r="R742" s="1">
        <v>31.999999999999989</v>
      </c>
      <c r="S742" s="1" t="s">
        <v>73</v>
      </c>
    </row>
    <row r="743" spans="1:19" x14ac:dyDescent="0.35">
      <c r="A743" s="1" t="s">
        <v>1105</v>
      </c>
      <c r="B743" s="3">
        <v>45899</v>
      </c>
      <c r="C743" s="1" t="s">
        <v>113</v>
      </c>
      <c r="D743" s="1">
        <v>8</v>
      </c>
      <c r="E743" s="1" t="s">
        <v>274</v>
      </c>
      <c r="F743" s="1" t="s">
        <v>76</v>
      </c>
      <c r="G743" s="1" t="s">
        <v>64</v>
      </c>
      <c r="H743" s="1" t="s">
        <v>31</v>
      </c>
      <c r="I743" s="1" t="s">
        <v>32</v>
      </c>
      <c r="J743" s="1">
        <v>6</v>
      </c>
      <c r="K743" s="1">
        <v>3208.7</v>
      </c>
      <c r="L743" s="1">
        <v>0.15</v>
      </c>
      <c r="M743" s="1">
        <v>19252.2</v>
      </c>
      <c r="N743" s="1">
        <v>2887.829999999999</v>
      </c>
      <c r="O743" s="1">
        <v>16364.37</v>
      </c>
      <c r="P743" s="1">
        <v>8509.4723999999987</v>
      </c>
      <c r="Q743" s="1">
        <v>7854.8975999999984</v>
      </c>
      <c r="R743" s="1">
        <v>48</v>
      </c>
      <c r="S743" s="1" t="s">
        <v>60</v>
      </c>
    </row>
    <row r="744" spans="1:19" x14ac:dyDescent="0.35">
      <c r="A744" s="1" t="s">
        <v>1106</v>
      </c>
      <c r="B744" s="3">
        <v>45791</v>
      </c>
      <c r="C744" s="1" t="s">
        <v>97</v>
      </c>
      <c r="D744" s="1">
        <v>5</v>
      </c>
      <c r="E744" s="1" t="s">
        <v>777</v>
      </c>
      <c r="F744" s="1" t="s">
        <v>37</v>
      </c>
      <c r="G744" s="1" t="s">
        <v>64</v>
      </c>
      <c r="H744" s="1" t="s">
        <v>77</v>
      </c>
      <c r="I744" s="1" t="s">
        <v>78</v>
      </c>
      <c r="J744" s="1">
        <v>2</v>
      </c>
      <c r="K744" s="1">
        <v>568.79999999999995</v>
      </c>
      <c r="L744" s="1">
        <v>0.15</v>
      </c>
      <c r="M744" s="1">
        <v>1137.5999999999999</v>
      </c>
      <c r="N744" s="1">
        <v>170.64</v>
      </c>
      <c r="O744" s="1">
        <v>966.95999999999992</v>
      </c>
      <c r="P744" s="1">
        <v>696.21119999999996</v>
      </c>
      <c r="Q744" s="1">
        <v>270.74880000000002</v>
      </c>
      <c r="R744" s="1">
        <v>28</v>
      </c>
      <c r="S744" s="1" t="s">
        <v>73</v>
      </c>
    </row>
    <row r="745" spans="1:19" x14ac:dyDescent="0.35">
      <c r="A745" s="1" t="s">
        <v>1107</v>
      </c>
      <c r="B745" s="3">
        <v>45727</v>
      </c>
      <c r="C745" s="1" t="s">
        <v>28</v>
      </c>
      <c r="D745" s="1">
        <v>3</v>
      </c>
      <c r="E745" s="1" t="s">
        <v>324</v>
      </c>
      <c r="F745" s="1" t="s">
        <v>69</v>
      </c>
      <c r="G745" s="1" t="s">
        <v>23</v>
      </c>
      <c r="H745" s="1" t="s">
        <v>77</v>
      </c>
      <c r="I745" s="1" t="s">
        <v>90</v>
      </c>
      <c r="J745" s="1">
        <v>6</v>
      </c>
      <c r="K745" s="1">
        <v>582.67999999999995</v>
      </c>
      <c r="L745" s="1">
        <v>0.1</v>
      </c>
      <c r="M745" s="1">
        <v>3496.08</v>
      </c>
      <c r="N745" s="1">
        <v>349.608</v>
      </c>
      <c r="O745" s="1">
        <v>3146.4720000000002</v>
      </c>
      <c r="P745" s="1">
        <v>2265.45984</v>
      </c>
      <c r="Q745" s="1">
        <v>881.01216000000022</v>
      </c>
      <c r="R745" s="1">
        <v>28.000000000000011</v>
      </c>
      <c r="S745" s="1" t="s">
        <v>73</v>
      </c>
    </row>
    <row r="746" spans="1:19" x14ac:dyDescent="0.35">
      <c r="A746" s="1" t="s">
        <v>1108</v>
      </c>
      <c r="B746" s="3">
        <v>45746</v>
      </c>
      <c r="C746" s="1" t="s">
        <v>28</v>
      </c>
      <c r="D746" s="1">
        <v>3</v>
      </c>
      <c r="E746" s="1" t="s">
        <v>371</v>
      </c>
      <c r="F746" s="1" t="s">
        <v>43</v>
      </c>
      <c r="G746" s="1" t="s">
        <v>38</v>
      </c>
      <c r="H746" s="1" t="s">
        <v>31</v>
      </c>
      <c r="I746" s="1" t="s">
        <v>59</v>
      </c>
      <c r="J746" s="1">
        <v>5</v>
      </c>
      <c r="K746" s="1">
        <v>1674.68</v>
      </c>
      <c r="L746" s="1">
        <v>0.2</v>
      </c>
      <c r="M746" s="1">
        <v>8373.4</v>
      </c>
      <c r="N746" s="1">
        <v>1674.68</v>
      </c>
      <c r="O746" s="1">
        <v>6698.7199999999993</v>
      </c>
      <c r="P746" s="1">
        <v>3483.3344000000002</v>
      </c>
      <c r="Q746" s="1">
        <v>3215.3856000000001</v>
      </c>
      <c r="R746" s="1">
        <v>48</v>
      </c>
      <c r="S746" s="1" t="s">
        <v>73</v>
      </c>
    </row>
    <row r="747" spans="1:19" x14ac:dyDescent="0.35">
      <c r="A747" s="1" t="s">
        <v>1109</v>
      </c>
      <c r="B747" s="3">
        <v>45926</v>
      </c>
      <c r="C747" s="1" t="s">
        <v>50</v>
      </c>
      <c r="D747" s="1">
        <v>9</v>
      </c>
      <c r="E747" s="1" t="s">
        <v>529</v>
      </c>
      <c r="F747" s="1" t="s">
        <v>37</v>
      </c>
      <c r="G747" s="1" t="s">
        <v>38</v>
      </c>
      <c r="H747" s="1" t="s">
        <v>99</v>
      </c>
      <c r="I747" s="1" t="s">
        <v>223</v>
      </c>
      <c r="J747" s="1">
        <v>3</v>
      </c>
      <c r="K747" s="1">
        <v>23483.55</v>
      </c>
      <c r="L747" s="1">
        <v>0.05</v>
      </c>
      <c r="M747" s="1">
        <v>70450.649999999994</v>
      </c>
      <c r="N747" s="1">
        <v>3522.5324999999998</v>
      </c>
      <c r="O747" s="1">
        <v>66928.117499999993</v>
      </c>
      <c r="P747" s="1">
        <v>45511.119899999998</v>
      </c>
      <c r="Q747" s="1">
        <v>21416.997599999999</v>
      </c>
      <c r="R747" s="1">
        <v>32</v>
      </c>
      <c r="S747" s="1" t="s">
        <v>26</v>
      </c>
    </row>
    <row r="748" spans="1:19" x14ac:dyDescent="0.35">
      <c r="A748" s="1" t="s">
        <v>1110</v>
      </c>
      <c r="B748" s="3">
        <v>45980</v>
      </c>
      <c r="C748" s="1" t="s">
        <v>56</v>
      </c>
      <c r="D748" s="1">
        <v>11</v>
      </c>
      <c r="E748" s="1" t="s">
        <v>68</v>
      </c>
      <c r="F748" s="1" t="s">
        <v>43</v>
      </c>
      <c r="G748" s="1" t="s">
        <v>23</v>
      </c>
      <c r="H748" s="1" t="s">
        <v>99</v>
      </c>
      <c r="I748" s="1" t="s">
        <v>108</v>
      </c>
      <c r="J748" s="1">
        <v>7</v>
      </c>
      <c r="K748" s="1">
        <v>9394.9500000000007</v>
      </c>
      <c r="L748" s="1">
        <v>0.3</v>
      </c>
      <c r="M748" s="1">
        <v>65764.650000000009</v>
      </c>
      <c r="N748" s="1">
        <v>19729.395</v>
      </c>
      <c r="O748" s="1">
        <v>46035.254999999997</v>
      </c>
      <c r="P748" s="1">
        <v>31303.97340000001</v>
      </c>
      <c r="Q748" s="1">
        <v>14731.2816</v>
      </c>
      <c r="R748" s="1">
        <v>32</v>
      </c>
      <c r="S748" s="1" t="s">
        <v>93</v>
      </c>
    </row>
    <row r="749" spans="1:19" x14ac:dyDescent="0.35">
      <c r="A749" s="1" t="s">
        <v>1111</v>
      </c>
      <c r="B749" s="3">
        <v>45786</v>
      </c>
      <c r="C749" s="1" t="s">
        <v>97</v>
      </c>
      <c r="D749" s="1">
        <v>5</v>
      </c>
      <c r="E749" s="1" t="s">
        <v>1053</v>
      </c>
      <c r="F749" s="1" t="s">
        <v>47</v>
      </c>
      <c r="G749" s="1" t="s">
        <v>64</v>
      </c>
      <c r="H749" s="1" t="s">
        <v>53</v>
      </c>
      <c r="I749" s="1" t="s">
        <v>123</v>
      </c>
      <c r="J749" s="1">
        <v>4</v>
      </c>
      <c r="K749" s="1">
        <v>1574.8</v>
      </c>
      <c r="L749" s="1">
        <v>0.25</v>
      </c>
      <c r="M749" s="1">
        <v>6299.2</v>
      </c>
      <c r="N749" s="1">
        <v>1574.8</v>
      </c>
      <c r="O749" s="1">
        <v>4724.3999999999996</v>
      </c>
      <c r="P749" s="1">
        <v>2740.152</v>
      </c>
      <c r="Q749" s="1">
        <v>1984.248</v>
      </c>
      <c r="R749" s="1">
        <v>42.000000000000007</v>
      </c>
      <c r="S749" s="1" t="s">
        <v>26</v>
      </c>
    </row>
    <row r="750" spans="1:19" x14ac:dyDescent="0.35">
      <c r="A750" s="1" t="s">
        <v>1112</v>
      </c>
      <c r="B750" s="3">
        <v>46013</v>
      </c>
      <c r="C750" s="1" t="s">
        <v>67</v>
      </c>
      <c r="D750" s="1">
        <v>12</v>
      </c>
      <c r="E750" s="1" t="s">
        <v>1113</v>
      </c>
      <c r="F750" s="1" t="s">
        <v>37</v>
      </c>
      <c r="G750" s="1" t="s">
        <v>64</v>
      </c>
      <c r="H750" s="1" t="s">
        <v>53</v>
      </c>
      <c r="I750" s="1" t="s">
        <v>128</v>
      </c>
      <c r="J750" s="1">
        <v>7</v>
      </c>
      <c r="K750" s="1">
        <v>2021.29</v>
      </c>
      <c r="L750" s="1">
        <v>0.2</v>
      </c>
      <c r="M750" s="1">
        <v>14149.03</v>
      </c>
      <c r="N750" s="1">
        <v>2829.806</v>
      </c>
      <c r="O750" s="1">
        <v>11319.224</v>
      </c>
      <c r="P750" s="1">
        <v>6565.1499199999989</v>
      </c>
      <c r="Q750" s="1">
        <v>4754.0740799999994</v>
      </c>
      <c r="R750" s="1">
        <v>42</v>
      </c>
      <c r="S750" s="1" t="s">
        <v>73</v>
      </c>
    </row>
    <row r="751" spans="1:19" x14ac:dyDescent="0.35">
      <c r="A751" s="1" t="s">
        <v>1114</v>
      </c>
      <c r="B751" s="3">
        <v>45849</v>
      </c>
      <c r="C751" s="1" t="s">
        <v>62</v>
      </c>
      <c r="D751" s="1">
        <v>7</v>
      </c>
      <c r="E751" s="1" t="s">
        <v>343</v>
      </c>
      <c r="F751" s="1" t="s">
        <v>69</v>
      </c>
      <c r="G751" s="1" t="s">
        <v>23</v>
      </c>
      <c r="H751" s="1" t="s">
        <v>53</v>
      </c>
      <c r="I751" s="1" t="s">
        <v>123</v>
      </c>
      <c r="J751" s="1">
        <v>2</v>
      </c>
      <c r="K751" s="1">
        <v>745.26</v>
      </c>
      <c r="L751" s="1">
        <v>0.3</v>
      </c>
      <c r="M751" s="1">
        <v>1490.52</v>
      </c>
      <c r="N751" s="1">
        <v>447.15600000000001</v>
      </c>
      <c r="O751" s="1">
        <v>1043.364</v>
      </c>
      <c r="P751" s="1">
        <v>605.15111999999999</v>
      </c>
      <c r="Q751" s="1">
        <v>438.21287999999998</v>
      </c>
      <c r="R751" s="1">
        <v>42.000000000000007</v>
      </c>
      <c r="S751" s="1" t="s">
        <v>26</v>
      </c>
    </row>
    <row r="752" spans="1:19" x14ac:dyDescent="0.35">
      <c r="A752" s="1" t="s">
        <v>1115</v>
      </c>
      <c r="B752" s="3">
        <v>45991</v>
      </c>
      <c r="C752" s="1" t="s">
        <v>56</v>
      </c>
      <c r="D752" s="1">
        <v>11</v>
      </c>
      <c r="E752" s="1" t="s">
        <v>633</v>
      </c>
      <c r="F752" s="1" t="s">
        <v>22</v>
      </c>
      <c r="G752" s="1" t="s">
        <v>64</v>
      </c>
      <c r="H752" s="1" t="s">
        <v>39</v>
      </c>
      <c r="I752" s="1" t="s">
        <v>87</v>
      </c>
      <c r="J752" s="1">
        <v>1</v>
      </c>
      <c r="K752" s="1">
        <v>14931.5</v>
      </c>
      <c r="L752" s="1">
        <v>0.15</v>
      </c>
      <c r="M752" s="1">
        <v>14931.5</v>
      </c>
      <c r="N752" s="1">
        <v>2239.7249999999999</v>
      </c>
      <c r="O752" s="1">
        <v>12691.775</v>
      </c>
      <c r="P752" s="1">
        <v>9899.5845000000008</v>
      </c>
      <c r="Q752" s="1">
        <v>2792.1904999999988</v>
      </c>
      <c r="R752" s="1">
        <v>21.999999999999989</v>
      </c>
      <c r="S752" s="1" t="s">
        <v>60</v>
      </c>
    </row>
    <row r="753" spans="1:19" x14ac:dyDescent="0.35">
      <c r="A753" s="1" t="s">
        <v>1116</v>
      </c>
      <c r="B753" s="3">
        <v>45940</v>
      </c>
      <c r="C753" s="1" t="s">
        <v>35</v>
      </c>
      <c r="D753" s="1">
        <v>10</v>
      </c>
      <c r="E753" s="1" t="s">
        <v>71</v>
      </c>
      <c r="F753" s="1" t="s">
        <v>76</v>
      </c>
      <c r="G753" s="1" t="s">
        <v>38</v>
      </c>
      <c r="H753" s="1" t="s">
        <v>99</v>
      </c>
      <c r="I753" s="1" t="s">
        <v>100</v>
      </c>
      <c r="J753" s="1">
        <v>3</v>
      </c>
      <c r="K753" s="1">
        <v>11645.41</v>
      </c>
      <c r="L753" s="1">
        <v>0.2</v>
      </c>
      <c r="M753" s="1">
        <v>34936.230000000003</v>
      </c>
      <c r="N753" s="1">
        <v>6987.2459999999992</v>
      </c>
      <c r="O753" s="1">
        <v>27948.984</v>
      </c>
      <c r="P753" s="1">
        <v>19005.309120000002</v>
      </c>
      <c r="Q753" s="1">
        <v>8943.6748799999987</v>
      </c>
      <c r="R753" s="1">
        <v>32</v>
      </c>
      <c r="S753" s="1" t="s">
        <v>73</v>
      </c>
    </row>
    <row r="754" spans="1:19" x14ac:dyDescent="0.35">
      <c r="A754" s="1" t="s">
        <v>1117</v>
      </c>
      <c r="B754" s="3">
        <v>45901</v>
      </c>
      <c r="C754" s="1" t="s">
        <v>50</v>
      </c>
      <c r="D754" s="1">
        <v>9</v>
      </c>
      <c r="E754" s="1" t="s">
        <v>363</v>
      </c>
      <c r="F754" s="1" t="s">
        <v>22</v>
      </c>
      <c r="G754" s="1" t="s">
        <v>23</v>
      </c>
      <c r="H754" s="1" t="s">
        <v>53</v>
      </c>
      <c r="I754" s="1" t="s">
        <v>123</v>
      </c>
      <c r="J754" s="1">
        <v>4</v>
      </c>
      <c r="K754" s="1">
        <v>2052.9</v>
      </c>
      <c r="L754" s="1">
        <v>0.05</v>
      </c>
      <c r="M754" s="1">
        <v>8211.6</v>
      </c>
      <c r="N754" s="1">
        <v>410.58</v>
      </c>
      <c r="O754" s="1">
        <v>7801.02</v>
      </c>
      <c r="P754" s="1">
        <v>4524.5915999999997</v>
      </c>
      <c r="Q754" s="1">
        <v>3276.4284000000011</v>
      </c>
      <c r="R754" s="1">
        <v>42.000000000000007</v>
      </c>
      <c r="S754" s="1" t="s">
        <v>60</v>
      </c>
    </row>
    <row r="755" spans="1:19" x14ac:dyDescent="0.35">
      <c r="A755" s="1" t="s">
        <v>1118</v>
      </c>
      <c r="B755" s="3">
        <v>45742</v>
      </c>
      <c r="C755" s="1" t="s">
        <v>28</v>
      </c>
      <c r="D755" s="1">
        <v>3</v>
      </c>
      <c r="E755" s="1" t="s">
        <v>549</v>
      </c>
      <c r="F755" s="1" t="s">
        <v>76</v>
      </c>
      <c r="G755" s="1" t="s">
        <v>38</v>
      </c>
      <c r="H755" s="1" t="s">
        <v>53</v>
      </c>
      <c r="I755" s="1" t="s">
        <v>123</v>
      </c>
      <c r="J755" s="1">
        <v>5</v>
      </c>
      <c r="K755" s="1">
        <v>219.66</v>
      </c>
      <c r="L755" s="1">
        <v>0.05</v>
      </c>
      <c r="M755" s="1">
        <v>1098.3</v>
      </c>
      <c r="N755" s="1">
        <v>54.914999999999999</v>
      </c>
      <c r="O755" s="1">
        <v>1043.385</v>
      </c>
      <c r="P755" s="1">
        <v>605.16329999999994</v>
      </c>
      <c r="Q755" s="1">
        <v>438.22170000000011</v>
      </c>
      <c r="R755" s="1">
        <v>42.000000000000007</v>
      </c>
      <c r="S755" s="1" t="s">
        <v>26</v>
      </c>
    </row>
    <row r="756" spans="1:19" x14ac:dyDescent="0.35">
      <c r="A756" s="1" t="s">
        <v>1119</v>
      </c>
      <c r="B756" s="3">
        <v>45877</v>
      </c>
      <c r="C756" s="1" t="s">
        <v>113</v>
      </c>
      <c r="D756" s="1">
        <v>8</v>
      </c>
      <c r="E756" s="1" t="s">
        <v>1076</v>
      </c>
      <c r="F756" s="1" t="s">
        <v>69</v>
      </c>
      <c r="G756" s="1" t="s">
        <v>23</v>
      </c>
      <c r="H756" s="1" t="s">
        <v>24</v>
      </c>
      <c r="I756" s="1" t="s">
        <v>139</v>
      </c>
      <c r="J756" s="1">
        <v>7</v>
      </c>
      <c r="K756" s="1">
        <v>3264.47</v>
      </c>
      <c r="L756" s="1">
        <v>0.05</v>
      </c>
      <c r="M756" s="1">
        <v>22851.29</v>
      </c>
      <c r="N756" s="1">
        <v>1142.5645</v>
      </c>
      <c r="O756" s="1">
        <v>21708.7255</v>
      </c>
      <c r="P756" s="1">
        <v>11939.799025</v>
      </c>
      <c r="Q756" s="1">
        <v>9768.9264749999984</v>
      </c>
      <c r="R756" s="1">
        <v>45</v>
      </c>
      <c r="S756" s="1" t="s">
        <v>93</v>
      </c>
    </row>
    <row r="757" spans="1:19" x14ac:dyDescent="0.35">
      <c r="A757" s="1" t="s">
        <v>1120</v>
      </c>
      <c r="B757" s="3">
        <v>45715</v>
      </c>
      <c r="C757" s="1" t="s">
        <v>42</v>
      </c>
      <c r="D757" s="1">
        <v>2</v>
      </c>
      <c r="E757" s="1" t="s">
        <v>283</v>
      </c>
      <c r="F757" s="1" t="s">
        <v>52</v>
      </c>
      <c r="G757" s="1" t="s">
        <v>23</v>
      </c>
      <c r="H757" s="1" t="s">
        <v>31</v>
      </c>
      <c r="I757" s="1" t="s">
        <v>167</v>
      </c>
      <c r="J757" s="1">
        <v>4</v>
      </c>
      <c r="K757" s="1">
        <v>1988.65</v>
      </c>
      <c r="L757" s="1">
        <v>0.1</v>
      </c>
      <c r="M757" s="1">
        <v>7954.6</v>
      </c>
      <c r="N757" s="1">
        <v>795.46</v>
      </c>
      <c r="O757" s="1">
        <v>7159.14</v>
      </c>
      <c r="P757" s="1">
        <v>3722.7528000000002</v>
      </c>
      <c r="Q757" s="1">
        <v>3436.3872000000001</v>
      </c>
      <c r="R757" s="1">
        <v>48</v>
      </c>
      <c r="S757" s="1" t="s">
        <v>73</v>
      </c>
    </row>
    <row r="758" spans="1:19" x14ac:dyDescent="0.35">
      <c r="A758" s="1" t="s">
        <v>1121</v>
      </c>
      <c r="B758" s="3">
        <v>45778</v>
      </c>
      <c r="C758" s="1" t="s">
        <v>97</v>
      </c>
      <c r="D758" s="1">
        <v>5</v>
      </c>
      <c r="E758" s="1" t="s">
        <v>220</v>
      </c>
      <c r="F758" s="1" t="s">
        <v>69</v>
      </c>
      <c r="G758" s="1" t="s">
        <v>64</v>
      </c>
      <c r="H758" s="1" t="s">
        <v>99</v>
      </c>
      <c r="I758" s="1" t="s">
        <v>120</v>
      </c>
      <c r="J758" s="1">
        <v>6</v>
      </c>
      <c r="K758" s="1">
        <v>9777.4599999999991</v>
      </c>
      <c r="L758" s="1">
        <v>0.2</v>
      </c>
      <c r="M758" s="1">
        <v>58664.759999999987</v>
      </c>
      <c r="N758" s="1">
        <v>11732.951999999999</v>
      </c>
      <c r="O758" s="1">
        <v>46931.807999999997</v>
      </c>
      <c r="P758" s="1">
        <v>31913.629440000001</v>
      </c>
      <c r="Q758" s="1">
        <v>15018.17856</v>
      </c>
      <c r="R758" s="1">
        <v>32</v>
      </c>
      <c r="S758" s="1" t="s">
        <v>26</v>
      </c>
    </row>
    <row r="759" spans="1:19" x14ac:dyDescent="0.35">
      <c r="A759" s="1" t="s">
        <v>1122</v>
      </c>
      <c r="B759" s="3">
        <v>45705</v>
      </c>
      <c r="C759" s="1" t="s">
        <v>42</v>
      </c>
      <c r="D759" s="1">
        <v>2</v>
      </c>
      <c r="E759" s="1" t="s">
        <v>472</v>
      </c>
      <c r="F759" s="1" t="s">
        <v>47</v>
      </c>
      <c r="G759" s="1" t="s">
        <v>23</v>
      </c>
      <c r="H759" s="1" t="s">
        <v>39</v>
      </c>
      <c r="I759" s="1" t="s">
        <v>155</v>
      </c>
      <c r="J759" s="1">
        <v>1</v>
      </c>
      <c r="K759" s="1">
        <v>62853.27</v>
      </c>
      <c r="L759" s="1">
        <v>0.1</v>
      </c>
      <c r="M759" s="1">
        <v>62853.27</v>
      </c>
      <c r="N759" s="1">
        <v>6285.3270000000002</v>
      </c>
      <c r="O759" s="1">
        <v>56567.942999999999</v>
      </c>
      <c r="P759" s="1">
        <v>44122.995540000004</v>
      </c>
      <c r="Q759" s="1">
        <v>12444.947459999999</v>
      </c>
      <c r="R759" s="1">
        <v>21.999999999999989</v>
      </c>
      <c r="S759" s="1" t="s">
        <v>60</v>
      </c>
    </row>
    <row r="760" spans="1:19" x14ac:dyDescent="0.35">
      <c r="A760" s="1" t="s">
        <v>1123</v>
      </c>
      <c r="B760" s="3">
        <v>45832</v>
      </c>
      <c r="C760" s="1" t="s">
        <v>82</v>
      </c>
      <c r="D760" s="1">
        <v>6</v>
      </c>
      <c r="E760" s="1" t="s">
        <v>405</v>
      </c>
      <c r="F760" s="1" t="s">
        <v>30</v>
      </c>
      <c r="G760" s="1" t="s">
        <v>23</v>
      </c>
      <c r="H760" s="1" t="s">
        <v>77</v>
      </c>
      <c r="I760" s="1" t="s">
        <v>148</v>
      </c>
      <c r="J760" s="1">
        <v>3</v>
      </c>
      <c r="K760" s="1">
        <v>765.65</v>
      </c>
      <c r="L760" s="1">
        <v>0.25</v>
      </c>
      <c r="M760" s="1">
        <v>2296.9499999999998</v>
      </c>
      <c r="N760" s="1">
        <v>574.23749999999995</v>
      </c>
      <c r="O760" s="1">
        <v>1722.7125000000001</v>
      </c>
      <c r="P760" s="1">
        <v>1240.3530000000001</v>
      </c>
      <c r="Q760" s="1">
        <v>482.35950000000003</v>
      </c>
      <c r="R760" s="1">
        <v>28</v>
      </c>
      <c r="S760" s="1" t="s">
        <v>73</v>
      </c>
    </row>
    <row r="761" spans="1:19" x14ac:dyDescent="0.35">
      <c r="A761" s="1" t="s">
        <v>1124</v>
      </c>
      <c r="B761" s="3">
        <v>45869</v>
      </c>
      <c r="C761" s="1" t="s">
        <v>62</v>
      </c>
      <c r="D761" s="1">
        <v>7</v>
      </c>
      <c r="E761" s="1" t="s">
        <v>399</v>
      </c>
      <c r="F761" s="1" t="s">
        <v>43</v>
      </c>
      <c r="G761" s="1" t="s">
        <v>23</v>
      </c>
      <c r="H761" s="1" t="s">
        <v>24</v>
      </c>
      <c r="I761" s="1" t="s">
        <v>48</v>
      </c>
      <c r="J761" s="1">
        <v>2</v>
      </c>
      <c r="K761" s="1">
        <v>1933.71</v>
      </c>
      <c r="L761" s="1">
        <v>0.05</v>
      </c>
      <c r="M761" s="1">
        <v>3867.42</v>
      </c>
      <c r="N761" s="1">
        <v>193.37100000000001</v>
      </c>
      <c r="O761" s="1">
        <v>3674.049</v>
      </c>
      <c r="P761" s="1">
        <v>2020.72695</v>
      </c>
      <c r="Q761" s="1">
        <v>1653.32205</v>
      </c>
      <c r="R761" s="1">
        <v>44.999999999999993</v>
      </c>
      <c r="S761" s="1" t="s">
        <v>60</v>
      </c>
    </row>
    <row r="762" spans="1:19" x14ac:dyDescent="0.35">
      <c r="A762" s="1" t="s">
        <v>1125</v>
      </c>
      <c r="B762" s="3">
        <v>45835</v>
      </c>
      <c r="C762" s="1" t="s">
        <v>82</v>
      </c>
      <c r="D762" s="1">
        <v>6</v>
      </c>
      <c r="E762" s="1" t="s">
        <v>441</v>
      </c>
      <c r="F762" s="1" t="s">
        <v>76</v>
      </c>
      <c r="G762" s="1" t="s">
        <v>38</v>
      </c>
      <c r="H762" s="1" t="s">
        <v>31</v>
      </c>
      <c r="I762" s="1" t="s">
        <v>65</v>
      </c>
      <c r="J762" s="1">
        <v>4</v>
      </c>
      <c r="K762" s="1">
        <v>1375.02</v>
      </c>
      <c r="L762" s="1">
        <v>0.2</v>
      </c>
      <c r="M762" s="1">
        <v>5500.08</v>
      </c>
      <c r="N762" s="1">
        <v>1100.0160000000001</v>
      </c>
      <c r="O762" s="1">
        <v>4400.0640000000003</v>
      </c>
      <c r="P762" s="1">
        <v>2288.0332800000001</v>
      </c>
      <c r="Q762" s="1">
        <v>2112.0307200000002</v>
      </c>
      <c r="R762" s="1">
        <v>48.000000000000007</v>
      </c>
      <c r="S762" s="1" t="s">
        <v>60</v>
      </c>
    </row>
    <row r="763" spans="1:19" x14ac:dyDescent="0.35">
      <c r="A763" s="1" t="s">
        <v>1126</v>
      </c>
      <c r="B763" s="3">
        <v>45987</v>
      </c>
      <c r="C763" s="1" t="s">
        <v>56</v>
      </c>
      <c r="D763" s="1">
        <v>11</v>
      </c>
      <c r="E763" s="1" t="s">
        <v>841</v>
      </c>
      <c r="F763" s="1" t="s">
        <v>22</v>
      </c>
      <c r="G763" s="1" t="s">
        <v>38</v>
      </c>
      <c r="H763" s="1" t="s">
        <v>99</v>
      </c>
      <c r="I763" s="1" t="s">
        <v>145</v>
      </c>
      <c r="J763" s="1">
        <v>1</v>
      </c>
      <c r="K763" s="1">
        <v>11164.89</v>
      </c>
      <c r="L763" s="1">
        <v>0.1</v>
      </c>
      <c r="M763" s="1">
        <v>11164.89</v>
      </c>
      <c r="N763" s="1">
        <v>1116.489</v>
      </c>
      <c r="O763" s="1">
        <v>10048.401</v>
      </c>
      <c r="P763" s="1">
        <v>6832.9126800000004</v>
      </c>
      <c r="Q763" s="1">
        <v>3215.488319999999</v>
      </c>
      <c r="R763" s="1">
        <v>32</v>
      </c>
      <c r="S763" s="1" t="s">
        <v>73</v>
      </c>
    </row>
    <row r="764" spans="1:19" x14ac:dyDescent="0.35">
      <c r="A764" s="1" t="s">
        <v>1127</v>
      </c>
      <c r="B764" s="3">
        <v>45686</v>
      </c>
      <c r="C764" s="1" t="s">
        <v>193</v>
      </c>
      <c r="D764" s="1">
        <v>1</v>
      </c>
      <c r="E764" s="1" t="s">
        <v>470</v>
      </c>
      <c r="F764" s="1" t="s">
        <v>76</v>
      </c>
      <c r="G764" s="1" t="s">
        <v>38</v>
      </c>
      <c r="H764" s="1" t="s">
        <v>31</v>
      </c>
      <c r="I764" s="1" t="s">
        <v>167</v>
      </c>
      <c r="J764" s="1">
        <v>6</v>
      </c>
      <c r="K764" s="1">
        <v>2118.36</v>
      </c>
      <c r="L764" s="1">
        <v>0</v>
      </c>
      <c r="M764" s="1">
        <v>12710.16</v>
      </c>
      <c r="N764" s="1">
        <v>0</v>
      </c>
      <c r="O764" s="1">
        <v>12710.16</v>
      </c>
      <c r="P764" s="1">
        <v>6609.2831999999999</v>
      </c>
      <c r="Q764" s="1">
        <v>6100.8768</v>
      </c>
      <c r="R764" s="1">
        <v>48</v>
      </c>
      <c r="S764" s="1" t="s">
        <v>26</v>
      </c>
    </row>
    <row r="765" spans="1:19" x14ac:dyDescent="0.35">
      <c r="A765" s="1" t="s">
        <v>1128</v>
      </c>
      <c r="B765" s="3">
        <v>45843</v>
      </c>
      <c r="C765" s="1" t="s">
        <v>62</v>
      </c>
      <c r="D765" s="1">
        <v>7</v>
      </c>
      <c r="E765" s="1" t="s">
        <v>764</v>
      </c>
      <c r="F765" s="1" t="s">
        <v>47</v>
      </c>
      <c r="G765" s="1" t="s">
        <v>38</v>
      </c>
      <c r="H765" s="1" t="s">
        <v>77</v>
      </c>
      <c r="I765" s="1" t="s">
        <v>148</v>
      </c>
      <c r="J765" s="1">
        <v>5</v>
      </c>
      <c r="K765" s="1">
        <v>503.32</v>
      </c>
      <c r="L765" s="1">
        <v>0.2</v>
      </c>
      <c r="M765" s="1">
        <v>2516.6</v>
      </c>
      <c r="N765" s="1">
        <v>503.32</v>
      </c>
      <c r="O765" s="1">
        <v>2013.28</v>
      </c>
      <c r="P765" s="1">
        <v>1449.5616</v>
      </c>
      <c r="Q765" s="1">
        <v>563.71839999999997</v>
      </c>
      <c r="R765" s="1">
        <v>28</v>
      </c>
      <c r="S765" s="1" t="s">
        <v>73</v>
      </c>
    </row>
    <row r="766" spans="1:19" x14ac:dyDescent="0.35">
      <c r="A766" s="1" t="s">
        <v>1129</v>
      </c>
      <c r="B766" s="3">
        <v>45730</v>
      </c>
      <c r="C766" s="1" t="s">
        <v>28</v>
      </c>
      <c r="D766" s="1">
        <v>3</v>
      </c>
      <c r="E766" s="1" t="s">
        <v>394</v>
      </c>
      <c r="F766" s="1" t="s">
        <v>111</v>
      </c>
      <c r="G766" s="1" t="s">
        <v>23</v>
      </c>
      <c r="H766" s="1" t="s">
        <v>39</v>
      </c>
      <c r="I766" s="1" t="s">
        <v>234</v>
      </c>
      <c r="J766" s="1">
        <v>5</v>
      </c>
      <c r="K766" s="1">
        <v>49385.5</v>
      </c>
      <c r="L766" s="1">
        <v>0.25</v>
      </c>
      <c r="M766" s="1">
        <v>246927.5</v>
      </c>
      <c r="N766" s="1">
        <v>61731.875</v>
      </c>
      <c r="O766" s="1">
        <v>185195.625</v>
      </c>
      <c r="P766" s="1">
        <v>144452.58749999999</v>
      </c>
      <c r="Q766" s="1">
        <v>40743.037500000013</v>
      </c>
      <c r="R766" s="1">
        <v>22</v>
      </c>
      <c r="S766" s="1" t="s">
        <v>60</v>
      </c>
    </row>
    <row r="767" spans="1:19" x14ac:dyDescent="0.35">
      <c r="A767" s="1" t="s">
        <v>1130</v>
      </c>
      <c r="B767" s="3">
        <v>45853</v>
      </c>
      <c r="C767" s="1" t="s">
        <v>62</v>
      </c>
      <c r="D767" s="1">
        <v>7</v>
      </c>
      <c r="E767" s="1" t="s">
        <v>626</v>
      </c>
      <c r="F767" s="1" t="s">
        <v>76</v>
      </c>
      <c r="G767" s="1" t="s">
        <v>38</v>
      </c>
      <c r="H767" s="1" t="s">
        <v>99</v>
      </c>
      <c r="I767" s="1" t="s">
        <v>100</v>
      </c>
      <c r="J767" s="1">
        <v>2</v>
      </c>
      <c r="K767" s="1">
        <v>19896.27</v>
      </c>
      <c r="L767" s="1">
        <v>0</v>
      </c>
      <c r="M767" s="1">
        <v>39792.54</v>
      </c>
      <c r="N767" s="1">
        <v>0</v>
      </c>
      <c r="O767" s="1">
        <v>39792.54</v>
      </c>
      <c r="P767" s="1">
        <v>27058.927199999998</v>
      </c>
      <c r="Q767" s="1">
        <v>12733.612800000001</v>
      </c>
      <c r="R767" s="1">
        <v>32</v>
      </c>
      <c r="S767" s="1" t="s">
        <v>73</v>
      </c>
    </row>
    <row r="768" spans="1:19" x14ac:dyDescent="0.35">
      <c r="A768" s="1" t="s">
        <v>1131</v>
      </c>
      <c r="B768" s="3">
        <v>45673</v>
      </c>
      <c r="C768" s="1" t="s">
        <v>193</v>
      </c>
      <c r="D768" s="1">
        <v>1</v>
      </c>
      <c r="E768" s="1" t="s">
        <v>657</v>
      </c>
      <c r="F768" s="1" t="s">
        <v>76</v>
      </c>
      <c r="G768" s="1" t="s">
        <v>64</v>
      </c>
      <c r="H768" s="1" t="s">
        <v>77</v>
      </c>
      <c r="I768" s="1" t="s">
        <v>90</v>
      </c>
      <c r="J768" s="1">
        <v>4</v>
      </c>
      <c r="K768" s="1">
        <v>393.27</v>
      </c>
      <c r="L768" s="1">
        <v>0.15</v>
      </c>
      <c r="M768" s="1">
        <v>1573.08</v>
      </c>
      <c r="N768" s="1">
        <v>235.96199999999999</v>
      </c>
      <c r="O768" s="1">
        <v>1337.1179999999999</v>
      </c>
      <c r="P768" s="1">
        <v>962.7249599999999</v>
      </c>
      <c r="Q768" s="1">
        <v>374.39303999999998</v>
      </c>
      <c r="R768" s="1">
        <v>28</v>
      </c>
      <c r="S768" s="1" t="s">
        <v>33</v>
      </c>
    </row>
    <row r="769" spans="1:19" x14ac:dyDescent="0.35">
      <c r="A769" s="1" t="s">
        <v>1132</v>
      </c>
      <c r="B769" s="3">
        <v>45810</v>
      </c>
      <c r="C769" s="1" t="s">
        <v>82</v>
      </c>
      <c r="D769" s="1">
        <v>6</v>
      </c>
      <c r="E769" s="1" t="s">
        <v>523</v>
      </c>
      <c r="F769" s="1" t="s">
        <v>58</v>
      </c>
      <c r="G769" s="1" t="s">
        <v>23</v>
      </c>
      <c r="H769" s="1" t="s">
        <v>99</v>
      </c>
      <c r="I769" s="1" t="s">
        <v>223</v>
      </c>
      <c r="J769" s="1">
        <v>1</v>
      </c>
      <c r="K769" s="1">
        <v>18459.16</v>
      </c>
      <c r="L769" s="1">
        <v>0</v>
      </c>
      <c r="M769" s="1">
        <v>18459.16</v>
      </c>
      <c r="N769" s="1">
        <v>0</v>
      </c>
      <c r="O769" s="1">
        <v>18459.16</v>
      </c>
      <c r="P769" s="1">
        <v>12552.228800000001</v>
      </c>
      <c r="Q769" s="1">
        <v>5906.9311999999991</v>
      </c>
      <c r="R769" s="1">
        <v>32</v>
      </c>
      <c r="S769" s="1" t="s">
        <v>60</v>
      </c>
    </row>
    <row r="770" spans="1:19" x14ac:dyDescent="0.35">
      <c r="A770" s="1" t="s">
        <v>1133</v>
      </c>
      <c r="B770" s="3">
        <v>45758</v>
      </c>
      <c r="C770" s="1" t="s">
        <v>20</v>
      </c>
      <c r="D770" s="1">
        <v>4</v>
      </c>
      <c r="E770" s="1" t="s">
        <v>424</v>
      </c>
      <c r="F770" s="1" t="s">
        <v>43</v>
      </c>
      <c r="G770" s="1" t="s">
        <v>23</v>
      </c>
      <c r="H770" s="1" t="s">
        <v>77</v>
      </c>
      <c r="I770" s="1" t="s">
        <v>201</v>
      </c>
      <c r="J770" s="1">
        <v>5</v>
      </c>
      <c r="K770" s="1">
        <v>903.29</v>
      </c>
      <c r="L770" s="1">
        <v>0</v>
      </c>
      <c r="M770" s="1">
        <v>4516.45</v>
      </c>
      <c r="N770" s="1">
        <v>0</v>
      </c>
      <c r="O770" s="1">
        <v>4516.45</v>
      </c>
      <c r="P770" s="1">
        <v>3251.8440000000001</v>
      </c>
      <c r="Q770" s="1">
        <v>1264.606</v>
      </c>
      <c r="R770" s="1">
        <v>28.000000000000011</v>
      </c>
      <c r="S770" s="1" t="s">
        <v>73</v>
      </c>
    </row>
    <row r="771" spans="1:19" x14ac:dyDescent="0.35">
      <c r="A771" s="1" t="s">
        <v>1134</v>
      </c>
      <c r="B771" s="3">
        <v>45688</v>
      </c>
      <c r="C771" s="1" t="s">
        <v>193</v>
      </c>
      <c r="D771" s="1">
        <v>1</v>
      </c>
      <c r="E771" s="1" t="s">
        <v>551</v>
      </c>
      <c r="F771" s="1" t="s">
        <v>58</v>
      </c>
      <c r="G771" s="1" t="s">
        <v>23</v>
      </c>
      <c r="H771" s="1" t="s">
        <v>53</v>
      </c>
      <c r="I771" s="1" t="s">
        <v>123</v>
      </c>
      <c r="J771" s="1">
        <v>7</v>
      </c>
      <c r="K771" s="1">
        <v>776.31</v>
      </c>
      <c r="L771" s="1">
        <v>0.05</v>
      </c>
      <c r="M771" s="1">
        <v>5434.17</v>
      </c>
      <c r="N771" s="1">
        <v>271.70850000000002</v>
      </c>
      <c r="O771" s="1">
        <v>5162.4615000000003</v>
      </c>
      <c r="P771" s="1">
        <v>2994.2276700000002</v>
      </c>
      <c r="Q771" s="1">
        <v>2168.2338300000001</v>
      </c>
      <c r="R771" s="1">
        <v>42</v>
      </c>
      <c r="S771" s="1" t="s">
        <v>26</v>
      </c>
    </row>
    <row r="772" spans="1:19" x14ac:dyDescent="0.35">
      <c r="A772" s="1" t="s">
        <v>1135</v>
      </c>
      <c r="B772" s="3">
        <v>45682</v>
      </c>
      <c r="C772" s="1" t="s">
        <v>193</v>
      </c>
      <c r="D772" s="1">
        <v>1</v>
      </c>
      <c r="E772" s="1" t="s">
        <v>896</v>
      </c>
      <c r="F772" s="1" t="s">
        <v>43</v>
      </c>
      <c r="G772" s="1" t="s">
        <v>38</v>
      </c>
      <c r="H772" s="1" t="s">
        <v>53</v>
      </c>
      <c r="I772" s="1" t="s">
        <v>72</v>
      </c>
      <c r="J772" s="1">
        <v>4</v>
      </c>
      <c r="K772" s="1">
        <v>1407.58</v>
      </c>
      <c r="L772" s="1">
        <v>0.05</v>
      </c>
      <c r="M772" s="1">
        <v>5630.32</v>
      </c>
      <c r="N772" s="1">
        <v>281.51600000000002</v>
      </c>
      <c r="O772" s="1">
        <v>5348.8040000000001</v>
      </c>
      <c r="P772" s="1">
        <v>3102.3063200000001</v>
      </c>
      <c r="Q772" s="1">
        <v>2246.4976799999999</v>
      </c>
      <c r="R772" s="1">
        <v>42.000000000000007</v>
      </c>
      <c r="S772" s="1" t="s">
        <v>73</v>
      </c>
    </row>
    <row r="773" spans="1:19" x14ac:dyDescent="0.35">
      <c r="A773" s="1" t="s">
        <v>1136</v>
      </c>
      <c r="B773" s="3">
        <v>45743</v>
      </c>
      <c r="C773" s="1" t="s">
        <v>28</v>
      </c>
      <c r="D773" s="1">
        <v>3</v>
      </c>
      <c r="E773" s="1" t="s">
        <v>454</v>
      </c>
      <c r="F773" s="1" t="s">
        <v>76</v>
      </c>
      <c r="G773" s="1" t="s">
        <v>38</v>
      </c>
      <c r="H773" s="1" t="s">
        <v>53</v>
      </c>
      <c r="I773" s="1" t="s">
        <v>72</v>
      </c>
      <c r="J773" s="1">
        <v>6</v>
      </c>
      <c r="K773" s="1">
        <v>372.75</v>
      </c>
      <c r="L773" s="1">
        <v>0</v>
      </c>
      <c r="M773" s="1">
        <v>2236.5</v>
      </c>
      <c r="N773" s="1">
        <v>0</v>
      </c>
      <c r="O773" s="1">
        <v>2236.5</v>
      </c>
      <c r="P773" s="1">
        <v>1297.17</v>
      </c>
      <c r="Q773" s="1">
        <v>939.33000000000015</v>
      </c>
      <c r="R773" s="1">
        <v>42.000000000000007</v>
      </c>
      <c r="S773" s="1" t="s">
        <v>26</v>
      </c>
    </row>
    <row r="774" spans="1:19" x14ac:dyDescent="0.35">
      <c r="A774" s="1" t="s">
        <v>1137</v>
      </c>
      <c r="B774" s="3">
        <v>45672</v>
      </c>
      <c r="C774" s="1" t="s">
        <v>193</v>
      </c>
      <c r="D774" s="1">
        <v>1</v>
      </c>
      <c r="E774" s="1" t="s">
        <v>328</v>
      </c>
      <c r="F774" s="1" t="s">
        <v>37</v>
      </c>
      <c r="G774" s="1" t="s">
        <v>23</v>
      </c>
      <c r="H774" s="1" t="s">
        <v>53</v>
      </c>
      <c r="I774" s="1" t="s">
        <v>72</v>
      </c>
      <c r="J774" s="1">
        <v>5</v>
      </c>
      <c r="K774" s="1">
        <v>581.71</v>
      </c>
      <c r="L774" s="1">
        <v>0.25</v>
      </c>
      <c r="M774" s="1">
        <v>2908.55</v>
      </c>
      <c r="N774" s="1">
        <v>727.13750000000005</v>
      </c>
      <c r="O774" s="1">
        <v>2181.4124999999999</v>
      </c>
      <c r="P774" s="1">
        <v>1265.2192500000001</v>
      </c>
      <c r="Q774" s="1">
        <v>916.19325000000026</v>
      </c>
      <c r="R774" s="1">
        <v>42.000000000000007</v>
      </c>
      <c r="S774" s="1" t="s">
        <v>33</v>
      </c>
    </row>
    <row r="775" spans="1:19" x14ac:dyDescent="0.35">
      <c r="A775" s="1" t="s">
        <v>1138</v>
      </c>
      <c r="B775" s="3">
        <v>45871</v>
      </c>
      <c r="C775" s="1" t="s">
        <v>113</v>
      </c>
      <c r="D775" s="1">
        <v>8</v>
      </c>
      <c r="E775" s="1" t="s">
        <v>833</v>
      </c>
      <c r="F775" s="1" t="s">
        <v>30</v>
      </c>
      <c r="G775" s="1" t="s">
        <v>64</v>
      </c>
      <c r="H775" s="1" t="s">
        <v>99</v>
      </c>
      <c r="I775" s="1" t="s">
        <v>100</v>
      </c>
      <c r="J775" s="1">
        <v>6</v>
      </c>
      <c r="K775" s="1">
        <v>16841.560000000001</v>
      </c>
      <c r="L775" s="1">
        <v>0.2</v>
      </c>
      <c r="M775" s="1">
        <v>101049.36</v>
      </c>
      <c r="N775" s="1">
        <v>20209.871999999999</v>
      </c>
      <c r="O775" s="1">
        <v>80839.488000000012</v>
      </c>
      <c r="P775" s="1">
        <v>54970.85184000001</v>
      </c>
      <c r="Q775" s="1">
        <v>25868.636159999998</v>
      </c>
      <c r="R775" s="1">
        <v>32</v>
      </c>
      <c r="S775" s="1" t="s">
        <v>93</v>
      </c>
    </row>
    <row r="776" spans="1:19" x14ac:dyDescent="0.35">
      <c r="A776" s="1" t="s">
        <v>1139</v>
      </c>
      <c r="B776" s="3">
        <v>45931</v>
      </c>
      <c r="C776" s="1" t="s">
        <v>35</v>
      </c>
      <c r="D776" s="1">
        <v>10</v>
      </c>
      <c r="E776" s="1" t="s">
        <v>821</v>
      </c>
      <c r="F776" s="1" t="s">
        <v>69</v>
      </c>
      <c r="G776" s="1" t="s">
        <v>64</v>
      </c>
      <c r="H776" s="1" t="s">
        <v>77</v>
      </c>
      <c r="I776" s="1" t="s">
        <v>103</v>
      </c>
      <c r="J776" s="1">
        <v>2</v>
      </c>
      <c r="K776" s="1">
        <v>81.59</v>
      </c>
      <c r="L776" s="1">
        <v>0.1</v>
      </c>
      <c r="M776" s="1">
        <v>163.18</v>
      </c>
      <c r="N776" s="1">
        <v>16.318000000000001</v>
      </c>
      <c r="O776" s="1">
        <v>146.86199999999999</v>
      </c>
      <c r="P776" s="1">
        <v>105.74064</v>
      </c>
      <c r="Q776" s="1">
        <v>41.121360000000003</v>
      </c>
      <c r="R776" s="1">
        <v>28</v>
      </c>
      <c r="S776" s="1" t="s">
        <v>26</v>
      </c>
    </row>
    <row r="777" spans="1:19" x14ac:dyDescent="0.35">
      <c r="A777" s="1" t="s">
        <v>1140</v>
      </c>
      <c r="B777" s="3">
        <v>45952</v>
      </c>
      <c r="C777" s="1" t="s">
        <v>35</v>
      </c>
      <c r="D777" s="1">
        <v>10</v>
      </c>
      <c r="E777" s="1" t="s">
        <v>465</v>
      </c>
      <c r="F777" s="1" t="s">
        <v>52</v>
      </c>
      <c r="G777" s="1" t="s">
        <v>64</v>
      </c>
      <c r="H777" s="1" t="s">
        <v>39</v>
      </c>
      <c r="I777" s="1" t="s">
        <v>234</v>
      </c>
      <c r="J777" s="1">
        <v>5</v>
      </c>
      <c r="K777" s="1">
        <v>50500.81</v>
      </c>
      <c r="L777" s="1">
        <v>0.3</v>
      </c>
      <c r="M777" s="1">
        <v>252504.05</v>
      </c>
      <c r="N777" s="1">
        <v>75751.214999999997</v>
      </c>
      <c r="O777" s="1">
        <v>176752.83499999999</v>
      </c>
      <c r="P777" s="1">
        <v>137867.2113</v>
      </c>
      <c r="Q777" s="1">
        <v>38885.623699999996</v>
      </c>
      <c r="R777" s="1">
        <v>22</v>
      </c>
      <c r="S777" s="1" t="s">
        <v>33</v>
      </c>
    </row>
    <row r="778" spans="1:19" x14ac:dyDescent="0.35">
      <c r="A778" s="1" t="s">
        <v>1141</v>
      </c>
      <c r="B778" s="3">
        <v>45963</v>
      </c>
      <c r="C778" s="1" t="s">
        <v>56</v>
      </c>
      <c r="D778" s="1">
        <v>11</v>
      </c>
      <c r="E778" s="1" t="s">
        <v>1142</v>
      </c>
      <c r="F778" s="1" t="s">
        <v>43</v>
      </c>
      <c r="G778" s="1" t="s">
        <v>38</v>
      </c>
      <c r="H778" s="1" t="s">
        <v>31</v>
      </c>
      <c r="I778" s="1" t="s">
        <v>190</v>
      </c>
      <c r="J778" s="1">
        <v>5</v>
      </c>
      <c r="K778" s="1">
        <v>1040.3900000000001</v>
      </c>
      <c r="L778" s="1">
        <v>0.1</v>
      </c>
      <c r="M778" s="1">
        <v>5201.9500000000007</v>
      </c>
      <c r="N778" s="1">
        <v>520.19500000000005</v>
      </c>
      <c r="O778" s="1">
        <v>4681.755000000001</v>
      </c>
      <c r="P778" s="1">
        <v>2434.5126</v>
      </c>
      <c r="Q778" s="1">
        <v>2247.242400000001</v>
      </c>
      <c r="R778" s="1">
        <v>48.000000000000007</v>
      </c>
      <c r="S778" s="1" t="s">
        <v>93</v>
      </c>
    </row>
    <row r="779" spans="1:19" x14ac:dyDescent="0.35">
      <c r="A779" s="1" t="s">
        <v>1143</v>
      </c>
      <c r="B779" s="3">
        <v>45806</v>
      </c>
      <c r="C779" s="1" t="s">
        <v>97</v>
      </c>
      <c r="D779" s="1">
        <v>5</v>
      </c>
      <c r="E779" s="1" t="s">
        <v>163</v>
      </c>
      <c r="F779" s="1" t="s">
        <v>47</v>
      </c>
      <c r="G779" s="1" t="s">
        <v>23</v>
      </c>
      <c r="H779" s="1" t="s">
        <v>99</v>
      </c>
      <c r="I779" s="1" t="s">
        <v>100</v>
      </c>
      <c r="J779" s="1">
        <v>2</v>
      </c>
      <c r="K779" s="1">
        <v>3688.58</v>
      </c>
      <c r="L779" s="1">
        <v>0.15</v>
      </c>
      <c r="M779" s="1">
        <v>7377.16</v>
      </c>
      <c r="N779" s="1">
        <v>1106.5740000000001</v>
      </c>
      <c r="O779" s="1">
        <v>6270.5860000000002</v>
      </c>
      <c r="P779" s="1">
        <v>4263.9984800000002</v>
      </c>
      <c r="Q779" s="1">
        <v>2006.58752</v>
      </c>
      <c r="R779" s="1">
        <v>32</v>
      </c>
      <c r="S779" s="1" t="s">
        <v>33</v>
      </c>
    </row>
    <row r="780" spans="1:19" x14ac:dyDescent="0.35">
      <c r="A780" s="1" t="s">
        <v>1144</v>
      </c>
      <c r="B780" s="3">
        <v>45757</v>
      </c>
      <c r="C780" s="1" t="s">
        <v>20</v>
      </c>
      <c r="D780" s="1">
        <v>4</v>
      </c>
      <c r="E780" s="1" t="s">
        <v>977</v>
      </c>
      <c r="F780" s="1" t="s">
        <v>76</v>
      </c>
      <c r="G780" s="1" t="s">
        <v>23</v>
      </c>
      <c r="H780" s="1" t="s">
        <v>24</v>
      </c>
      <c r="I780" s="1" t="s">
        <v>25</v>
      </c>
      <c r="J780" s="1">
        <v>5</v>
      </c>
      <c r="K780" s="1">
        <v>2324.12</v>
      </c>
      <c r="L780" s="1">
        <v>0.15</v>
      </c>
      <c r="M780" s="1">
        <v>11620.6</v>
      </c>
      <c r="N780" s="1">
        <v>1743.09</v>
      </c>
      <c r="O780" s="1">
        <v>9877.5099999999984</v>
      </c>
      <c r="P780" s="1">
        <v>5432.6304999999993</v>
      </c>
      <c r="Q780" s="1">
        <v>4444.8794999999991</v>
      </c>
      <c r="R780" s="1">
        <v>44.999999999999993</v>
      </c>
      <c r="S780" s="1" t="s">
        <v>26</v>
      </c>
    </row>
    <row r="781" spans="1:19" x14ac:dyDescent="0.35">
      <c r="A781" s="1" t="s">
        <v>1145</v>
      </c>
      <c r="B781" s="3">
        <v>45995</v>
      </c>
      <c r="C781" s="1" t="s">
        <v>67</v>
      </c>
      <c r="D781" s="1">
        <v>12</v>
      </c>
      <c r="E781" s="1" t="s">
        <v>646</v>
      </c>
      <c r="F781" s="1" t="s">
        <v>52</v>
      </c>
      <c r="G781" s="1" t="s">
        <v>23</v>
      </c>
      <c r="H781" s="1" t="s">
        <v>31</v>
      </c>
      <c r="I781" s="1" t="s">
        <v>167</v>
      </c>
      <c r="J781" s="1">
        <v>6</v>
      </c>
      <c r="K781" s="1">
        <v>2783.06</v>
      </c>
      <c r="L781" s="1">
        <v>0.25</v>
      </c>
      <c r="M781" s="1">
        <v>16698.36</v>
      </c>
      <c r="N781" s="1">
        <v>4174.59</v>
      </c>
      <c r="O781" s="1">
        <v>12523.77</v>
      </c>
      <c r="P781" s="1">
        <v>6512.3603999999996</v>
      </c>
      <c r="Q781" s="1">
        <v>6011.4096</v>
      </c>
      <c r="R781" s="1">
        <v>48</v>
      </c>
      <c r="S781" s="1" t="s">
        <v>73</v>
      </c>
    </row>
    <row r="782" spans="1:19" x14ac:dyDescent="0.35">
      <c r="A782" s="1" t="s">
        <v>1146</v>
      </c>
      <c r="B782" s="3">
        <v>45701</v>
      </c>
      <c r="C782" s="1" t="s">
        <v>42</v>
      </c>
      <c r="D782" s="1">
        <v>2</v>
      </c>
      <c r="E782" s="1" t="s">
        <v>326</v>
      </c>
      <c r="F782" s="1" t="s">
        <v>22</v>
      </c>
      <c r="G782" s="1" t="s">
        <v>64</v>
      </c>
      <c r="H782" s="1" t="s">
        <v>24</v>
      </c>
      <c r="I782" s="1" t="s">
        <v>44</v>
      </c>
      <c r="J782" s="1">
        <v>1</v>
      </c>
      <c r="K782" s="1">
        <v>5752.85</v>
      </c>
      <c r="L782" s="1">
        <v>0.15</v>
      </c>
      <c r="M782" s="1">
        <v>5752.85</v>
      </c>
      <c r="N782" s="1">
        <v>862.92750000000001</v>
      </c>
      <c r="O782" s="1">
        <v>4889.9225000000006</v>
      </c>
      <c r="P782" s="1">
        <v>2689.457375</v>
      </c>
      <c r="Q782" s="1">
        <v>2200.4651250000002</v>
      </c>
      <c r="R782" s="1">
        <v>44.999999999999993</v>
      </c>
      <c r="S782" s="1" t="s">
        <v>26</v>
      </c>
    </row>
    <row r="783" spans="1:19" x14ac:dyDescent="0.35">
      <c r="A783" s="1" t="s">
        <v>1147</v>
      </c>
      <c r="B783" s="3">
        <v>45891</v>
      </c>
      <c r="C783" s="1" t="s">
        <v>113</v>
      </c>
      <c r="D783" s="1">
        <v>8</v>
      </c>
      <c r="E783" s="1" t="s">
        <v>263</v>
      </c>
      <c r="F783" s="1" t="s">
        <v>47</v>
      </c>
      <c r="G783" s="1" t="s">
        <v>23</v>
      </c>
      <c r="H783" s="1" t="s">
        <v>53</v>
      </c>
      <c r="I783" s="1" t="s">
        <v>123</v>
      </c>
      <c r="J783" s="1">
        <v>4</v>
      </c>
      <c r="K783" s="1">
        <v>2374.86</v>
      </c>
      <c r="L783" s="1">
        <v>0.05</v>
      </c>
      <c r="M783" s="1">
        <v>9499.44</v>
      </c>
      <c r="N783" s="1">
        <v>474.97199999999998</v>
      </c>
      <c r="O783" s="1">
        <v>9024.4680000000008</v>
      </c>
      <c r="P783" s="1">
        <v>5234.1914400000014</v>
      </c>
      <c r="Q783" s="1">
        <v>3790.2765599999998</v>
      </c>
      <c r="R783" s="1">
        <v>42</v>
      </c>
      <c r="S783" s="1" t="s">
        <v>93</v>
      </c>
    </row>
    <row r="784" spans="1:19" x14ac:dyDescent="0.35">
      <c r="A784" s="1" t="s">
        <v>1148</v>
      </c>
      <c r="B784" s="3">
        <v>45757</v>
      </c>
      <c r="C784" s="1" t="s">
        <v>20</v>
      </c>
      <c r="D784" s="1">
        <v>4</v>
      </c>
      <c r="E784" s="1" t="s">
        <v>210</v>
      </c>
      <c r="F784" s="1" t="s">
        <v>37</v>
      </c>
      <c r="G784" s="1" t="s">
        <v>64</v>
      </c>
      <c r="H784" s="1" t="s">
        <v>31</v>
      </c>
      <c r="I784" s="1" t="s">
        <v>65</v>
      </c>
      <c r="J784" s="1">
        <v>1</v>
      </c>
      <c r="K784" s="1">
        <v>2850.46</v>
      </c>
      <c r="L784" s="1">
        <v>0.05</v>
      </c>
      <c r="M784" s="1">
        <v>2850.46</v>
      </c>
      <c r="N784" s="1">
        <v>142.523</v>
      </c>
      <c r="O784" s="1">
        <v>2707.9369999999999</v>
      </c>
      <c r="P784" s="1">
        <v>1408.12724</v>
      </c>
      <c r="Q784" s="1">
        <v>1299.8097600000001</v>
      </c>
      <c r="R784" s="1">
        <v>48</v>
      </c>
      <c r="S784" s="1" t="s">
        <v>73</v>
      </c>
    </row>
    <row r="785" spans="1:19" x14ac:dyDescent="0.35">
      <c r="A785" s="1" t="s">
        <v>1149</v>
      </c>
      <c r="B785" s="3">
        <v>45664</v>
      </c>
      <c r="C785" s="1" t="s">
        <v>193</v>
      </c>
      <c r="D785" s="1">
        <v>1</v>
      </c>
      <c r="E785" s="1" t="s">
        <v>46</v>
      </c>
      <c r="F785" s="1" t="s">
        <v>47</v>
      </c>
      <c r="G785" s="1" t="s">
        <v>23</v>
      </c>
      <c r="H785" s="1" t="s">
        <v>24</v>
      </c>
      <c r="I785" s="1" t="s">
        <v>48</v>
      </c>
      <c r="J785" s="1">
        <v>7</v>
      </c>
      <c r="K785" s="1">
        <v>2516.9699999999998</v>
      </c>
      <c r="L785" s="1">
        <v>0</v>
      </c>
      <c r="M785" s="1">
        <v>17618.79</v>
      </c>
      <c r="N785" s="1">
        <v>0</v>
      </c>
      <c r="O785" s="1">
        <v>17618.79</v>
      </c>
      <c r="P785" s="1">
        <v>9690.334499999999</v>
      </c>
      <c r="Q785" s="1">
        <v>7928.4554999999982</v>
      </c>
      <c r="R785" s="1">
        <v>44.999999999999993</v>
      </c>
      <c r="S785" s="1" t="s">
        <v>73</v>
      </c>
    </row>
    <row r="786" spans="1:19" x14ac:dyDescent="0.35">
      <c r="A786" s="1" t="s">
        <v>1150</v>
      </c>
      <c r="B786" s="3">
        <v>46021</v>
      </c>
      <c r="C786" s="1" t="s">
        <v>67</v>
      </c>
      <c r="D786" s="1">
        <v>12</v>
      </c>
      <c r="E786" s="1" t="s">
        <v>177</v>
      </c>
      <c r="F786" s="1" t="s">
        <v>37</v>
      </c>
      <c r="G786" s="1" t="s">
        <v>23</v>
      </c>
      <c r="H786" s="1" t="s">
        <v>39</v>
      </c>
      <c r="I786" s="1" t="s">
        <v>234</v>
      </c>
      <c r="J786" s="1">
        <v>7</v>
      </c>
      <c r="K786" s="1">
        <v>36117.01</v>
      </c>
      <c r="L786" s="1">
        <v>0</v>
      </c>
      <c r="M786" s="1">
        <v>252819.07</v>
      </c>
      <c r="N786" s="1">
        <v>0</v>
      </c>
      <c r="O786" s="1">
        <v>252819.07</v>
      </c>
      <c r="P786" s="1">
        <v>197198.87460000001</v>
      </c>
      <c r="Q786" s="1">
        <v>55620.195399999997</v>
      </c>
      <c r="R786" s="1">
        <v>22</v>
      </c>
      <c r="S786" s="1" t="s">
        <v>26</v>
      </c>
    </row>
    <row r="787" spans="1:19" x14ac:dyDescent="0.35">
      <c r="A787" s="1" t="s">
        <v>1151</v>
      </c>
      <c r="B787" s="3">
        <v>45897</v>
      </c>
      <c r="C787" s="1" t="s">
        <v>113</v>
      </c>
      <c r="D787" s="1">
        <v>8</v>
      </c>
      <c r="E787" s="1" t="s">
        <v>867</v>
      </c>
      <c r="F787" s="1" t="s">
        <v>22</v>
      </c>
      <c r="G787" s="1" t="s">
        <v>23</v>
      </c>
      <c r="H787" s="1" t="s">
        <v>24</v>
      </c>
      <c r="I787" s="1" t="s">
        <v>44</v>
      </c>
      <c r="J787" s="1">
        <v>3</v>
      </c>
      <c r="K787" s="1">
        <v>2807.15</v>
      </c>
      <c r="L787" s="1">
        <v>0.1</v>
      </c>
      <c r="M787" s="1">
        <v>8421.4500000000007</v>
      </c>
      <c r="N787" s="1">
        <v>842.1450000000001</v>
      </c>
      <c r="O787" s="1">
        <v>7579.3050000000003</v>
      </c>
      <c r="P787" s="1">
        <v>4168.6177500000003</v>
      </c>
      <c r="Q787" s="1">
        <v>3410.6872499999999</v>
      </c>
      <c r="R787" s="1">
        <v>44.999999999999993</v>
      </c>
      <c r="S787" s="1" t="s">
        <v>73</v>
      </c>
    </row>
    <row r="788" spans="1:19" x14ac:dyDescent="0.35">
      <c r="A788" s="1" t="s">
        <v>1152</v>
      </c>
      <c r="B788" s="3">
        <v>45715</v>
      </c>
      <c r="C788" s="1" t="s">
        <v>42</v>
      </c>
      <c r="D788" s="1">
        <v>2</v>
      </c>
      <c r="E788" s="1" t="s">
        <v>89</v>
      </c>
      <c r="F788" s="1" t="s">
        <v>43</v>
      </c>
      <c r="G788" s="1" t="s">
        <v>23</v>
      </c>
      <c r="H788" s="1" t="s">
        <v>39</v>
      </c>
      <c r="I788" s="1" t="s">
        <v>234</v>
      </c>
      <c r="J788" s="1">
        <v>3</v>
      </c>
      <c r="K788" s="1">
        <v>42582.82</v>
      </c>
      <c r="L788" s="1">
        <v>0.05</v>
      </c>
      <c r="M788" s="1">
        <v>127748.46</v>
      </c>
      <c r="N788" s="1">
        <v>6387.4229999999998</v>
      </c>
      <c r="O788" s="1">
        <v>121361.037</v>
      </c>
      <c r="P788" s="1">
        <v>94661.608860000008</v>
      </c>
      <c r="Q788" s="1">
        <v>26699.428139999989</v>
      </c>
      <c r="R788" s="1">
        <v>21.999999999999989</v>
      </c>
      <c r="S788" s="1" t="s">
        <v>60</v>
      </c>
    </row>
    <row r="789" spans="1:19" x14ac:dyDescent="0.35">
      <c r="A789" s="1" t="s">
        <v>1153</v>
      </c>
      <c r="B789" s="3">
        <v>45696</v>
      </c>
      <c r="C789" s="1" t="s">
        <v>42</v>
      </c>
      <c r="D789" s="1">
        <v>2</v>
      </c>
      <c r="E789" s="1" t="s">
        <v>283</v>
      </c>
      <c r="F789" s="1" t="s">
        <v>111</v>
      </c>
      <c r="G789" s="1" t="s">
        <v>38</v>
      </c>
      <c r="H789" s="1" t="s">
        <v>53</v>
      </c>
      <c r="I789" s="1" t="s">
        <v>185</v>
      </c>
      <c r="J789" s="1">
        <v>2</v>
      </c>
      <c r="K789" s="1">
        <v>1060.79</v>
      </c>
      <c r="L789" s="1">
        <v>0.1</v>
      </c>
      <c r="M789" s="1">
        <v>2121.58</v>
      </c>
      <c r="N789" s="1">
        <v>212.15799999999999</v>
      </c>
      <c r="O789" s="1">
        <v>1909.422</v>
      </c>
      <c r="P789" s="1">
        <v>1107.4647600000001</v>
      </c>
      <c r="Q789" s="1">
        <v>801.95724000000018</v>
      </c>
      <c r="R789" s="1">
        <v>42.000000000000007</v>
      </c>
      <c r="S789" s="1" t="s">
        <v>73</v>
      </c>
    </row>
    <row r="790" spans="1:19" x14ac:dyDescent="0.35">
      <c r="A790" s="1" t="s">
        <v>1154</v>
      </c>
      <c r="B790" s="3">
        <v>45996</v>
      </c>
      <c r="C790" s="1" t="s">
        <v>67</v>
      </c>
      <c r="D790" s="1">
        <v>12</v>
      </c>
      <c r="E790" s="1" t="s">
        <v>29</v>
      </c>
      <c r="F790" s="1" t="s">
        <v>52</v>
      </c>
      <c r="G790" s="1" t="s">
        <v>23</v>
      </c>
      <c r="H790" s="1" t="s">
        <v>77</v>
      </c>
      <c r="I790" s="1" t="s">
        <v>90</v>
      </c>
      <c r="J790" s="1">
        <v>6</v>
      </c>
      <c r="K790" s="1">
        <v>230.1</v>
      </c>
      <c r="L790" s="1">
        <v>0.3</v>
      </c>
      <c r="M790" s="1">
        <v>1380.6</v>
      </c>
      <c r="N790" s="1">
        <v>414.17999999999989</v>
      </c>
      <c r="O790" s="1">
        <v>966.42</v>
      </c>
      <c r="P790" s="1">
        <v>695.8223999999999</v>
      </c>
      <c r="Q790" s="1">
        <v>270.59760000000011</v>
      </c>
      <c r="R790" s="1">
        <v>28.000000000000011</v>
      </c>
      <c r="S790" s="1" t="s">
        <v>26</v>
      </c>
    </row>
    <row r="791" spans="1:19" x14ac:dyDescent="0.35">
      <c r="A791" s="1" t="s">
        <v>1155</v>
      </c>
      <c r="B791" s="3">
        <v>45878</v>
      </c>
      <c r="C791" s="1" t="s">
        <v>113</v>
      </c>
      <c r="D791" s="1">
        <v>8</v>
      </c>
      <c r="E791" s="1" t="s">
        <v>1156</v>
      </c>
      <c r="F791" s="1" t="s">
        <v>37</v>
      </c>
      <c r="G791" s="1" t="s">
        <v>23</v>
      </c>
      <c r="H791" s="1" t="s">
        <v>53</v>
      </c>
      <c r="I791" s="1" t="s">
        <v>72</v>
      </c>
      <c r="J791" s="1">
        <v>6</v>
      </c>
      <c r="K791" s="1">
        <v>1710.08</v>
      </c>
      <c r="L791" s="1">
        <v>0.15</v>
      </c>
      <c r="M791" s="1">
        <v>10260.48</v>
      </c>
      <c r="N791" s="1">
        <v>1539.0719999999999</v>
      </c>
      <c r="O791" s="1">
        <v>8721.4079999999994</v>
      </c>
      <c r="P791" s="1">
        <v>5058.4166399999986</v>
      </c>
      <c r="Q791" s="1">
        <v>3662.99136</v>
      </c>
      <c r="R791" s="1">
        <v>42.000000000000007</v>
      </c>
      <c r="S791" s="1" t="s">
        <v>93</v>
      </c>
    </row>
    <row r="792" spans="1:19" x14ac:dyDescent="0.35">
      <c r="A792" s="1" t="s">
        <v>1157</v>
      </c>
      <c r="B792" s="3">
        <v>45903</v>
      </c>
      <c r="C792" s="1" t="s">
        <v>50</v>
      </c>
      <c r="D792" s="1">
        <v>9</v>
      </c>
      <c r="E792" s="1" t="s">
        <v>729</v>
      </c>
      <c r="F792" s="1" t="s">
        <v>69</v>
      </c>
      <c r="G792" s="1" t="s">
        <v>38</v>
      </c>
      <c r="H792" s="1" t="s">
        <v>24</v>
      </c>
      <c r="I792" s="1" t="s">
        <v>117</v>
      </c>
      <c r="J792" s="1">
        <v>1</v>
      </c>
      <c r="K792" s="1">
        <v>5140.24</v>
      </c>
      <c r="L792" s="1">
        <v>0.05</v>
      </c>
      <c r="M792" s="1">
        <v>5140.24</v>
      </c>
      <c r="N792" s="1">
        <v>257.012</v>
      </c>
      <c r="O792" s="1">
        <v>4883.2280000000001</v>
      </c>
      <c r="P792" s="1">
        <v>2685.7754</v>
      </c>
      <c r="Q792" s="1">
        <v>2197.4526000000001</v>
      </c>
      <c r="R792" s="1">
        <v>44.999999999999993</v>
      </c>
      <c r="S792" s="1" t="s">
        <v>26</v>
      </c>
    </row>
    <row r="793" spans="1:19" x14ac:dyDescent="0.35">
      <c r="A793" s="1" t="s">
        <v>1158</v>
      </c>
      <c r="B793" s="3">
        <v>45946</v>
      </c>
      <c r="C793" s="1" t="s">
        <v>35</v>
      </c>
      <c r="D793" s="1">
        <v>10</v>
      </c>
      <c r="E793" s="1" t="s">
        <v>753</v>
      </c>
      <c r="F793" s="1" t="s">
        <v>47</v>
      </c>
      <c r="G793" s="1" t="s">
        <v>64</v>
      </c>
      <c r="H793" s="1" t="s">
        <v>77</v>
      </c>
      <c r="I793" s="1" t="s">
        <v>90</v>
      </c>
      <c r="J793" s="1">
        <v>5</v>
      </c>
      <c r="K793" s="1">
        <v>167.87</v>
      </c>
      <c r="L793" s="1">
        <v>0.1</v>
      </c>
      <c r="M793" s="1">
        <v>839.35</v>
      </c>
      <c r="N793" s="1">
        <v>83.935000000000002</v>
      </c>
      <c r="O793" s="1">
        <v>755.41499999999996</v>
      </c>
      <c r="P793" s="1">
        <v>543.89879999999994</v>
      </c>
      <c r="Q793" s="1">
        <v>211.5162</v>
      </c>
      <c r="R793" s="1">
        <v>28</v>
      </c>
      <c r="S793" s="1" t="s">
        <v>73</v>
      </c>
    </row>
    <row r="794" spans="1:19" x14ac:dyDescent="0.35">
      <c r="A794" s="1" t="s">
        <v>1159</v>
      </c>
      <c r="B794" s="3">
        <v>45856</v>
      </c>
      <c r="C794" s="1" t="s">
        <v>62</v>
      </c>
      <c r="D794" s="1">
        <v>7</v>
      </c>
      <c r="E794" s="1" t="s">
        <v>1160</v>
      </c>
      <c r="F794" s="1" t="s">
        <v>22</v>
      </c>
      <c r="G794" s="1" t="s">
        <v>23</v>
      </c>
      <c r="H794" s="1" t="s">
        <v>31</v>
      </c>
      <c r="I794" s="1" t="s">
        <v>32</v>
      </c>
      <c r="J794" s="1">
        <v>6</v>
      </c>
      <c r="K794" s="1">
        <v>3064.72</v>
      </c>
      <c r="L794" s="1">
        <v>0.25</v>
      </c>
      <c r="M794" s="1">
        <v>18388.32</v>
      </c>
      <c r="N794" s="1">
        <v>4597.08</v>
      </c>
      <c r="O794" s="1">
        <v>13791.24</v>
      </c>
      <c r="P794" s="1">
        <v>7171.4448000000002</v>
      </c>
      <c r="Q794" s="1">
        <v>6619.7951999999996</v>
      </c>
      <c r="R794" s="1">
        <v>48</v>
      </c>
      <c r="S794" s="1" t="s">
        <v>26</v>
      </c>
    </row>
    <row r="795" spans="1:19" x14ac:dyDescent="0.35">
      <c r="A795" s="1" t="s">
        <v>1161</v>
      </c>
      <c r="B795" s="3">
        <v>45833</v>
      </c>
      <c r="C795" s="1" t="s">
        <v>82</v>
      </c>
      <c r="D795" s="1">
        <v>6</v>
      </c>
      <c r="E795" s="1" t="s">
        <v>679</v>
      </c>
      <c r="F795" s="1" t="s">
        <v>30</v>
      </c>
      <c r="G795" s="1" t="s">
        <v>23</v>
      </c>
      <c r="H795" s="1" t="s">
        <v>53</v>
      </c>
      <c r="I795" s="1" t="s">
        <v>72</v>
      </c>
      <c r="J795" s="1">
        <v>3</v>
      </c>
      <c r="K795" s="1">
        <v>1966.98</v>
      </c>
      <c r="L795" s="1">
        <v>0.1</v>
      </c>
      <c r="M795" s="1">
        <v>5900.9400000000014</v>
      </c>
      <c r="N795" s="1">
        <v>590.09400000000005</v>
      </c>
      <c r="O795" s="1">
        <v>5310.8459999999995</v>
      </c>
      <c r="P795" s="1">
        <v>3080.2906800000001</v>
      </c>
      <c r="Q795" s="1">
        <v>2230.5553199999999</v>
      </c>
      <c r="R795" s="1">
        <v>42.000000000000007</v>
      </c>
      <c r="S795" s="1" t="s">
        <v>60</v>
      </c>
    </row>
    <row r="796" spans="1:19" x14ac:dyDescent="0.35">
      <c r="A796" s="1" t="s">
        <v>1162</v>
      </c>
      <c r="B796" s="3">
        <v>45818</v>
      </c>
      <c r="C796" s="1" t="s">
        <v>82</v>
      </c>
      <c r="D796" s="1">
        <v>6</v>
      </c>
      <c r="E796" s="1" t="s">
        <v>200</v>
      </c>
      <c r="F796" s="1" t="s">
        <v>76</v>
      </c>
      <c r="G796" s="1" t="s">
        <v>64</v>
      </c>
      <c r="H796" s="1" t="s">
        <v>77</v>
      </c>
      <c r="I796" s="1" t="s">
        <v>78</v>
      </c>
      <c r="J796" s="1">
        <v>4</v>
      </c>
      <c r="K796" s="1">
        <v>887.69</v>
      </c>
      <c r="L796" s="1">
        <v>0.1</v>
      </c>
      <c r="M796" s="1">
        <v>3550.76</v>
      </c>
      <c r="N796" s="1">
        <v>355.07600000000002</v>
      </c>
      <c r="O796" s="1">
        <v>3195.6840000000002</v>
      </c>
      <c r="P796" s="1">
        <v>2300.89248</v>
      </c>
      <c r="Q796" s="1">
        <v>894.79152000000022</v>
      </c>
      <c r="R796" s="1">
        <v>28</v>
      </c>
      <c r="S796" s="1" t="s">
        <v>93</v>
      </c>
    </row>
    <row r="797" spans="1:19" x14ac:dyDescent="0.35">
      <c r="A797" s="1" t="s">
        <v>1163</v>
      </c>
      <c r="B797" s="3">
        <v>45843</v>
      </c>
      <c r="C797" s="1" t="s">
        <v>62</v>
      </c>
      <c r="D797" s="1">
        <v>7</v>
      </c>
      <c r="E797" s="1" t="s">
        <v>439</v>
      </c>
      <c r="F797" s="1" t="s">
        <v>76</v>
      </c>
      <c r="G797" s="1" t="s">
        <v>64</v>
      </c>
      <c r="H797" s="1" t="s">
        <v>31</v>
      </c>
      <c r="I797" s="1" t="s">
        <v>32</v>
      </c>
      <c r="J797" s="1">
        <v>5</v>
      </c>
      <c r="K797" s="1">
        <v>296.69</v>
      </c>
      <c r="L797" s="1">
        <v>0.15</v>
      </c>
      <c r="M797" s="1">
        <v>1483.45</v>
      </c>
      <c r="N797" s="1">
        <v>222.51750000000001</v>
      </c>
      <c r="O797" s="1">
        <v>1260.9324999999999</v>
      </c>
      <c r="P797" s="1">
        <v>655.68490000000008</v>
      </c>
      <c r="Q797" s="1">
        <v>605.24760000000003</v>
      </c>
      <c r="R797" s="1">
        <v>48</v>
      </c>
      <c r="S797" s="1" t="s">
        <v>60</v>
      </c>
    </row>
    <row r="798" spans="1:19" x14ac:dyDescent="0.35">
      <c r="A798" s="1" t="s">
        <v>1164</v>
      </c>
      <c r="B798" s="3">
        <v>45890</v>
      </c>
      <c r="C798" s="1" t="s">
        <v>113</v>
      </c>
      <c r="D798" s="1">
        <v>8</v>
      </c>
      <c r="E798" s="1" t="s">
        <v>782</v>
      </c>
      <c r="F798" s="1" t="s">
        <v>43</v>
      </c>
      <c r="G798" s="1" t="s">
        <v>38</v>
      </c>
      <c r="H798" s="1" t="s">
        <v>53</v>
      </c>
      <c r="I798" s="1" t="s">
        <v>72</v>
      </c>
      <c r="J798" s="1">
        <v>3</v>
      </c>
      <c r="K798" s="1">
        <v>1220.04</v>
      </c>
      <c r="L798" s="1">
        <v>0</v>
      </c>
      <c r="M798" s="1">
        <v>3660.12</v>
      </c>
      <c r="N798" s="1">
        <v>0</v>
      </c>
      <c r="O798" s="1">
        <v>3660.12</v>
      </c>
      <c r="P798" s="1">
        <v>2122.8696</v>
      </c>
      <c r="Q798" s="1">
        <v>1537.2503999999999</v>
      </c>
      <c r="R798" s="1">
        <v>42</v>
      </c>
      <c r="S798" s="1" t="s">
        <v>93</v>
      </c>
    </row>
    <row r="799" spans="1:19" x14ac:dyDescent="0.35">
      <c r="A799" s="1" t="s">
        <v>1165</v>
      </c>
      <c r="B799" s="3">
        <v>45875</v>
      </c>
      <c r="C799" s="1" t="s">
        <v>113</v>
      </c>
      <c r="D799" s="1">
        <v>8</v>
      </c>
      <c r="E799" s="1" t="s">
        <v>495</v>
      </c>
      <c r="F799" s="1" t="s">
        <v>58</v>
      </c>
      <c r="G799" s="1" t="s">
        <v>64</v>
      </c>
      <c r="H799" s="1" t="s">
        <v>77</v>
      </c>
      <c r="I799" s="1" t="s">
        <v>103</v>
      </c>
      <c r="J799" s="1">
        <v>7</v>
      </c>
      <c r="K799" s="1">
        <v>194.56</v>
      </c>
      <c r="L799" s="1">
        <v>0.1</v>
      </c>
      <c r="M799" s="1">
        <v>1361.92</v>
      </c>
      <c r="N799" s="1">
        <v>136.19200000000001</v>
      </c>
      <c r="O799" s="1">
        <v>1225.7280000000001</v>
      </c>
      <c r="P799" s="1">
        <v>882.52416000000005</v>
      </c>
      <c r="Q799" s="1">
        <v>343.20384000000001</v>
      </c>
      <c r="R799" s="1">
        <v>28</v>
      </c>
      <c r="S799" s="1" t="s">
        <v>26</v>
      </c>
    </row>
    <row r="800" spans="1:19" x14ac:dyDescent="0.35">
      <c r="A800" s="1" t="s">
        <v>1166</v>
      </c>
      <c r="B800" s="3">
        <v>45990</v>
      </c>
      <c r="C800" s="1" t="s">
        <v>56</v>
      </c>
      <c r="D800" s="1">
        <v>11</v>
      </c>
      <c r="E800" s="1" t="s">
        <v>1013</v>
      </c>
      <c r="F800" s="1" t="s">
        <v>22</v>
      </c>
      <c r="G800" s="1" t="s">
        <v>23</v>
      </c>
      <c r="H800" s="1" t="s">
        <v>24</v>
      </c>
      <c r="I800" s="1" t="s">
        <v>139</v>
      </c>
      <c r="J800" s="1">
        <v>7</v>
      </c>
      <c r="K800" s="1">
        <v>3994.85</v>
      </c>
      <c r="L800" s="1">
        <v>0.2</v>
      </c>
      <c r="M800" s="1">
        <v>27963.95</v>
      </c>
      <c r="N800" s="1">
        <v>5592.7900000000009</v>
      </c>
      <c r="O800" s="1">
        <v>22371.16</v>
      </c>
      <c r="P800" s="1">
        <v>12304.138000000001</v>
      </c>
      <c r="Q800" s="1">
        <v>10067.022000000001</v>
      </c>
      <c r="R800" s="1">
        <v>44.999999999999993</v>
      </c>
      <c r="S800" s="1" t="s">
        <v>26</v>
      </c>
    </row>
    <row r="801" spans="1:19" x14ac:dyDescent="0.35">
      <c r="A801" s="1" t="s">
        <v>1167</v>
      </c>
      <c r="B801" s="3">
        <v>45882</v>
      </c>
      <c r="C801" s="1" t="s">
        <v>113</v>
      </c>
      <c r="D801" s="1">
        <v>8</v>
      </c>
      <c r="E801" s="1" t="s">
        <v>227</v>
      </c>
      <c r="F801" s="1" t="s">
        <v>22</v>
      </c>
      <c r="G801" s="1" t="s">
        <v>38</v>
      </c>
      <c r="H801" s="1" t="s">
        <v>99</v>
      </c>
      <c r="I801" s="1" t="s">
        <v>145</v>
      </c>
      <c r="J801" s="1">
        <v>5</v>
      </c>
      <c r="K801" s="1">
        <v>24985.07</v>
      </c>
      <c r="L801" s="1">
        <v>0.05</v>
      </c>
      <c r="M801" s="1">
        <v>124925.35</v>
      </c>
      <c r="N801" s="1">
        <v>6246.2675000000008</v>
      </c>
      <c r="O801" s="1">
        <v>118679.0825</v>
      </c>
      <c r="P801" s="1">
        <v>80701.776100000003</v>
      </c>
      <c r="Q801" s="1">
        <v>37977.306400000001</v>
      </c>
      <c r="R801" s="1">
        <v>32</v>
      </c>
      <c r="S801" s="1" t="s">
        <v>73</v>
      </c>
    </row>
    <row r="802" spans="1:19" x14ac:dyDescent="0.35">
      <c r="A802" s="1" t="s">
        <v>1168</v>
      </c>
      <c r="B802" s="3">
        <v>45889</v>
      </c>
      <c r="C802" s="1" t="s">
        <v>113</v>
      </c>
      <c r="D802" s="1">
        <v>8</v>
      </c>
      <c r="E802" s="1" t="s">
        <v>441</v>
      </c>
      <c r="F802" s="1" t="s">
        <v>43</v>
      </c>
      <c r="G802" s="1" t="s">
        <v>64</v>
      </c>
      <c r="H802" s="1" t="s">
        <v>39</v>
      </c>
      <c r="I802" s="1" t="s">
        <v>214</v>
      </c>
      <c r="J802" s="1">
        <v>1</v>
      </c>
      <c r="K802" s="1">
        <v>60419.19</v>
      </c>
      <c r="L802" s="1">
        <v>0.1</v>
      </c>
      <c r="M802" s="1">
        <v>60419.19</v>
      </c>
      <c r="N802" s="1">
        <v>6041.9190000000008</v>
      </c>
      <c r="O802" s="1">
        <v>54377.271000000001</v>
      </c>
      <c r="P802" s="1">
        <v>42414.271379999998</v>
      </c>
      <c r="Q802" s="1">
        <v>11962.999620000001</v>
      </c>
      <c r="R802" s="1">
        <v>22</v>
      </c>
      <c r="S802" s="1" t="s">
        <v>93</v>
      </c>
    </row>
    <row r="803" spans="1:19" x14ac:dyDescent="0.35">
      <c r="A803" s="1" t="s">
        <v>1169</v>
      </c>
      <c r="B803" s="3">
        <v>45750</v>
      </c>
      <c r="C803" s="1" t="s">
        <v>20</v>
      </c>
      <c r="D803" s="1">
        <v>4</v>
      </c>
      <c r="E803" s="1" t="s">
        <v>551</v>
      </c>
      <c r="F803" s="1" t="s">
        <v>76</v>
      </c>
      <c r="G803" s="1" t="s">
        <v>23</v>
      </c>
      <c r="H803" s="1" t="s">
        <v>99</v>
      </c>
      <c r="I803" s="1" t="s">
        <v>108</v>
      </c>
      <c r="J803" s="1">
        <v>4</v>
      </c>
      <c r="K803" s="1">
        <v>20518.060000000001</v>
      </c>
      <c r="L803" s="1">
        <v>0.15</v>
      </c>
      <c r="M803" s="1">
        <v>82072.240000000005</v>
      </c>
      <c r="N803" s="1">
        <v>12310.835999999999</v>
      </c>
      <c r="O803" s="1">
        <v>69761.40400000001</v>
      </c>
      <c r="P803" s="1">
        <v>47437.754720000012</v>
      </c>
      <c r="Q803" s="1">
        <v>22323.649280000001</v>
      </c>
      <c r="R803" s="1">
        <v>32</v>
      </c>
      <c r="S803" s="1" t="s">
        <v>93</v>
      </c>
    </row>
    <row r="804" spans="1:19" x14ac:dyDescent="0.35">
      <c r="A804" s="1" t="s">
        <v>1170</v>
      </c>
      <c r="B804" s="3">
        <v>45858</v>
      </c>
      <c r="C804" s="1" t="s">
        <v>62</v>
      </c>
      <c r="D804" s="1">
        <v>7</v>
      </c>
      <c r="E804" s="1" t="s">
        <v>701</v>
      </c>
      <c r="F804" s="1" t="s">
        <v>111</v>
      </c>
      <c r="G804" s="1" t="s">
        <v>23</v>
      </c>
      <c r="H804" s="1" t="s">
        <v>77</v>
      </c>
      <c r="I804" s="1" t="s">
        <v>90</v>
      </c>
      <c r="J804" s="1">
        <v>3</v>
      </c>
      <c r="K804" s="1">
        <v>654.64</v>
      </c>
      <c r="L804" s="1">
        <v>0.15</v>
      </c>
      <c r="M804" s="1">
        <v>1963.92</v>
      </c>
      <c r="N804" s="1">
        <v>294.58800000000002</v>
      </c>
      <c r="O804" s="1">
        <v>1669.3320000000001</v>
      </c>
      <c r="P804" s="1">
        <v>1201.91904</v>
      </c>
      <c r="Q804" s="1">
        <v>467.41296000000011</v>
      </c>
      <c r="R804" s="1">
        <v>28</v>
      </c>
      <c r="S804" s="1" t="s">
        <v>93</v>
      </c>
    </row>
    <row r="805" spans="1:19" x14ac:dyDescent="0.35">
      <c r="A805" s="1" t="s">
        <v>1171</v>
      </c>
      <c r="B805" s="3">
        <v>45798</v>
      </c>
      <c r="C805" s="1" t="s">
        <v>97</v>
      </c>
      <c r="D805" s="1">
        <v>5</v>
      </c>
      <c r="E805" s="1" t="s">
        <v>576</v>
      </c>
      <c r="F805" s="1" t="s">
        <v>22</v>
      </c>
      <c r="G805" s="1" t="s">
        <v>64</v>
      </c>
      <c r="H805" s="1" t="s">
        <v>24</v>
      </c>
      <c r="I805" s="1" t="s">
        <v>44</v>
      </c>
      <c r="J805" s="1">
        <v>3</v>
      </c>
      <c r="K805" s="1">
        <v>653.13</v>
      </c>
      <c r="L805" s="1">
        <v>0.05</v>
      </c>
      <c r="M805" s="1">
        <v>1959.39</v>
      </c>
      <c r="N805" s="1">
        <v>97.969499999999996</v>
      </c>
      <c r="O805" s="1">
        <v>1861.4204999999999</v>
      </c>
      <c r="P805" s="1">
        <v>1023.7812750000001</v>
      </c>
      <c r="Q805" s="1">
        <v>837.6392249999999</v>
      </c>
      <c r="R805" s="1">
        <v>44.999999999999993</v>
      </c>
      <c r="S805" s="1" t="s">
        <v>60</v>
      </c>
    </row>
    <row r="806" spans="1:19" x14ac:dyDescent="0.35">
      <c r="A806" s="1" t="s">
        <v>1172</v>
      </c>
      <c r="B806" s="3">
        <v>45709</v>
      </c>
      <c r="C806" s="1" t="s">
        <v>42</v>
      </c>
      <c r="D806" s="1">
        <v>2</v>
      </c>
      <c r="E806" s="1" t="s">
        <v>1086</v>
      </c>
      <c r="F806" s="1" t="s">
        <v>30</v>
      </c>
      <c r="G806" s="1" t="s">
        <v>38</v>
      </c>
      <c r="H806" s="1" t="s">
        <v>53</v>
      </c>
      <c r="I806" s="1" t="s">
        <v>72</v>
      </c>
      <c r="J806" s="1">
        <v>1</v>
      </c>
      <c r="K806" s="1">
        <v>1764.16</v>
      </c>
      <c r="L806" s="1">
        <v>0.3</v>
      </c>
      <c r="M806" s="1">
        <v>1764.16</v>
      </c>
      <c r="N806" s="1">
        <v>529.24800000000005</v>
      </c>
      <c r="O806" s="1">
        <v>1234.912</v>
      </c>
      <c r="P806" s="1">
        <v>716.24896000000001</v>
      </c>
      <c r="Q806" s="1">
        <v>518.66304000000002</v>
      </c>
      <c r="R806" s="1">
        <v>42</v>
      </c>
      <c r="S806" s="1" t="s">
        <v>73</v>
      </c>
    </row>
    <row r="807" spans="1:19" x14ac:dyDescent="0.35">
      <c r="A807" s="1" t="s">
        <v>1173</v>
      </c>
      <c r="B807" s="3">
        <v>45721</v>
      </c>
      <c r="C807" s="1" t="s">
        <v>28</v>
      </c>
      <c r="D807" s="1">
        <v>3</v>
      </c>
      <c r="E807" s="1" t="s">
        <v>196</v>
      </c>
      <c r="F807" s="1" t="s">
        <v>69</v>
      </c>
      <c r="G807" s="1" t="s">
        <v>23</v>
      </c>
      <c r="H807" s="1" t="s">
        <v>53</v>
      </c>
      <c r="I807" s="1" t="s">
        <v>123</v>
      </c>
      <c r="J807" s="1">
        <v>6</v>
      </c>
      <c r="K807" s="1">
        <v>588.42999999999995</v>
      </c>
      <c r="L807" s="1">
        <v>0.25</v>
      </c>
      <c r="M807" s="1">
        <v>3530.58</v>
      </c>
      <c r="N807" s="1">
        <v>882.64499999999998</v>
      </c>
      <c r="O807" s="1">
        <v>2647.9349999999999</v>
      </c>
      <c r="P807" s="1">
        <v>1535.8023000000001</v>
      </c>
      <c r="Q807" s="1">
        <v>1112.1327000000001</v>
      </c>
      <c r="R807" s="1">
        <v>42.000000000000007</v>
      </c>
      <c r="S807" s="1" t="s">
        <v>93</v>
      </c>
    </row>
    <row r="808" spans="1:19" x14ac:dyDescent="0.35">
      <c r="A808" s="1" t="s">
        <v>1174</v>
      </c>
      <c r="B808" s="3">
        <v>45762</v>
      </c>
      <c r="C808" s="1" t="s">
        <v>20</v>
      </c>
      <c r="D808" s="1">
        <v>4</v>
      </c>
      <c r="E808" s="1" t="s">
        <v>460</v>
      </c>
      <c r="F808" s="1" t="s">
        <v>43</v>
      </c>
      <c r="G808" s="1" t="s">
        <v>38</v>
      </c>
      <c r="H808" s="1" t="s">
        <v>24</v>
      </c>
      <c r="I808" s="1" t="s">
        <v>44</v>
      </c>
      <c r="J808" s="1">
        <v>2</v>
      </c>
      <c r="K808" s="1">
        <v>1645.53</v>
      </c>
      <c r="L808" s="1">
        <v>0.05</v>
      </c>
      <c r="M808" s="1">
        <v>3291.06</v>
      </c>
      <c r="N808" s="1">
        <v>164.553</v>
      </c>
      <c r="O808" s="1">
        <v>3126.5070000000001</v>
      </c>
      <c r="P808" s="1">
        <v>1719.5788500000001</v>
      </c>
      <c r="Q808" s="1">
        <v>1406.92815</v>
      </c>
      <c r="R808" s="1">
        <v>44.999999999999993</v>
      </c>
      <c r="S808" s="1" t="s">
        <v>33</v>
      </c>
    </row>
    <row r="809" spans="1:19" x14ac:dyDescent="0.35">
      <c r="A809" s="1" t="s">
        <v>1175</v>
      </c>
      <c r="B809" s="3">
        <v>45753</v>
      </c>
      <c r="C809" s="1" t="s">
        <v>20</v>
      </c>
      <c r="D809" s="1">
        <v>4</v>
      </c>
      <c r="E809" s="1" t="s">
        <v>981</v>
      </c>
      <c r="F809" s="1" t="s">
        <v>58</v>
      </c>
      <c r="G809" s="1" t="s">
        <v>38</v>
      </c>
      <c r="H809" s="1" t="s">
        <v>39</v>
      </c>
      <c r="I809" s="1" t="s">
        <v>214</v>
      </c>
      <c r="J809" s="1">
        <v>7</v>
      </c>
      <c r="K809" s="1">
        <v>51430.26</v>
      </c>
      <c r="L809" s="1">
        <v>0.1</v>
      </c>
      <c r="M809" s="1">
        <v>360011.82</v>
      </c>
      <c r="N809" s="1">
        <v>36001.182000000001</v>
      </c>
      <c r="O809" s="1">
        <v>324010.63799999998</v>
      </c>
      <c r="P809" s="1">
        <v>252728.29764</v>
      </c>
      <c r="Q809" s="1">
        <v>71282.340360000002</v>
      </c>
      <c r="R809" s="1">
        <v>22</v>
      </c>
      <c r="S809" s="1" t="s">
        <v>60</v>
      </c>
    </row>
    <row r="810" spans="1:19" x14ac:dyDescent="0.35">
      <c r="A810" s="1" t="s">
        <v>1176</v>
      </c>
      <c r="B810" s="3">
        <v>45975</v>
      </c>
      <c r="C810" s="1" t="s">
        <v>56</v>
      </c>
      <c r="D810" s="1">
        <v>11</v>
      </c>
      <c r="E810" s="1" t="s">
        <v>990</v>
      </c>
      <c r="F810" s="1" t="s">
        <v>52</v>
      </c>
      <c r="G810" s="1" t="s">
        <v>38</v>
      </c>
      <c r="H810" s="1" t="s">
        <v>31</v>
      </c>
      <c r="I810" s="1" t="s">
        <v>190</v>
      </c>
      <c r="J810" s="1">
        <v>2</v>
      </c>
      <c r="K810" s="1">
        <v>1477.91</v>
      </c>
      <c r="L810" s="1">
        <v>0.2</v>
      </c>
      <c r="M810" s="1">
        <v>2955.82</v>
      </c>
      <c r="N810" s="1">
        <v>591.1640000000001</v>
      </c>
      <c r="O810" s="1">
        <v>2364.6559999999999</v>
      </c>
      <c r="P810" s="1">
        <v>1229.62112</v>
      </c>
      <c r="Q810" s="1">
        <v>1135.0348799999999</v>
      </c>
      <c r="R810" s="1">
        <v>48</v>
      </c>
      <c r="S810" s="1" t="s">
        <v>73</v>
      </c>
    </row>
    <row r="811" spans="1:19" x14ac:dyDescent="0.35">
      <c r="A811" s="1" t="s">
        <v>1177</v>
      </c>
      <c r="B811" s="3">
        <v>45841</v>
      </c>
      <c r="C811" s="1" t="s">
        <v>62</v>
      </c>
      <c r="D811" s="1">
        <v>7</v>
      </c>
      <c r="E811" s="1" t="s">
        <v>1178</v>
      </c>
      <c r="F811" s="1" t="s">
        <v>22</v>
      </c>
      <c r="G811" s="1" t="s">
        <v>64</v>
      </c>
      <c r="H811" s="1" t="s">
        <v>39</v>
      </c>
      <c r="I811" s="1" t="s">
        <v>214</v>
      </c>
      <c r="J811" s="1">
        <v>4</v>
      </c>
      <c r="K811" s="1">
        <v>12305.4</v>
      </c>
      <c r="L811" s="1">
        <v>0.15</v>
      </c>
      <c r="M811" s="1">
        <v>49221.599999999999</v>
      </c>
      <c r="N811" s="1">
        <v>7383.24</v>
      </c>
      <c r="O811" s="1">
        <v>41838.36</v>
      </c>
      <c r="P811" s="1">
        <v>32633.9208</v>
      </c>
      <c r="Q811" s="1">
        <v>9204.4392000000007</v>
      </c>
      <c r="R811" s="1">
        <v>22</v>
      </c>
      <c r="S811" s="1" t="s">
        <v>26</v>
      </c>
    </row>
    <row r="812" spans="1:19" x14ac:dyDescent="0.35">
      <c r="A812" s="1" t="s">
        <v>1179</v>
      </c>
      <c r="B812" s="3">
        <v>45878</v>
      </c>
      <c r="C812" s="1" t="s">
        <v>113</v>
      </c>
      <c r="D812" s="1">
        <v>8</v>
      </c>
      <c r="E812" s="1" t="s">
        <v>448</v>
      </c>
      <c r="F812" s="1" t="s">
        <v>69</v>
      </c>
      <c r="G812" s="1" t="s">
        <v>23</v>
      </c>
      <c r="H812" s="1" t="s">
        <v>77</v>
      </c>
      <c r="I812" s="1" t="s">
        <v>78</v>
      </c>
      <c r="J812" s="1">
        <v>6</v>
      </c>
      <c r="K812" s="1">
        <v>870.7</v>
      </c>
      <c r="L812" s="1">
        <v>0.05</v>
      </c>
      <c r="M812" s="1">
        <v>5224.2000000000007</v>
      </c>
      <c r="N812" s="1">
        <v>261.20999999999998</v>
      </c>
      <c r="O812" s="1">
        <v>4962.9900000000007</v>
      </c>
      <c r="P812" s="1">
        <v>3573.352800000001</v>
      </c>
      <c r="Q812" s="1">
        <v>1389.6371999999999</v>
      </c>
      <c r="R812" s="1">
        <v>28</v>
      </c>
      <c r="S812" s="1" t="s">
        <v>73</v>
      </c>
    </row>
    <row r="813" spans="1:19" x14ac:dyDescent="0.35">
      <c r="A813" s="1" t="s">
        <v>1180</v>
      </c>
      <c r="B813" s="3">
        <v>45819</v>
      </c>
      <c r="C813" s="1" t="s">
        <v>82</v>
      </c>
      <c r="D813" s="1">
        <v>6</v>
      </c>
      <c r="E813" s="1" t="s">
        <v>95</v>
      </c>
      <c r="F813" s="1" t="s">
        <v>47</v>
      </c>
      <c r="G813" s="1" t="s">
        <v>23</v>
      </c>
      <c r="H813" s="1" t="s">
        <v>53</v>
      </c>
      <c r="I813" s="1" t="s">
        <v>54</v>
      </c>
      <c r="J813" s="1">
        <v>6</v>
      </c>
      <c r="K813" s="1">
        <v>1262.1099999999999</v>
      </c>
      <c r="L813" s="1">
        <v>0</v>
      </c>
      <c r="M813" s="1">
        <v>7572.66</v>
      </c>
      <c r="N813" s="1">
        <v>0</v>
      </c>
      <c r="O813" s="1">
        <v>7572.66</v>
      </c>
      <c r="P813" s="1">
        <v>4392.1427999999996</v>
      </c>
      <c r="Q813" s="1">
        <v>3180.5171999999998</v>
      </c>
      <c r="R813" s="1">
        <v>42.000000000000007</v>
      </c>
      <c r="S813" s="1" t="s">
        <v>60</v>
      </c>
    </row>
    <row r="814" spans="1:19" x14ac:dyDescent="0.35">
      <c r="A814" s="1" t="s">
        <v>1181</v>
      </c>
      <c r="B814" s="3">
        <v>45975</v>
      </c>
      <c r="C814" s="1" t="s">
        <v>56</v>
      </c>
      <c r="D814" s="1">
        <v>11</v>
      </c>
      <c r="E814" s="1" t="s">
        <v>532</v>
      </c>
      <c r="F814" s="1" t="s">
        <v>47</v>
      </c>
      <c r="G814" s="1" t="s">
        <v>64</v>
      </c>
      <c r="H814" s="1" t="s">
        <v>77</v>
      </c>
      <c r="I814" s="1" t="s">
        <v>103</v>
      </c>
      <c r="J814" s="1">
        <v>7</v>
      </c>
      <c r="K814" s="1">
        <v>121.85</v>
      </c>
      <c r="L814" s="1">
        <v>0.15</v>
      </c>
      <c r="M814" s="1">
        <v>852.94999999999993</v>
      </c>
      <c r="N814" s="1">
        <v>127.9425</v>
      </c>
      <c r="O814" s="1">
        <v>725.00749999999994</v>
      </c>
      <c r="P814" s="1">
        <v>522.0053999999999</v>
      </c>
      <c r="Q814" s="1">
        <v>203.00210000000001</v>
      </c>
      <c r="R814" s="1">
        <v>28.000000000000011</v>
      </c>
      <c r="S814" s="1" t="s">
        <v>33</v>
      </c>
    </row>
    <row r="815" spans="1:19" x14ac:dyDescent="0.35">
      <c r="A815" s="1" t="s">
        <v>1182</v>
      </c>
      <c r="B815" s="3">
        <v>45815</v>
      </c>
      <c r="C815" s="1" t="s">
        <v>82</v>
      </c>
      <c r="D815" s="1">
        <v>6</v>
      </c>
      <c r="E815" s="1" t="s">
        <v>624</v>
      </c>
      <c r="F815" s="1" t="s">
        <v>76</v>
      </c>
      <c r="G815" s="1" t="s">
        <v>38</v>
      </c>
      <c r="H815" s="1" t="s">
        <v>39</v>
      </c>
      <c r="I815" s="1" t="s">
        <v>214</v>
      </c>
      <c r="J815" s="1">
        <v>3</v>
      </c>
      <c r="K815" s="1">
        <v>23278.69</v>
      </c>
      <c r="L815" s="1">
        <v>0.2</v>
      </c>
      <c r="M815" s="1">
        <v>69836.069999999992</v>
      </c>
      <c r="N815" s="1">
        <v>13967.214</v>
      </c>
      <c r="O815" s="1">
        <v>55868.855999999992</v>
      </c>
      <c r="P815" s="1">
        <v>43577.707679999992</v>
      </c>
      <c r="Q815" s="1">
        <v>12291.14832</v>
      </c>
      <c r="R815" s="1">
        <v>22</v>
      </c>
      <c r="S815" s="1" t="s">
        <v>26</v>
      </c>
    </row>
    <row r="816" spans="1:19" x14ac:dyDescent="0.35">
      <c r="A816" s="1" t="s">
        <v>1183</v>
      </c>
      <c r="B816" s="3">
        <v>46015</v>
      </c>
      <c r="C816" s="1" t="s">
        <v>67</v>
      </c>
      <c r="D816" s="1">
        <v>12</v>
      </c>
      <c r="E816" s="1" t="s">
        <v>196</v>
      </c>
      <c r="F816" s="1" t="s">
        <v>30</v>
      </c>
      <c r="G816" s="1" t="s">
        <v>23</v>
      </c>
      <c r="H816" s="1" t="s">
        <v>77</v>
      </c>
      <c r="I816" s="1" t="s">
        <v>103</v>
      </c>
      <c r="J816" s="1">
        <v>3</v>
      </c>
      <c r="K816" s="1">
        <v>679.12</v>
      </c>
      <c r="L816" s="1">
        <v>0.15</v>
      </c>
      <c r="M816" s="1">
        <v>2037.36</v>
      </c>
      <c r="N816" s="1">
        <v>305.60399999999998</v>
      </c>
      <c r="O816" s="1">
        <v>1731.7560000000001</v>
      </c>
      <c r="P816" s="1">
        <v>1246.8643199999999</v>
      </c>
      <c r="Q816" s="1">
        <v>484.89168000000018</v>
      </c>
      <c r="R816" s="1">
        <v>28.000000000000011</v>
      </c>
      <c r="S816" s="1" t="s">
        <v>93</v>
      </c>
    </row>
    <row r="817" spans="1:19" x14ac:dyDescent="0.35">
      <c r="A817" s="1" t="s">
        <v>1184</v>
      </c>
      <c r="B817" s="3">
        <v>45697</v>
      </c>
      <c r="C817" s="1" t="s">
        <v>42</v>
      </c>
      <c r="D817" s="1">
        <v>2</v>
      </c>
      <c r="E817" s="1" t="s">
        <v>540</v>
      </c>
      <c r="F817" s="1" t="s">
        <v>52</v>
      </c>
      <c r="G817" s="1" t="s">
        <v>23</v>
      </c>
      <c r="H817" s="1" t="s">
        <v>53</v>
      </c>
      <c r="I817" s="1" t="s">
        <v>72</v>
      </c>
      <c r="J817" s="1">
        <v>3</v>
      </c>
      <c r="K817" s="1">
        <v>1257.98</v>
      </c>
      <c r="L817" s="1">
        <v>0.15</v>
      </c>
      <c r="M817" s="1">
        <v>3773.94</v>
      </c>
      <c r="N817" s="1">
        <v>566.09100000000001</v>
      </c>
      <c r="O817" s="1">
        <v>3207.8490000000002</v>
      </c>
      <c r="P817" s="1">
        <v>1860.55242</v>
      </c>
      <c r="Q817" s="1">
        <v>1347.2965799999999</v>
      </c>
      <c r="R817" s="1">
        <v>42.000000000000007</v>
      </c>
      <c r="S817" s="1" t="s">
        <v>26</v>
      </c>
    </row>
    <row r="818" spans="1:19" x14ac:dyDescent="0.35">
      <c r="A818" s="1" t="s">
        <v>1185</v>
      </c>
      <c r="B818" s="3">
        <v>45952</v>
      </c>
      <c r="C818" s="1" t="s">
        <v>35</v>
      </c>
      <c r="D818" s="1">
        <v>10</v>
      </c>
      <c r="E818" s="1" t="s">
        <v>147</v>
      </c>
      <c r="F818" s="1" t="s">
        <v>76</v>
      </c>
      <c r="G818" s="1" t="s">
        <v>64</v>
      </c>
      <c r="H818" s="1" t="s">
        <v>39</v>
      </c>
      <c r="I818" s="1" t="s">
        <v>155</v>
      </c>
      <c r="J818" s="1">
        <v>1</v>
      </c>
      <c r="K818" s="1">
        <v>42416.19</v>
      </c>
      <c r="L818" s="1">
        <v>0.05</v>
      </c>
      <c r="M818" s="1">
        <v>42416.19</v>
      </c>
      <c r="N818" s="1">
        <v>2120.8094999999998</v>
      </c>
      <c r="O818" s="1">
        <v>40295.380499999999</v>
      </c>
      <c r="P818" s="1">
        <v>31430.396789999999</v>
      </c>
      <c r="Q818" s="1">
        <v>8864.9837100000004</v>
      </c>
      <c r="R818" s="1">
        <v>22</v>
      </c>
      <c r="S818" s="1" t="s">
        <v>33</v>
      </c>
    </row>
    <row r="819" spans="1:19" x14ac:dyDescent="0.35">
      <c r="A819" s="1" t="s">
        <v>1186</v>
      </c>
      <c r="B819" s="3">
        <v>45681</v>
      </c>
      <c r="C819" s="1" t="s">
        <v>193</v>
      </c>
      <c r="D819" s="1">
        <v>1</v>
      </c>
      <c r="E819" s="1" t="s">
        <v>815</v>
      </c>
      <c r="F819" s="1" t="s">
        <v>22</v>
      </c>
      <c r="G819" s="1" t="s">
        <v>64</v>
      </c>
      <c r="H819" s="1" t="s">
        <v>39</v>
      </c>
      <c r="I819" s="1" t="s">
        <v>214</v>
      </c>
      <c r="J819" s="1">
        <v>7</v>
      </c>
      <c r="K819" s="1">
        <v>20641.43</v>
      </c>
      <c r="L819" s="1">
        <v>0.2</v>
      </c>
      <c r="M819" s="1">
        <v>144490.01</v>
      </c>
      <c r="N819" s="1">
        <v>28898.002</v>
      </c>
      <c r="O819" s="1">
        <v>115592.008</v>
      </c>
      <c r="P819" s="1">
        <v>90161.766239999997</v>
      </c>
      <c r="Q819" s="1">
        <v>25430.241760000001</v>
      </c>
      <c r="R819" s="1">
        <v>22</v>
      </c>
      <c r="S819" s="1" t="s">
        <v>26</v>
      </c>
    </row>
    <row r="820" spans="1:19" x14ac:dyDescent="0.35">
      <c r="A820" s="1" t="s">
        <v>1187</v>
      </c>
      <c r="B820" s="3">
        <v>45986</v>
      </c>
      <c r="C820" s="1" t="s">
        <v>56</v>
      </c>
      <c r="D820" s="1">
        <v>11</v>
      </c>
      <c r="E820" s="1" t="s">
        <v>912</v>
      </c>
      <c r="F820" s="1" t="s">
        <v>22</v>
      </c>
      <c r="G820" s="1" t="s">
        <v>38</v>
      </c>
      <c r="H820" s="1" t="s">
        <v>24</v>
      </c>
      <c r="I820" s="1" t="s">
        <v>44</v>
      </c>
      <c r="J820" s="1">
        <v>3</v>
      </c>
      <c r="K820" s="1">
        <v>4941.9399999999996</v>
      </c>
      <c r="L820" s="1">
        <v>0.2</v>
      </c>
      <c r="M820" s="1">
        <v>14825.82</v>
      </c>
      <c r="N820" s="1">
        <v>2965.1640000000002</v>
      </c>
      <c r="O820" s="1">
        <v>11860.656000000001</v>
      </c>
      <c r="P820" s="1">
        <v>6523.3608000000004</v>
      </c>
      <c r="Q820" s="1">
        <v>5337.2951999999987</v>
      </c>
      <c r="R820" s="1">
        <v>44.999999999999993</v>
      </c>
      <c r="S820" s="1" t="s">
        <v>93</v>
      </c>
    </row>
    <row r="821" spans="1:19" x14ac:dyDescent="0.35">
      <c r="A821" s="1" t="s">
        <v>1188</v>
      </c>
      <c r="B821" s="3">
        <v>46001</v>
      </c>
      <c r="C821" s="1" t="s">
        <v>67</v>
      </c>
      <c r="D821" s="1">
        <v>12</v>
      </c>
      <c r="E821" s="1" t="s">
        <v>844</v>
      </c>
      <c r="F821" s="1" t="s">
        <v>47</v>
      </c>
      <c r="G821" s="1" t="s">
        <v>38</v>
      </c>
      <c r="H821" s="1" t="s">
        <v>39</v>
      </c>
      <c r="I821" s="1" t="s">
        <v>87</v>
      </c>
      <c r="J821" s="1">
        <v>4</v>
      </c>
      <c r="K821" s="1">
        <v>9736.1</v>
      </c>
      <c r="L821" s="1">
        <v>0</v>
      </c>
      <c r="M821" s="1">
        <v>38944.400000000001</v>
      </c>
      <c r="N821" s="1">
        <v>0</v>
      </c>
      <c r="O821" s="1">
        <v>38944.400000000001</v>
      </c>
      <c r="P821" s="1">
        <v>30376.632000000001</v>
      </c>
      <c r="Q821" s="1">
        <v>8567.768</v>
      </c>
      <c r="R821" s="1">
        <v>22</v>
      </c>
      <c r="S821" s="1" t="s">
        <v>26</v>
      </c>
    </row>
    <row r="822" spans="1:19" x14ac:dyDescent="0.35">
      <c r="A822" s="1" t="s">
        <v>1189</v>
      </c>
      <c r="B822" s="3">
        <v>45691</v>
      </c>
      <c r="C822" s="1" t="s">
        <v>42</v>
      </c>
      <c r="D822" s="1">
        <v>2</v>
      </c>
      <c r="E822" s="1" t="s">
        <v>764</v>
      </c>
      <c r="F822" s="1" t="s">
        <v>111</v>
      </c>
      <c r="G822" s="1" t="s">
        <v>64</v>
      </c>
      <c r="H822" s="1" t="s">
        <v>24</v>
      </c>
      <c r="I822" s="1" t="s">
        <v>139</v>
      </c>
      <c r="J822" s="1">
        <v>3</v>
      </c>
      <c r="K822" s="1">
        <v>3094.34</v>
      </c>
      <c r="L822" s="1">
        <v>0.3</v>
      </c>
      <c r="M822" s="1">
        <v>9283.02</v>
      </c>
      <c r="N822" s="1">
        <v>2784.9059999999999</v>
      </c>
      <c r="O822" s="1">
        <v>6498.1139999999996</v>
      </c>
      <c r="P822" s="1">
        <v>3573.9627</v>
      </c>
      <c r="Q822" s="1">
        <v>2924.1513</v>
      </c>
      <c r="R822" s="1">
        <v>44.999999999999993</v>
      </c>
      <c r="S822" s="1" t="s">
        <v>33</v>
      </c>
    </row>
    <row r="823" spans="1:19" x14ac:dyDescent="0.35">
      <c r="A823" s="1" t="s">
        <v>1190</v>
      </c>
      <c r="B823" s="3">
        <v>45781</v>
      </c>
      <c r="C823" s="1" t="s">
        <v>97</v>
      </c>
      <c r="D823" s="1">
        <v>5</v>
      </c>
      <c r="E823" s="1" t="s">
        <v>1053</v>
      </c>
      <c r="F823" s="1" t="s">
        <v>30</v>
      </c>
      <c r="G823" s="1" t="s">
        <v>23</v>
      </c>
      <c r="H823" s="1" t="s">
        <v>53</v>
      </c>
      <c r="I823" s="1" t="s">
        <v>123</v>
      </c>
      <c r="J823" s="1">
        <v>7</v>
      </c>
      <c r="K823" s="1">
        <v>976.88</v>
      </c>
      <c r="L823" s="1">
        <v>0.2</v>
      </c>
      <c r="M823" s="1">
        <v>6838.16</v>
      </c>
      <c r="N823" s="1">
        <v>1367.6320000000001</v>
      </c>
      <c r="O823" s="1">
        <v>5470.5280000000002</v>
      </c>
      <c r="P823" s="1">
        <v>3172.9062399999998</v>
      </c>
      <c r="Q823" s="1">
        <v>2297.62176</v>
      </c>
      <c r="R823" s="1">
        <v>42.000000000000007</v>
      </c>
      <c r="S823" s="1" t="s">
        <v>73</v>
      </c>
    </row>
    <row r="824" spans="1:19" x14ac:dyDescent="0.35">
      <c r="A824" s="1" t="s">
        <v>1191</v>
      </c>
      <c r="B824" s="3">
        <v>45728</v>
      </c>
      <c r="C824" s="1" t="s">
        <v>28</v>
      </c>
      <c r="D824" s="1">
        <v>3</v>
      </c>
      <c r="E824" s="1" t="s">
        <v>833</v>
      </c>
      <c r="F824" s="1" t="s">
        <v>69</v>
      </c>
      <c r="G824" s="1" t="s">
        <v>23</v>
      </c>
      <c r="H824" s="1" t="s">
        <v>39</v>
      </c>
      <c r="I824" s="1" t="s">
        <v>87</v>
      </c>
      <c r="J824" s="1">
        <v>7</v>
      </c>
      <c r="K824" s="1">
        <v>57474.1</v>
      </c>
      <c r="L824" s="1">
        <v>0.1</v>
      </c>
      <c r="M824" s="1">
        <v>402318.7</v>
      </c>
      <c r="N824" s="1">
        <v>40231.870000000003</v>
      </c>
      <c r="O824" s="1">
        <v>362086.83</v>
      </c>
      <c r="P824" s="1">
        <v>282427.72739999997</v>
      </c>
      <c r="Q824" s="1">
        <v>79659.102599999984</v>
      </c>
      <c r="R824" s="1">
        <v>21.999999999999989</v>
      </c>
      <c r="S824" s="1" t="s">
        <v>60</v>
      </c>
    </row>
    <row r="825" spans="1:19" x14ac:dyDescent="0.35">
      <c r="A825" s="1" t="s">
        <v>1192</v>
      </c>
      <c r="B825" s="3">
        <v>45822</v>
      </c>
      <c r="C825" s="1" t="s">
        <v>82</v>
      </c>
      <c r="D825" s="1">
        <v>6</v>
      </c>
      <c r="E825" s="1" t="s">
        <v>1156</v>
      </c>
      <c r="F825" s="1" t="s">
        <v>76</v>
      </c>
      <c r="G825" s="1" t="s">
        <v>38</v>
      </c>
      <c r="H825" s="1" t="s">
        <v>31</v>
      </c>
      <c r="I825" s="1" t="s">
        <v>32</v>
      </c>
      <c r="J825" s="1">
        <v>4</v>
      </c>
      <c r="K825" s="1">
        <v>1912.77</v>
      </c>
      <c r="L825" s="1">
        <v>0.3</v>
      </c>
      <c r="M825" s="1">
        <v>7651.08</v>
      </c>
      <c r="N825" s="1">
        <v>2295.3240000000001</v>
      </c>
      <c r="O825" s="1">
        <v>5355.7559999999994</v>
      </c>
      <c r="P825" s="1">
        <v>2784.9931200000001</v>
      </c>
      <c r="Q825" s="1">
        <v>2570.7628800000002</v>
      </c>
      <c r="R825" s="1">
        <v>48.000000000000007</v>
      </c>
      <c r="S825" s="1" t="s">
        <v>73</v>
      </c>
    </row>
    <row r="826" spans="1:19" x14ac:dyDescent="0.35">
      <c r="A826" s="1" t="s">
        <v>1193</v>
      </c>
      <c r="B826" s="3">
        <v>45749</v>
      </c>
      <c r="C826" s="1" t="s">
        <v>20</v>
      </c>
      <c r="D826" s="1">
        <v>4</v>
      </c>
      <c r="E826" s="1" t="s">
        <v>418</v>
      </c>
      <c r="F826" s="1" t="s">
        <v>69</v>
      </c>
      <c r="G826" s="1" t="s">
        <v>23</v>
      </c>
      <c r="H826" s="1" t="s">
        <v>53</v>
      </c>
      <c r="I826" s="1" t="s">
        <v>185</v>
      </c>
      <c r="J826" s="1">
        <v>1</v>
      </c>
      <c r="K826" s="1">
        <v>861.49</v>
      </c>
      <c r="L826" s="1">
        <v>0.1</v>
      </c>
      <c r="M826" s="1">
        <v>861.49</v>
      </c>
      <c r="N826" s="1">
        <v>86.149000000000001</v>
      </c>
      <c r="O826" s="1">
        <v>775.34100000000001</v>
      </c>
      <c r="P826" s="1">
        <v>449.69778000000002</v>
      </c>
      <c r="Q826" s="1">
        <v>325.64321999999999</v>
      </c>
      <c r="R826" s="1">
        <v>42.000000000000007</v>
      </c>
      <c r="S826" s="1" t="s">
        <v>26</v>
      </c>
    </row>
    <row r="827" spans="1:19" x14ac:dyDescent="0.35">
      <c r="A827" s="1" t="s">
        <v>1194</v>
      </c>
      <c r="B827" s="3">
        <v>45750</v>
      </c>
      <c r="C827" s="1" t="s">
        <v>20</v>
      </c>
      <c r="D827" s="1">
        <v>4</v>
      </c>
      <c r="E827" s="1" t="s">
        <v>254</v>
      </c>
      <c r="F827" s="1" t="s">
        <v>47</v>
      </c>
      <c r="G827" s="1" t="s">
        <v>38</v>
      </c>
      <c r="H827" s="1" t="s">
        <v>24</v>
      </c>
      <c r="I827" s="1" t="s">
        <v>139</v>
      </c>
      <c r="J827" s="1">
        <v>5</v>
      </c>
      <c r="K827" s="1">
        <v>5347.76</v>
      </c>
      <c r="L827" s="1">
        <v>0.15</v>
      </c>
      <c r="M827" s="1">
        <v>26738.799999999999</v>
      </c>
      <c r="N827" s="1">
        <v>4010.82</v>
      </c>
      <c r="O827" s="1">
        <v>22727.98</v>
      </c>
      <c r="P827" s="1">
        <v>12500.388999999999</v>
      </c>
      <c r="Q827" s="1">
        <v>10227.591</v>
      </c>
      <c r="R827" s="1">
        <v>44.999999999999993</v>
      </c>
      <c r="S827" s="1" t="s">
        <v>33</v>
      </c>
    </row>
    <row r="828" spans="1:19" x14ac:dyDescent="0.35">
      <c r="A828" s="1" t="s">
        <v>1195</v>
      </c>
      <c r="B828" s="3">
        <v>45821</v>
      </c>
      <c r="C828" s="1" t="s">
        <v>82</v>
      </c>
      <c r="D828" s="1">
        <v>6</v>
      </c>
      <c r="E828" s="1" t="s">
        <v>312</v>
      </c>
      <c r="F828" s="1" t="s">
        <v>37</v>
      </c>
      <c r="G828" s="1" t="s">
        <v>38</v>
      </c>
      <c r="H828" s="1" t="s">
        <v>77</v>
      </c>
      <c r="I828" s="1" t="s">
        <v>103</v>
      </c>
      <c r="J828" s="1">
        <v>4</v>
      </c>
      <c r="K828" s="1">
        <v>184.19</v>
      </c>
      <c r="L828" s="1">
        <v>0.15</v>
      </c>
      <c r="M828" s="1">
        <v>736.76</v>
      </c>
      <c r="N828" s="1">
        <v>110.514</v>
      </c>
      <c r="O828" s="1">
        <v>626.24599999999998</v>
      </c>
      <c r="P828" s="1">
        <v>450.89711999999997</v>
      </c>
      <c r="Q828" s="1">
        <v>175.34888000000001</v>
      </c>
      <c r="R828" s="1">
        <v>28</v>
      </c>
      <c r="S828" s="1" t="s">
        <v>60</v>
      </c>
    </row>
    <row r="829" spans="1:19" x14ac:dyDescent="0.35">
      <c r="A829" s="1" t="s">
        <v>1196</v>
      </c>
      <c r="B829" s="3">
        <v>45927</v>
      </c>
      <c r="C829" s="1" t="s">
        <v>50</v>
      </c>
      <c r="D829" s="1">
        <v>9</v>
      </c>
      <c r="E829" s="1" t="s">
        <v>150</v>
      </c>
      <c r="F829" s="1" t="s">
        <v>30</v>
      </c>
      <c r="G829" s="1" t="s">
        <v>64</v>
      </c>
      <c r="H829" s="1" t="s">
        <v>24</v>
      </c>
      <c r="I829" s="1" t="s">
        <v>48</v>
      </c>
      <c r="J829" s="1">
        <v>1</v>
      </c>
      <c r="K829" s="1">
        <v>928.33</v>
      </c>
      <c r="L829" s="1">
        <v>0.15</v>
      </c>
      <c r="M829" s="1">
        <v>928.33</v>
      </c>
      <c r="N829" s="1">
        <v>139.24950000000001</v>
      </c>
      <c r="O829" s="1">
        <v>789.08050000000003</v>
      </c>
      <c r="P829" s="1">
        <v>433.99427500000007</v>
      </c>
      <c r="Q829" s="1">
        <v>355.08622500000001</v>
      </c>
      <c r="R829" s="1">
        <v>44.999999999999993</v>
      </c>
      <c r="S829" s="1" t="s">
        <v>26</v>
      </c>
    </row>
    <row r="830" spans="1:19" x14ac:dyDescent="0.35">
      <c r="A830" s="1" t="s">
        <v>1197</v>
      </c>
      <c r="B830" s="3">
        <v>45932</v>
      </c>
      <c r="C830" s="1" t="s">
        <v>35</v>
      </c>
      <c r="D830" s="1">
        <v>10</v>
      </c>
      <c r="E830" s="1" t="s">
        <v>880</v>
      </c>
      <c r="F830" s="1" t="s">
        <v>76</v>
      </c>
      <c r="G830" s="1" t="s">
        <v>38</v>
      </c>
      <c r="H830" s="1" t="s">
        <v>39</v>
      </c>
      <c r="I830" s="1" t="s">
        <v>155</v>
      </c>
      <c r="J830" s="1">
        <v>2</v>
      </c>
      <c r="K830" s="1">
        <v>50155.11</v>
      </c>
      <c r="L830" s="1">
        <v>0</v>
      </c>
      <c r="M830" s="1">
        <v>100310.22</v>
      </c>
      <c r="N830" s="1">
        <v>0</v>
      </c>
      <c r="O830" s="1">
        <v>100310.22</v>
      </c>
      <c r="P830" s="1">
        <v>78241.971600000004</v>
      </c>
      <c r="Q830" s="1">
        <v>22068.2484</v>
      </c>
      <c r="R830" s="1">
        <v>22</v>
      </c>
      <c r="S830" s="1" t="s">
        <v>60</v>
      </c>
    </row>
    <row r="831" spans="1:19" x14ac:dyDescent="0.35">
      <c r="A831" s="1" t="s">
        <v>1198</v>
      </c>
      <c r="B831" s="3">
        <v>45875</v>
      </c>
      <c r="C831" s="1" t="s">
        <v>113</v>
      </c>
      <c r="D831" s="1">
        <v>8</v>
      </c>
      <c r="E831" s="1" t="s">
        <v>321</v>
      </c>
      <c r="F831" s="1" t="s">
        <v>69</v>
      </c>
      <c r="G831" s="1" t="s">
        <v>38</v>
      </c>
      <c r="H831" s="1" t="s">
        <v>31</v>
      </c>
      <c r="I831" s="1" t="s">
        <v>167</v>
      </c>
      <c r="J831" s="1">
        <v>3</v>
      </c>
      <c r="K831" s="1">
        <v>1375.62</v>
      </c>
      <c r="L831" s="1">
        <v>0.05</v>
      </c>
      <c r="M831" s="1">
        <v>4126.8599999999997</v>
      </c>
      <c r="N831" s="1">
        <v>206.34299999999999</v>
      </c>
      <c r="O831" s="1">
        <v>3920.5169999999998</v>
      </c>
      <c r="P831" s="1">
        <v>2038.66884</v>
      </c>
      <c r="Q831" s="1">
        <v>1881.84816</v>
      </c>
      <c r="R831" s="1">
        <v>48</v>
      </c>
      <c r="S831" s="1" t="s">
        <v>26</v>
      </c>
    </row>
    <row r="832" spans="1:19" x14ac:dyDescent="0.35">
      <c r="A832" s="1" t="s">
        <v>1199</v>
      </c>
      <c r="B832" s="3">
        <v>45705</v>
      </c>
      <c r="C832" s="1" t="s">
        <v>42</v>
      </c>
      <c r="D832" s="1">
        <v>2</v>
      </c>
      <c r="E832" s="1" t="s">
        <v>914</v>
      </c>
      <c r="F832" s="1" t="s">
        <v>76</v>
      </c>
      <c r="G832" s="1" t="s">
        <v>64</v>
      </c>
      <c r="H832" s="1" t="s">
        <v>77</v>
      </c>
      <c r="I832" s="1" t="s">
        <v>148</v>
      </c>
      <c r="J832" s="1">
        <v>4</v>
      </c>
      <c r="K832" s="1">
        <v>339.8</v>
      </c>
      <c r="L832" s="1">
        <v>0.25</v>
      </c>
      <c r="M832" s="1">
        <v>1359.2</v>
      </c>
      <c r="N832" s="1">
        <v>339.8</v>
      </c>
      <c r="O832" s="1">
        <v>1019.4</v>
      </c>
      <c r="P832" s="1">
        <v>733.96800000000007</v>
      </c>
      <c r="Q832" s="1">
        <v>285.43200000000002</v>
      </c>
      <c r="R832" s="1">
        <v>28</v>
      </c>
      <c r="S832" s="1" t="s">
        <v>33</v>
      </c>
    </row>
    <row r="833" spans="1:19" x14ac:dyDescent="0.35">
      <c r="A833" s="1" t="s">
        <v>1200</v>
      </c>
      <c r="B833" s="3">
        <v>45860</v>
      </c>
      <c r="C833" s="1" t="s">
        <v>62</v>
      </c>
      <c r="D833" s="1">
        <v>7</v>
      </c>
      <c r="E833" s="1" t="s">
        <v>549</v>
      </c>
      <c r="F833" s="1" t="s">
        <v>22</v>
      </c>
      <c r="G833" s="1" t="s">
        <v>38</v>
      </c>
      <c r="H833" s="1" t="s">
        <v>39</v>
      </c>
      <c r="I833" s="1" t="s">
        <v>40</v>
      </c>
      <c r="J833" s="1">
        <v>1</v>
      </c>
      <c r="K833" s="1">
        <v>35059.1</v>
      </c>
      <c r="L833" s="1">
        <v>0.05</v>
      </c>
      <c r="M833" s="1">
        <v>35059.1</v>
      </c>
      <c r="N833" s="1">
        <v>1752.9549999999999</v>
      </c>
      <c r="O833" s="1">
        <v>33306.144999999997</v>
      </c>
      <c r="P833" s="1">
        <v>25978.793099999999</v>
      </c>
      <c r="Q833" s="1">
        <v>7327.3518999999978</v>
      </c>
      <c r="R833" s="1">
        <v>21.999999999999989</v>
      </c>
      <c r="S833" s="1" t="s">
        <v>73</v>
      </c>
    </row>
    <row r="834" spans="1:19" x14ac:dyDescent="0.35">
      <c r="A834" s="1" t="s">
        <v>1201</v>
      </c>
      <c r="B834" s="3">
        <v>45906</v>
      </c>
      <c r="C834" s="1" t="s">
        <v>50</v>
      </c>
      <c r="D834" s="1">
        <v>9</v>
      </c>
      <c r="E834" s="1" t="s">
        <v>122</v>
      </c>
      <c r="F834" s="1" t="s">
        <v>43</v>
      </c>
      <c r="G834" s="1" t="s">
        <v>64</v>
      </c>
      <c r="H834" s="1" t="s">
        <v>31</v>
      </c>
      <c r="I834" s="1" t="s">
        <v>65</v>
      </c>
      <c r="J834" s="1">
        <v>5</v>
      </c>
      <c r="K834" s="1">
        <v>319.92</v>
      </c>
      <c r="L834" s="1">
        <v>0</v>
      </c>
      <c r="M834" s="1">
        <v>1599.6</v>
      </c>
      <c r="N834" s="1">
        <v>0</v>
      </c>
      <c r="O834" s="1">
        <v>1599.6</v>
      </c>
      <c r="P834" s="1">
        <v>831.79200000000014</v>
      </c>
      <c r="Q834" s="1">
        <v>767.80799999999999</v>
      </c>
      <c r="R834" s="1">
        <v>48</v>
      </c>
      <c r="S834" s="1" t="s">
        <v>73</v>
      </c>
    </row>
    <row r="835" spans="1:19" x14ac:dyDescent="0.35">
      <c r="A835" s="1" t="s">
        <v>1202</v>
      </c>
      <c r="B835" s="3">
        <v>45708</v>
      </c>
      <c r="C835" s="1" t="s">
        <v>42</v>
      </c>
      <c r="D835" s="1">
        <v>2</v>
      </c>
      <c r="E835" s="1" t="s">
        <v>301</v>
      </c>
      <c r="F835" s="1" t="s">
        <v>58</v>
      </c>
      <c r="G835" s="1" t="s">
        <v>23</v>
      </c>
      <c r="H835" s="1" t="s">
        <v>77</v>
      </c>
      <c r="I835" s="1" t="s">
        <v>103</v>
      </c>
      <c r="J835" s="1">
        <v>5</v>
      </c>
      <c r="K835" s="1">
        <v>799.65</v>
      </c>
      <c r="L835" s="1">
        <v>0.2</v>
      </c>
      <c r="M835" s="1">
        <v>3998.25</v>
      </c>
      <c r="N835" s="1">
        <v>799.65000000000009</v>
      </c>
      <c r="O835" s="1">
        <v>3198.6</v>
      </c>
      <c r="P835" s="1">
        <v>2302.9920000000002</v>
      </c>
      <c r="Q835" s="1">
        <v>895.60800000000017</v>
      </c>
      <c r="R835" s="1">
        <v>28.000000000000011</v>
      </c>
      <c r="S835" s="1" t="s">
        <v>26</v>
      </c>
    </row>
    <row r="836" spans="1:19" x14ac:dyDescent="0.35">
      <c r="A836" s="1" t="s">
        <v>1203</v>
      </c>
      <c r="B836" s="3">
        <v>45925</v>
      </c>
      <c r="C836" s="1" t="s">
        <v>50</v>
      </c>
      <c r="D836" s="1">
        <v>9</v>
      </c>
      <c r="E836" s="1" t="s">
        <v>418</v>
      </c>
      <c r="F836" s="1" t="s">
        <v>76</v>
      </c>
      <c r="G836" s="1" t="s">
        <v>64</v>
      </c>
      <c r="H836" s="1" t="s">
        <v>99</v>
      </c>
      <c r="I836" s="1" t="s">
        <v>145</v>
      </c>
      <c r="J836" s="1">
        <v>2</v>
      </c>
      <c r="K836" s="1">
        <v>18239.38</v>
      </c>
      <c r="L836" s="1">
        <v>0.1</v>
      </c>
      <c r="M836" s="1">
        <v>36478.76</v>
      </c>
      <c r="N836" s="1">
        <v>3647.8760000000002</v>
      </c>
      <c r="O836" s="1">
        <v>32830.884000000013</v>
      </c>
      <c r="P836" s="1">
        <v>22325.001120000001</v>
      </c>
      <c r="Q836" s="1">
        <v>10505.882879999999</v>
      </c>
      <c r="R836" s="1">
        <v>32</v>
      </c>
      <c r="S836" s="1" t="s">
        <v>60</v>
      </c>
    </row>
    <row r="837" spans="1:19" x14ac:dyDescent="0.35">
      <c r="A837" s="1" t="s">
        <v>1204</v>
      </c>
      <c r="B837" s="3">
        <v>45971</v>
      </c>
      <c r="C837" s="1" t="s">
        <v>56</v>
      </c>
      <c r="D837" s="1">
        <v>11</v>
      </c>
      <c r="E837" s="1" t="s">
        <v>373</v>
      </c>
      <c r="F837" s="1" t="s">
        <v>47</v>
      </c>
      <c r="G837" s="1" t="s">
        <v>23</v>
      </c>
      <c r="H837" s="1" t="s">
        <v>39</v>
      </c>
      <c r="I837" s="1" t="s">
        <v>40</v>
      </c>
      <c r="J837" s="1">
        <v>7</v>
      </c>
      <c r="K837" s="1">
        <v>41480.080000000002</v>
      </c>
      <c r="L837" s="1">
        <v>0</v>
      </c>
      <c r="M837" s="1">
        <v>290360.56</v>
      </c>
      <c r="N837" s="1">
        <v>0</v>
      </c>
      <c r="O837" s="1">
        <v>290360.56</v>
      </c>
      <c r="P837" s="1">
        <v>226481.23680000001</v>
      </c>
      <c r="Q837" s="1">
        <v>63879.323199999977</v>
      </c>
      <c r="R837" s="1">
        <v>21.999999999999989</v>
      </c>
      <c r="S837" s="1" t="s">
        <v>26</v>
      </c>
    </row>
    <row r="838" spans="1:19" x14ac:dyDescent="0.35">
      <c r="A838" s="1" t="s">
        <v>1205</v>
      </c>
      <c r="B838" s="3">
        <v>45855</v>
      </c>
      <c r="C838" s="1" t="s">
        <v>62</v>
      </c>
      <c r="D838" s="1">
        <v>7</v>
      </c>
      <c r="E838" s="1" t="s">
        <v>584</v>
      </c>
      <c r="F838" s="1" t="s">
        <v>37</v>
      </c>
      <c r="G838" s="1" t="s">
        <v>23</v>
      </c>
      <c r="H838" s="1" t="s">
        <v>53</v>
      </c>
      <c r="I838" s="1" t="s">
        <v>185</v>
      </c>
      <c r="J838" s="1">
        <v>7</v>
      </c>
      <c r="K838" s="1">
        <v>1294.07</v>
      </c>
      <c r="L838" s="1">
        <v>0.05</v>
      </c>
      <c r="M838" s="1">
        <v>9058.49</v>
      </c>
      <c r="N838" s="1">
        <v>452.92450000000002</v>
      </c>
      <c r="O838" s="1">
        <v>8605.5655000000006</v>
      </c>
      <c r="P838" s="1">
        <v>4991.2279900000003</v>
      </c>
      <c r="Q838" s="1">
        <v>3614.3375099999998</v>
      </c>
      <c r="R838" s="1">
        <v>42</v>
      </c>
      <c r="S838" s="1" t="s">
        <v>73</v>
      </c>
    </row>
    <row r="839" spans="1:19" x14ac:dyDescent="0.35">
      <c r="A839" s="1" t="s">
        <v>1206</v>
      </c>
      <c r="B839" s="3">
        <v>45728</v>
      </c>
      <c r="C839" s="1" t="s">
        <v>28</v>
      </c>
      <c r="D839" s="1">
        <v>3</v>
      </c>
      <c r="E839" s="1" t="s">
        <v>993</v>
      </c>
      <c r="F839" s="1" t="s">
        <v>47</v>
      </c>
      <c r="G839" s="1" t="s">
        <v>38</v>
      </c>
      <c r="H839" s="1" t="s">
        <v>99</v>
      </c>
      <c r="I839" s="1" t="s">
        <v>145</v>
      </c>
      <c r="J839" s="1">
        <v>2</v>
      </c>
      <c r="K839" s="1">
        <v>9713.9500000000007</v>
      </c>
      <c r="L839" s="1">
        <v>0.05</v>
      </c>
      <c r="M839" s="1">
        <v>19427.900000000001</v>
      </c>
      <c r="N839" s="1">
        <v>971.3950000000001</v>
      </c>
      <c r="O839" s="1">
        <v>18456.505000000001</v>
      </c>
      <c r="P839" s="1">
        <v>12550.4234</v>
      </c>
      <c r="Q839" s="1">
        <v>5906.0816000000004</v>
      </c>
      <c r="R839" s="1">
        <v>32</v>
      </c>
      <c r="S839" s="1" t="s">
        <v>73</v>
      </c>
    </row>
    <row r="840" spans="1:19" x14ac:dyDescent="0.35">
      <c r="A840" s="1" t="s">
        <v>1207</v>
      </c>
      <c r="B840" s="3">
        <v>45790</v>
      </c>
      <c r="C840" s="1" t="s">
        <v>97</v>
      </c>
      <c r="D840" s="1">
        <v>5</v>
      </c>
      <c r="E840" s="1" t="s">
        <v>189</v>
      </c>
      <c r="F840" s="1" t="s">
        <v>58</v>
      </c>
      <c r="G840" s="1" t="s">
        <v>64</v>
      </c>
      <c r="H840" s="1" t="s">
        <v>53</v>
      </c>
      <c r="I840" s="1" t="s">
        <v>123</v>
      </c>
      <c r="J840" s="1">
        <v>1</v>
      </c>
      <c r="K840" s="1">
        <v>1473.48</v>
      </c>
      <c r="L840" s="1">
        <v>0.1</v>
      </c>
      <c r="M840" s="1">
        <v>1473.48</v>
      </c>
      <c r="N840" s="1">
        <v>147.34800000000001</v>
      </c>
      <c r="O840" s="1">
        <v>1326.1320000000001</v>
      </c>
      <c r="P840" s="1">
        <v>769.15656000000001</v>
      </c>
      <c r="Q840" s="1">
        <v>556.97544000000005</v>
      </c>
      <c r="R840" s="1">
        <v>42.000000000000007</v>
      </c>
      <c r="S840" s="1" t="s">
        <v>33</v>
      </c>
    </row>
    <row r="841" spans="1:19" x14ac:dyDescent="0.35">
      <c r="A841" s="1" t="s">
        <v>1208</v>
      </c>
      <c r="B841" s="3">
        <v>45935</v>
      </c>
      <c r="C841" s="1" t="s">
        <v>35</v>
      </c>
      <c r="D841" s="1">
        <v>10</v>
      </c>
      <c r="E841" s="1" t="s">
        <v>291</v>
      </c>
      <c r="F841" s="1" t="s">
        <v>58</v>
      </c>
      <c r="G841" s="1" t="s">
        <v>64</v>
      </c>
      <c r="H841" s="1" t="s">
        <v>24</v>
      </c>
      <c r="I841" s="1" t="s">
        <v>25</v>
      </c>
      <c r="J841" s="1">
        <v>2</v>
      </c>
      <c r="K841" s="1">
        <v>4859.8100000000004</v>
      </c>
      <c r="L841" s="1">
        <v>0.05</v>
      </c>
      <c r="M841" s="1">
        <v>9719.6200000000008</v>
      </c>
      <c r="N841" s="1">
        <v>485.98100000000011</v>
      </c>
      <c r="O841" s="1">
        <v>9233.639000000001</v>
      </c>
      <c r="P841" s="1">
        <v>5078.5014500000007</v>
      </c>
      <c r="Q841" s="1">
        <v>4155.1375500000004</v>
      </c>
      <c r="R841" s="1">
        <v>45</v>
      </c>
      <c r="S841" s="1" t="s">
        <v>33</v>
      </c>
    </row>
    <row r="842" spans="1:19" x14ac:dyDescent="0.35">
      <c r="A842" s="1" t="s">
        <v>1209</v>
      </c>
      <c r="B842" s="3">
        <v>46008</v>
      </c>
      <c r="C842" s="1" t="s">
        <v>67</v>
      </c>
      <c r="D842" s="1">
        <v>12</v>
      </c>
      <c r="E842" s="1" t="s">
        <v>1086</v>
      </c>
      <c r="F842" s="1" t="s">
        <v>76</v>
      </c>
      <c r="G842" s="1" t="s">
        <v>64</v>
      </c>
      <c r="H842" s="1" t="s">
        <v>31</v>
      </c>
      <c r="I842" s="1" t="s">
        <v>190</v>
      </c>
      <c r="J842" s="1">
        <v>5</v>
      </c>
      <c r="K842" s="1">
        <v>1035.56</v>
      </c>
      <c r="L842" s="1">
        <v>0.15</v>
      </c>
      <c r="M842" s="1">
        <v>5177.7999999999993</v>
      </c>
      <c r="N842" s="1">
        <v>776.66999999999985</v>
      </c>
      <c r="O842" s="1">
        <v>4401.1299999999992</v>
      </c>
      <c r="P842" s="1">
        <v>2288.5875999999998</v>
      </c>
      <c r="Q842" s="1">
        <v>2112.5423999999989</v>
      </c>
      <c r="R842" s="1">
        <v>47.999999999999993</v>
      </c>
      <c r="S842" s="1" t="s">
        <v>26</v>
      </c>
    </row>
    <row r="843" spans="1:19" x14ac:dyDescent="0.35">
      <c r="A843" s="1" t="s">
        <v>1210</v>
      </c>
      <c r="B843" s="3">
        <v>45820</v>
      </c>
      <c r="C843" s="1" t="s">
        <v>82</v>
      </c>
      <c r="D843" s="1">
        <v>6</v>
      </c>
      <c r="E843" s="1" t="s">
        <v>92</v>
      </c>
      <c r="F843" s="1" t="s">
        <v>37</v>
      </c>
      <c r="G843" s="1" t="s">
        <v>64</v>
      </c>
      <c r="H843" s="1" t="s">
        <v>53</v>
      </c>
      <c r="I843" s="1" t="s">
        <v>128</v>
      </c>
      <c r="J843" s="1">
        <v>5</v>
      </c>
      <c r="K843" s="1">
        <v>1765.92</v>
      </c>
      <c r="L843" s="1">
        <v>0</v>
      </c>
      <c r="M843" s="1">
        <v>8829.6</v>
      </c>
      <c r="N843" s="1">
        <v>0</v>
      </c>
      <c r="O843" s="1">
        <v>8829.6</v>
      </c>
      <c r="P843" s="1">
        <v>5121.1679999999997</v>
      </c>
      <c r="Q843" s="1">
        <v>3708.4320000000012</v>
      </c>
      <c r="R843" s="1">
        <v>42.000000000000007</v>
      </c>
      <c r="S843" s="1" t="s">
        <v>26</v>
      </c>
    </row>
    <row r="844" spans="1:19" x14ac:dyDescent="0.35">
      <c r="A844" s="1" t="s">
        <v>1211</v>
      </c>
      <c r="B844" s="3">
        <v>45795</v>
      </c>
      <c r="C844" s="1" t="s">
        <v>97</v>
      </c>
      <c r="D844" s="1">
        <v>5</v>
      </c>
      <c r="E844" s="1" t="s">
        <v>207</v>
      </c>
      <c r="F844" s="1" t="s">
        <v>37</v>
      </c>
      <c r="G844" s="1" t="s">
        <v>23</v>
      </c>
      <c r="H844" s="1" t="s">
        <v>53</v>
      </c>
      <c r="I844" s="1" t="s">
        <v>128</v>
      </c>
      <c r="J844" s="1">
        <v>2</v>
      </c>
      <c r="K844" s="1">
        <v>622.66999999999996</v>
      </c>
      <c r="L844" s="1">
        <v>0.15</v>
      </c>
      <c r="M844" s="1">
        <v>1245.3399999999999</v>
      </c>
      <c r="N844" s="1">
        <v>186.80099999999999</v>
      </c>
      <c r="O844" s="1">
        <v>1058.539</v>
      </c>
      <c r="P844" s="1">
        <v>613.95261999999991</v>
      </c>
      <c r="Q844" s="1">
        <v>444.58638000000008</v>
      </c>
      <c r="R844" s="1">
        <v>42.000000000000007</v>
      </c>
      <c r="S844" s="1" t="s">
        <v>60</v>
      </c>
    </row>
    <row r="845" spans="1:19" x14ac:dyDescent="0.35">
      <c r="A845" s="1" t="s">
        <v>1212</v>
      </c>
      <c r="B845" s="3">
        <v>45713</v>
      </c>
      <c r="C845" s="1" t="s">
        <v>42</v>
      </c>
      <c r="D845" s="1">
        <v>2</v>
      </c>
      <c r="E845" s="1" t="s">
        <v>83</v>
      </c>
      <c r="F845" s="1" t="s">
        <v>22</v>
      </c>
      <c r="G845" s="1" t="s">
        <v>38</v>
      </c>
      <c r="H845" s="1" t="s">
        <v>31</v>
      </c>
      <c r="I845" s="1" t="s">
        <v>167</v>
      </c>
      <c r="J845" s="1">
        <v>2</v>
      </c>
      <c r="K845" s="1">
        <v>1462.2</v>
      </c>
      <c r="L845" s="1">
        <v>0.1</v>
      </c>
      <c r="M845" s="1">
        <v>2924.4</v>
      </c>
      <c r="N845" s="1">
        <v>292.44</v>
      </c>
      <c r="O845" s="1">
        <v>2631.96</v>
      </c>
      <c r="P845" s="1">
        <v>1368.6192000000001</v>
      </c>
      <c r="Q845" s="1">
        <v>1263.3407999999999</v>
      </c>
      <c r="R845" s="1">
        <v>48</v>
      </c>
      <c r="S845" s="1" t="s">
        <v>73</v>
      </c>
    </row>
    <row r="846" spans="1:19" x14ac:dyDescent="0.35">
      <c r="A846" s="1" t="s">
        <v>1213</v>
      </c>
      <c r="B846" s="3">
        <v>45767</v>
      </c>
      <c r="C846" s="1" t="s">
        <v>20</v>
      </c>
      <c r="D846" s="1">
        <v>4</v>
      </c>
      <c r="E846" s="1" t="s">
        <v>668</v>
      </c>
      <c r="F846" s="1" t="s">
        <v>58</v>
      </c>
      <c r="G846" s="1" t="s">
        <v>64</v>
      </c>
      <c r="H846" s="1" t="s">
        <v>39</v>
      </c>
      <c r="I846" s="1" t="s">
        <v>87</v>
      </c>
      <c r="J846" s="1">
        <v>1</v>
      </c>
      <c r="K846" s="1">
        <v>61005.54</v>
      </c>
      <c r="L846" s="1">
        <v>0.1</v>
      </c>
      <c r="M846" s="1">
        <v>61005.54</v>
      </c>
      <c r="N846" s="1">
        <v>6100.5540000000001</v>
      </c>
      <c r="O846" s="1">
        <v>54904.985999999997</v>
      </c>
      <c r="P846" s="1">
        <v>42825.889080000008</v>
      </c>
      <c r="Q846" s="1">
        <v>12079.09692</v>
      </c>
      <c r="R846" s="1">
        <v>21.999999999999989</v>
      </c>
      <c r="S846" s="1" t="s">
        <v>73</v>
      </c>
    </row>
    <row r="847" spans="1:19" x14ac:dyDescent="0.35">
      <c r="A847" s="1" t="s">
        <v>1214</v>
      </c>
      <c r="B847" s="3">
        <v>45861</v>
      </c>
      <c r="C847" s="1" t="s">
        <v>62</v>
      </c>
      <c r="D847" s="1">
        <v>7</v>
      </c>
      <c r="E847" s="1" t="s">
        <v>465</v>
      </c>
      <c r="F847" s="1" t="s">
        <v>22</v>
      </c>
      <c r="G847" s="1" t="s">
        <v>64</v>
      </c>
      <c r="H847" s="1" t="s">
        <v>99</v>
      </c>
      <c r="I847" s="1" t="s">
        <v>223</v>
      </c>
      <c r="J847" s="1">
        <v>3</v>
      </c>
      <c r="K847" s="1">
        <v>2783</v>
      </c>
      <c r="L847" s="1">
        <v>0.05</v>
      </c>
      <c r="M847" s="1">
        <v>8349</v>
      </c>
      <c r="N847" s="1">
        <v>417.45</v>
      </c>
      <c r="O847" s="1">
        <v>7931.55</v>
      </c>
      <c r="P847" s="1">
        <v>5393.4540000000006</v>
      </c>
      <c r="Q847" s="1">
        <v>2538.096</v>
      </c>
      <c r="R847" s="1">
        <v>32</v>
      </c>
      <c r="S847" s="1" t="s">
        <v>26</v>
      </c>
    </row>
    <row r="848" spans="1:19" x14ac:dyDescent="0.35">
      <c r="A848" s="1" t="s">
        <v>1215</v>
      </c>
      <c r="B848" s="3">
        <v>45694</v>
      </c>
      <c r="C848" s="1" t="s">
        <v>42</v>
      </c>
      <c r="D848" s="1">
        <v>2</v>
      </c>
      <c r="E848" s="1" t="s">
        <v>626</v>
      </c>
      <c r="F848" s="1" t="s">
        <v>52</v>
      </c>
      <c r="G848" s="1" t="s">
        <v>23</v>
      </c>
      <c r="H848" s="1" t="s">
        <v>53</v>
      </c>
      <c r="I848" s="1" t="s">
        <v>123</v>
      </c>
      <c r="J848" s="1">
        <v>6</v>
      </c>
      <c r="K848" s="1">
        <v>1126.4100000000001</v>
      </c>
      <c r="L848" s="1">
        <v>0.15</v>
      </c>
      <c r="M848" s="1">
        <v>6758.4600000000009</v>
      </c>
      <c r="N848" s="1">
        <v>1013.769</v>
      </c>
      <c r="O848" s="1">
        <v>5744.6910000000007</v>
      </c>
      <c r="P848" s="1">
        <v>3331.9207799999999</v>
      </c>
      <c r="Q848" s="1">
        <v>2412.7702199999999</v>
      </c>
      <c r="R848" s="1">
        <v>42</v>
      </c>
      <c r="S848" s="1" t="s">
        <v>93</v>
      </c>
    </row>
    <row r="849" spans="1:19" x14ac:dyDescent="0.35">
      <c r="A849" s="1" t="s">
        <v>1216</v>
      </c>
      <c r="B849" s="3">
        <v>45818</v>
      </c>
      <c r="C849" s="1" t="s">
        <v>82</v>
      </c>
      <c r="D849" s="1">
        <v>6</v>
      </c>
      <c r="E849" s="1" t="s">
        <v>57</v>
      </c>
      <c r="F849" s="1" t="s">
        <v>30</v>
      </c>
      <c r="G849" s="1" t="s">
        <v>64</v>
      </c>
      <c r="H849" s="1" t="s">
        <v>99</v>
      </c>
      <c r="I849" s="1" t="s">
        <v>108</v>
      </c>
      <c r="J849" s="1">
        <v>6</v>
      </c>
      <c r="K849" s="1">
        <v>13167.3</v>
      </c>
      <c r="L849" s="1">
        <v>0</v>
      </c>
      <c r="M849" s="1">
        <v>79003.799999999988</v>
      </c>
      <c r="N849" s="1">
        <v>0</v>
      </c>
      <c r="O849" s="1">
        <v>79003.799999999988</v>
      </c>
      <c r="P849" s="1">
        <v>53722.584000000003</v>
      </c>
      <c r="Q849" s="1">
        <v>25281.215999999989</v>
      </c>
      <c r="R849" s="1">
        <v>32</v>
      </c>
      <c r="S849" s="1" t="s">
        <v>93</v>
      </c>
    </row>
    <row r="850" spans="1:19" x14ac:dyDescent="0.35">
      <c r="A850" s="1" t="s">
        <v>1217</v>
      </c>
      <c r="B850" s="3">
        <v>45746</v>
      </c>
      <c r="C850" s="1" t="s">
        <v>28</v>
      </c>
      <c r="D850" s="1">
        <v>3</v>
      </c>
      <c r="E850" s="1" t="s">
        <v>407</v>
      </c>
      <c r="F850" s="1" t="s">
        <v>76</v>
      </c>
      <c r="G850" s="1" t="s">
        <v>23</v>
      </c>
      <c r="H850" s="1" t="s">
        <v>31</v>
      </c>
      <c r="I850" s="1" t="s">
        <v>190</v>
      </c>
      <c r="J850" s="1">
        <v>2</v>
      </c>
      <c r="K850" s="1">
        <v>3132.16</v>
      </c>
      <c r="L850" s="1">
        <v>0.1</v>
      </c>
      <c r="M850" s="1">
        <v>6264.32</v>
      </c>
      <c r="N850" s="1">
        <v>626.43200000000002</v>
      </c>
      <c r="O850" s="1">
        <v>5637.8879999999999</v>
      </c>
      <c r="P850" s="1">
        <v>2931.7017599999999</v>
      </c>
      <c r="Q850" s="1">
        <v>2706.18624</v>
      </c>
      <c r="R850" s="1">
        <v>48</v>
      </c>
      <c r="S850" s="1" t="s">
        <v>60</v>
      </c>
    </row>
    <row r="851" spans="1:19" x14ac:dyDescent="0.35">
      <c r="A851" s="1" t="s">
        <v>1218</v>
      </c>
      <c r="B851" s="3">
        <v>45685</v>
      </c>
      <c r="C851" s="1" t="s">
        <v>193</v>
      </c>
      <c r="D851" s="1">
        <v>1</v>
      </c>
      <c r="E851" s="1" t="s">
        <v>307</v>
      </c>
      <c r="F851" s="1" t="s">
        <v>111</v>
      </c>
      <c r="G851" s="1" t="s">
        <v>64</v>
      </c>
      <c r="H851" s="1" t="s">
        <v>53</v>
      </c>
      <c r="I851" s="1" t="s">
        <v>72</v>
      </c>
      <c r="J851" s="1">
        <v>1</v>
      </c>
      <c r="K851" s="1">
        <v>2148.3200000000002</v>
      </c>
      <c r="L851" s="1">
        <v>0.15</v>
      </c>
      <c r="M851" s="1">
        <v>2148.3200000000002</v>
      </c>
      <c r="N851" s="1">
        <v>322.24799999999999</v>
      </c>
      <c r="O851" s="1">
        <v>1826.0719999999999</v>
      </c>
      <c r="P851" s="1">
        <v>1059.12176</v>
      </c>
      <c r="Q851" s="1">
        <v>766.95024000000012</v>
      </c>
      <c r="R851" s="1">
        <v>42.000000000000007</v>
      </c>
      <c r="S851" s="1" t="s">
        <v>26</v>
      </c>
    </row>
    <row r="852" spans="1:19" x14ac:dyDescent="0.35">
      <c r="A852" s="1" t="s">
        <v>1219</v>
      </c>
      <c r="B852" s="3">
        <v>45982</v>
      </c>
      <c r="C852" s="1" t="s">
        <v>56</v>
      </c>
      <c r="D852" s="1">
        <v>11</v>
      </c>
      <c r="E852" s="1" t="s">
        <v>1022</v>
      </c>
      <c r="F852" s="1" t="s">
        <v>30</v>
      </c>
      <c r="G852" s="1" t="s">
        <v>38</v>
      </c>
      <c r="H852" s="1" t="s">
        <v>39</v>
      </c>
      <c r="I852" s="1" t="s">
        <v>234</v>
      </c>
      <c r="J852" s="1">
        <v>2</v>
      </c>
      <c r="K852" s="1">
        <v>39799.11</v>
      </c>
      <c r="L852" s="1">
        <v>0.1</v>
      </c>
      <c r="M852" s="1">
        <v>79598.22</v>
      </c>
      <c r="N852" s="1">
        <v>7959.8220000000001</v>
      </c>
      <c r="O852" s="1">
        <v>71638.398000000001</v>
      </c>
      <c r="P852" s="1">
        <v>55877.950440000001</v>
      </c>
      <c r="Q852" s="1">
        <v>15760.447560000001</v>
      </c>
      <c r="R852" s="1">
        <v>22</v>
      </c>
      <c r="S852" s="1" t="s">
        <v>60</v>
      </c>
    </row>
    <row r="853" spans="1:19" x14ac:dyDescent="0.35">
      <c r="A853" s="1" t="s">
        <v>1220</v>
      </c>
      <c r="B853" s="3">
        <v>45762</v>
      </c>
      <c r="C853" s="1" t="s">
        <v>20</v>
      </c>
      <c r="D853" s="1">
        <v>4</v>
      </c>
      <c r="E853" s="1" t="s">
        <v>1156</v>
      </c>
      <c r="F853" s="1" t="s">
        <v>69</v>
      </c>
      <c r="G853" s="1" t="s">
        <v>23</v>
      </c>
      <c r="H853" s="1" t="s">
        <v>77</v>
      </c>
      <c r="I853" s="1" t="s">
        <v>78</v>
      </c>
      <c r="J853" s="1">
        <v>7</v>
      </c>
      <c r="K853" s="1">
        <v>1102.44</v>
      </c>
      <c r="L853" s="1">
        <v>0.1</v>
      </c>
      <c r="M853" s="1">
        <v>7717.08</v>
      </c>
      <c r="N853" s="1">
        <v>771.70800000000008</v>
      </c>
      <c r="O853" s="1">
        <v>6945.3719999999994</v>
      </c>
      <c r="P853" s="1">
        <v>5000.6678399999992</v>
      </c>
      <c r="Q853" s="1">
        <v>1944.70416</v>
      </c>
      <c r="R853" s="1">
        <v>28.000000000000011</v>
      </c>
      <c r="S853" s="1" t="s">
        <v>73</v>
      </c>
    </row>
    <row r="854" spans="1:19" x14ac:dyDescent="0.35">
      <c r="A854" s="1" t="s">
        <v>1221</v>
      </c>
      <c r="B854" s="3">
        <v>45826</v>
      </c>
      <c r="C854" s="1" t="s">
        <v>82</v>
      </c>
      <c r="D854" s="1">
        <v>6</v>
      </c>
      <c r="E854" s="1" t="s">
        <v>578</v>
      </c>
      <c r="F854" s="1" t="s">
        <v>30</v>
      </c>
      <c r="G854" s="1" t="s">
        <v>23</v>
      </c>
      <c r="H854" s="1" t="s">
        <v>77</v>
      </c>
      <c r="I854" s="1" t="s">
        <v>103</v>
      </c>
      <c r="J854" s="1">
        <v>5</v>
      </c>
      <c r="K854" s="1">
        <v>693.77</v>
      </c>
      <c r="L854" s="1">
        <v>0.1</v>
      </c>
      <c r="M854" s="1">
        <v>3468.85</v>
      </c>
      <c r="N854" s="1">
        <v>346.88499999999999</v>
      </c>
      <c r="O854" s="1">
        <v>3121.9650000000001</v>
      </c>
      <c r="P854" s="1">
        <v>2247.8148000000001</v>
      </c>
      <c r="Q854" s="1">
        <v>874.15020000000004</v>
      </c>
      <c r="R854" s="1">
        <v>28</v>
      </c>
      <c r="S854" s="1" t="s">
        <v>93</v>
      </c>
    </row>
    <row r="855" spans="1:19" x14ac:dyDescent="0.35">
      <c r="A855" s="1" t="s">
        <v>1222</v>
      </c>
      <c r="B855" s="3">
        <v>45685</v>
      </c>
      <c r="C855" s="1" t="s">
        <v>193</v>
      </c>
      <c r="D855" s="1">
        <v>1</v>
      </c>
      <c r="E855" s="1" t="s">
        <v>729</v>
      </c>
      <c r="F855" s="1" t="s">
        <v>52</v>
      </c>
      <c r="G855" s="1" t="s">
        <v>23</v>
      </c>
      <c r="H855" s="1" t="s">
        <v>24</v>
      </c>
      <c r="I855" s="1" t="s">
        <v>139</v>
      </c>
      <c r="J855" s="1">
        <v>6</v>
      </c>
      <c r="K855" s="1">
        <v>774.26</v>
      </c>
      <c r="L855" s="1">
        <v>0.15</v>
      </c>
      <c r="M855" s="1">
        <v>4645.5599999999986</v>
      </c>
      <c r="N855" s="1">
        <v>696.83399999999995</v>
      </c>
      <c r="O855" s="1">
        <v>3948.7260000000001</v>
      </c>
      <c r="P855" s="1">
        <v>2171.7993000000001</v>
      </c>
      <c r="Q855" s="1">
        <v>1776.9267</v>
      </c>
      <c r="R855" s="1">
        <v>44.999999999999993</v>
      </c>
      <c r="S855" s="1" t="s">
        <v>93</v>
      </c>
    </row>
    <row r="856" spans="1:19" x14ac:dyDescent="0.35">
      <c r="A856" s="1" t="s">
        <v>1223</v>
      </c>
      <c r="B856" s="3">
        <v>45784</v>
      </c>
      <c r="C856" s="1" t="s">
        <v>97</v>
      </c>
      <c r="D856" s="1">
        <v>5</v>
      </c>
      <c r="E856" s="1" t="s">
        <v>92</v>
      </c>
      <c r="F856" s="1" t="s">
        <v>111</v>
      </c>
      <c r="G856" s="1" t="s">
        <v>64</v>
      </c>
      <c r="H856" s="1" t="s">
        <v>99</v>
      </c>
      <c r="I856" s="1" t="s">
        <v>108</v>
      </c>
      <c r="J856" s="1">
        <v>2</v>
      </c>
      <c r="K856" s="1">
        <v>3731.76</v>
      </c>
      <c r="L856" s="1">
        <v>0.1</v>
      </c>
      <c r="M856" s="1">
        <v>7463.52</v>
      </c>
      <c r="N856" s="1">
        <v>746.35200000000009</v>
      </c>
      <c r="O856" s="1">
        <v>6717.1680000000006</v>
      </c>
      <c r="P856" s="1">
        <v>4567.6742400000003</v>
      </c>
      <c r="Q856" s="1">
        <v>2149.4937599999998</v>
      </c>
      <c r="R856" s="1">
        <v>32</v>
      </c>
      <c r="S856" s="1" t="s">
        <v>33</v>
      </c>
    </row>
    <row r="857" spans="1:19" x14ac:dyDescent="0.35">
      <c r="A857" s="1" t="s">
        <v>1224</v>
      </c>
      <c r="B857" s="3">
        <v>45974</v>
      </c>
      <c r="C857" s="1" t="s">
        <v>56</v>
      </c>
      <c r="D857" s="1">
        <v>11</v>
      </c>
      <c r="E857" s="1" t="s">
        <v>450</v>
      </c>
      <c r="F857" s="1" t="s">
        <v>76</v>
      </c>
      <c r="G857" s="1" t="s">
        <v>23</v>
      </c>
      <c r="H857" s="1" t="s">
        <v>24</v>
      </c>
      <c r="I857" s="1" t="s">
        <v>139</v>
      </c>
      <c r="J857" s="1">
        <v>2</v>
      </c>
      <c r="K857" s="1">
        <v>4780.87</v>
      </c>
      <c r="L857" s="1">
        <v>0.25</v>
      </c>
      <c r="M857" s="1">
        <v>9561.74</v>
      </c>
      <c r="N857" s="1">
        <v>2390.4349999999999</v>
      </c>
      <c r="O857" s="1">
        <v>7171.3050000000003</v>
      </c>
      <c r="P857" s="1">
        <v>3944.2177500000012</v>
      </c>
      <c r="Q857" s="1">
        <v>3227.08725</v>
      </c>
      <c r="R857" s="1">
        <v>44.999999999999993</v>
      </c>
      <c r="S857" s="1" t="s">
        <v>73</v>
      </c>
    </row>
    <row r="858" spans="1:19" x14ac:dyDescent="0.35">
      <c r="A858" s="1" t="s">
        <v>1225</v>
      </c>
      <c r="B858" s="3">
        <v>45839</v>
      </c>
      <c r="C858" s="1" t="s">
        <v>62</v>
      </c>
      <c r="D858" s="1">
        <v>7</v>
      </c>
      <c r="E858" s="1" t="s">
        <v>354</v>
      </c>
      <c r="F858" s="1" t="s">
        <v>76</v>
      </c>
      <c r="G858" s="1" t="s">
        <v>38</v>
      </c>
      <c r="H858" s="1" t="s">
        <v>24</v>
      </c>
      <c r="I858" s="1" t="s">
        <v>139</v>
      </c>
      <c r="J858" s="1">
        <v>1</v>
      </c>
      <c r="K858" s="1">
        <v>1086.03</v>
      </c>
      <c r="L858" s="1">
        <v>0.15</v>
      </c>
      <c r="M858" s="1">
        <v>1086.03</v>
      </c>
      <c r="N858" s="1">
        <v>162.90450000000001</v>
      </c>
      <c r="O858" s="1">
        <v>923.12549999999999</v>
      </c>
      <c r="P858" s="1">
        <v>507.71902499999999</v>
      </c>
      <c r="Q858" s="1">
        <v>415.40647499999989</v>
      </c>
      <c r="R858" s="1">
        <v>44.999999999999993</v>
      </c>
      <c r="S858" s="1" t="s">
        <v>26</v>
      </c>
    </row>
    <row r="859" spans="1:19" x14ac:dyDescent="0.35">
      <c r="A859" s="1" t="s">
        <v>1226</v>
      </c>
      <c r="B859" s="3">
        <v>45802</v>
      </c>
      <c r="C859" s="1" t="s">
        <v>97</v>
      </c>
      <c r="D859" s="1">
        <v>5</v>
      </c>
      <c r="E859" s="1" t="s">
        <v>753</v>
      </c>
      <c r="F859" s="1" t="s">
        <v>69</v>
      </c>
      <c r="G859" s="1" t="s">
        <v>64</v>
      </c>
      <c r="H859" s="1" t="s">
        <v>39</v>
      </c>
      <c r="I859" s="1" t="s">
        <v>40</v>
      </c>
      <c r="J859" s="1">
        <v>2</v>
      </c>
      <c r="K859" s="1">
        <v>11254.65</v>
      </c>
      <c r="L859" s="1">
        <v>0</v>
      </c>
      <c r="M859" s="1">
        <v>22509.3</v>
      </c>
      <c r="N859" s="1">
        <v>0</v>
      </c>
      <c r="O859" s="1">
        <v>22509.3</v>
      </c>
      <c r="P859" s="1">
        <v>17557.254000000001</v>
      </c>
      <c r="Q859" s="1">
        <v>4952.0459999999975</v>
      </c>
      <c r="R859" s="1">
        <v>21.999999999999989</v>
      </c>
      <c r="S859" s="1" t="s">
        <v>60</v>
      </c>
    </row>
    <row r="860" spans="1:19" x14ac:dyDescent="0.35">
      <c r="A860" s="1" t="s">
        <v>1227</v>
      </c>
      <c r="B860" s="3">
        <v>45667</v>
      </c>
      <c r="C860" s="1" t="s">
        <v>193</v>
      </c>
      <c r="D860" s="1">
        <v>1</v>
      </c>
      <c r="E860" s="1" t="s">
        <v>484</v>
      </c>
      <c r="F860" s="1" t="s">
        <v>76</v>
      </c>
      <c r="G860" s="1" t="s">
        <v>38</v>
      </c>
      <c r="H860" s="1" t="s">
        <v>31</v>
      </c>
      <c r="I860" s="1" t="s">
        <v>59</v>
      </c>
      <c r="J860" s="1">
        <v>5</v>
      </c>
      <c r="K860" s="1">
        <v>1244.3499999999999</v>
      </c>
      <c r="L860" s="1">
        <v>0.2</v>
      </c>
      <c r="M860" s="1">
        <v>6221.75</v>
      </c>
      <c r="N860" s="1">
        <v>1244.3499999999999</v>
      </c>
      <c r="O860" s="1">
        <v>4977.3999999999996</v>
      </c>
      <c r="P860" s="1">
        <v>2588.248</v>
      </c>
      <c r="Q860" s="1">
        <v>2389.152</v>
      </c>
      <c r="R860" s="1">
        <v>47.999999999999993</v>
      </c>
      <c r="S860" s="1" t="s">
        <v>60</v>
      </c>
    </row>
    <row r="861" spans="1:19" x14ac:dyDescent="0.35">
      <c r="A861" s="1" t="s">
        <v>1228</v>
      </c>
      <c r="B861" s="3">
        <v>45787</v>
      </c>
      <c r="C861" s="1" t="s">
        <v>97</v>
      </c>
      <c r="D861" s="1">
        <v>5</v>
      </c>
      <c r="E861" s="1" t="s">
        <v>293</v>
      </c>
      <c r="F861" s="1" t="s">
        <v>69</v>
      </c>
      <c r="G861" s="1" t="s">
        <v>64</v>
      </c>
      <c r="H861" s="1" t="s">
        <v>31</v>
      </c>
      <c r="I861" s="1" t="s">
        <v>59</v>
      </c>
      <c r="J861" s="1">
        <v>1</v>
      </c>
      <c r="K861" s="1">
        <v>977.37</v>
      </c>
      <c r="L861" s="1">
        <v>0.25</v>
      </c>
      <c r="M861" s="1">
        <v>977.37</v>
      </c>
      <c r="N861" s="1">
        <v>244.3425</v>
      </c>
      <c r="O861" s="1">
        <v>733.02750000000003</v>
      </c>
      <c r="P861" s="1">
        <v>381.17430000000002</v>
      </c>
      <c r="Q861" s="1">
        <v>351.85320000000002</v>
      </c>
      <c r="R861" s="1">
        <v>48</v>
      </c>
      <c r="S861" s="1" t="s">
        <v>73</v>
      </c>
    </row>
    <row r="862" spans="1:19" x14ac:dyDescent="0.35">
      <c r="A862" s="1" t="s">
        <v>1229</v>
      </c>
      <c r="B862" s="3">
        <v>45947</v>
      </c>
      <c r="C862" s="1" t="s">
        <v>35</v>
      </c>
      <c r="D862" s="1">
        <v>10</v>
      </c>
      <c r="E862" s="1" t="s">
        <v>936</v>
      </c>
      <c r="F862" s="1" t="s">
        <v>47</v>
      </c>
      <c r="G862" s="1" t="s">
        <v>23</v>
      </c>
      <c r="H862" s="1" t="s">
        <v>53</v>
      </c>
      <c r="I862" s="1" t="s">
        <v>72</v>
      </c>
      <c r="J862" s="1">
        <v>2</v>
      </c>
      <c r="K862" s="1">
        <v>2417.85</v>
      </c>
      <c r="L862" s="1">
        <v>0.05</v>
      </c>
      <c r="M862" s="1">
        <v>4835.7</v>
      </c>
      <c r="N862" s="1">
        <v>241.785</v>
      </c>
      <c r="O862" s="1">
        <v>4593.915</v>
      </c>
      <c r="P862" s="1">
        <v>2664.4706999999999</v>
      </c>
      <c r="Q862" s="1">
        <v>1929.4443000000001</v>
      </c>
      <c r="R862" s="1">
        <v>42.000000000000007</v>
      </c>
      <c r="S862" s="1" t="s">
        <v>60</v>
      </c>
    </row>
    <row r="863" spans="1:19" x14ac:dyDescent="0.35">
      <c r="A863" s="1" t="s">
        <v>1230</v>
      </c>
      <c r="B863" s="3">
        <v>45902</v>
      </c>
      <c r="C863" s="1" t="s">
        <v>50</v>
      </c>
      <c r="D863" s="1">
        <v>9</v>
      </c>
      <c r="E863" s="1" t="s">
        <v>561</v>
      </c>
      <c r="F863" s="1" t="s">
        <v>111</v>
      </c>
      <c r="G863" s="1" t="s">
        <v>23</v>
      </c>
      <c r="H863" s="1" t="s">
        <v>99</v>
      </c>
      <c r="I863" s="1" t="s">
        <v>100</v>
      </c>
      <c r="J863" s="1">
        <v>5</v>
      </c>
      <c r="K863" s="1">
        <v>11221.55</v>
      </c>
      <c r="L863" s="1">
        <v>0.1</v>
      </c>
      <c r="M863" s="1">
        <v>56107.75</v>
      </c>
      <c r="N863" s="1">
        <v>5610.7750000000005</v>
      </c>
      <c r="O863" s="1">
        <v>50496.974999999999</v>
      </c>
      <c r="P863" s="1">
        <v>34337.942999999999</v>
      </c>
      <c r="Q863" s="1">
        <v>16159.031999999999</v>
      </c>
      <c r="R863" s="1">
        <v>32</v>
      </c>
      <c r="S863" s="1" t="s">
        <v>26</v>
      </c>
    </row>
    <row r="864" spans="1:19" x14ac:dyDescent="0.35">
      <c r="A864" s="1" t="s">
        <v>1231</v>
      </c>
      <c r="B864" s="3">
        <v>45796</v>
      </c>
      <c r="C864" s="1" t="s">
        <v>97</v>
      </c>
      <c r="D864" s="1">
        <v>5</v>
      </c>
      <c r="E864" s="1" t="s">
        <v>331</v>
      </c>
      <c r="F864" s="1" t="s">
        <v>37</v>
      </c>
      <c r="G864" s="1" t="s">
        <v>23</v>
      </c>
      <c r="H864" s="1" t="s">
        <v>31</v>
      </c>
      <c r="I864" s="1" t="s">
        <v>32</v>
      </c>
      <c r="J864" s="1">
        <v>3</v>
      </c>
      <c r="K864" s="1">
        <v>3394.47</v>
      </c>
      <c r="L864" s="1">
        <v>0.25</v>
      </c>
      <c r="M864" s="1">
        <v>10183.41</v>
      </c>
      <c r="N864" s="1">
        <v>2545.8525</v>
      </c>
      <c r="O864" s="1">
        <v>7637.5574999999999</v>
      </c>
      <c r="P864" s="1">
        <v>3971.5299</v>
      </c>
      <c r="Q864" s="1">
        <v>3666.0275999999999</v>
      </c>
      <c r="R864" s="1">
        <v>48</v>
      </c>
      <c r="S864" s="1" t="s">
        <v>60</v>
      </c>
    </row>
    <row r="865" spans="1:19" x14ac:dyDescent="0.35">
      <c r="A865" s="1" t="s">
        <v>1232</v>
      </c>
      <c r="B865" s="3">
        <v>45772</v>
      </c>
      <c r="C865" s="1" t="s">
        <v>20</v>
      </c>
      <c r="D865" s="1">
        <v>4</v>
      </c>
      <c r="E865" s="1" t="s">
        <v>580</v>
      </c>
      <c r="F865" s="1" t="s">
        <v>37</v>
      </c>
      <c r="G865" s="1" t="s">
        <v>38</v>
      </c>
      <c r="H865" s="1" t="s">
        <v>99</v>
      </c>
      <c r="I865" s="1" t="s">
        <v>223</v>
      </c>
      <c r="J865" s="1">
        <v>7</v>
      </c>
      <c r="K865" s="1">
        <v>12599.16</v>
      </c>
      <c r="L865" s="1">
        <v>0.15</v>
      </c>
      <c r="M865" s="1">
        <v>88194.12</v>
      </c>
      <c r="N865" s="1">
        <v>13229.118</v>
      </c>
      <c r="O865" s="1">
        <v>74965.001999999993</v>
      </c>
      <c r="P865" s="1">
        <v>50976.201359999999</v>
      </c>
      <c r="Q865" s="1">
        <v>23988.80063999999</v>
      </c>
      <c r="R865" s="1">
        <v>32</v>
      </c>
      <c r="S865" s="1" t="s">
        <v>26</v>
      </c>
    </row>
    <row r="866" spans="1:19" x14ac:dyDescent="0.35">
      <c r="A866" s="1" t="s">
        <v>1233</v>
      </c>
      <c r="B866" s="3">
        <v>45836</v>
      </c>
      <c r="C866" s="1" t="s">
        <v>82</v>
      </c>
      <c r="D866" s="1">
        <v>6</v>
      </c>
      <c r="E866" s="1" t="s">
        <v>254</v>
      </c>
      <c r="F866" s="1" t="s">
        <v>30</v>
      </c>
      <c r="G866" s="1" t="s">
        <v>38</v>
      </c>
      <c r="H866" s="1" t="s">
        <v>39</v>
      </c>
      <c r="I866" s="1" t="s">
        <v>214</v>
      </c>
      <c r="J866" s="1">
        <v>6</v>
      </c>
      <c r="K866" s="1">
        <v>26639.39</v>
      </c>
      <c r="L866" s="1">
        <v>0.15</v>
      </c>
      <c r="M866" s="1">
        <v>159836.34</v>
      </c>
      <c r="N866" s="1">
        <v>23975.451000000001</v>
      </c>
      <c r="O866" s="1">
        <v>135860.889</v>
      </c>
      <c r="P866" s="1">
        <v>105971.49342</v>
      </c>
      <c r="Q866" s="1">
        <v>29889.39558</v>
      </c>
      <c r="R866" s="1">
        <v>22</v>
      </c>
      <c r="S866" s="1" t="s">
        <v>60</v>
      </c>
    </row>
    <row r="867" spans="1:19" x14ac:dyDescent="0.35">
      <c r="A867" s="1" t="s">
        <v>1234</v>
      </c>
      <c r="B867" s="3">
        <v>45676</v>
      </c>
      <c r="C867" s="1" t="s">
        <v>193</v>
      </c>
      <c r="D867" s="1">
        <v>1</v>
      </c>
      <c r="E867" s="1" t="s">
        <v>231</v>
      </c>
      <c r="F867" s="1" t="s">
        <v>43</v>
      </c>
      <c r="G867" s="1" t="s">
        <v>23</v>
      </c>
      <c r="H867" s="1" t="s">
        <v>99</v>
      </c>
      <c r="I867" s="1" t="s">
        <v>145</v>
      </c>
      <c r="J867" s="1">
        <v>2</v>
      </c>
      <c r="K867" s="1">
        <v>14478.11</v>
      </c>
      <c r="L867" s="1">
        <v>0.1</v>
      </c>
      <c r="M867" s="1">
        <v>28956.22</v>
      </c>
      <c r="N867" s="1">
        <v>2895.6219999999998</v>
      </c>
      <c r="O867" s="1">
        <v>26060.598000000002</v>
      </c>
      <c r="P867" s="1">
        <v>17721.20664</v>
      </c>
      <c r="Q867" s="1">
        <v>8339.3913599999978</v>
      </c>
      <c r="R867" s="1">
        <v>31.999999999999989</v>
      </c>
      <c r="S867" s="1" t="s">
        <v>60</v>
      </c>
    </row>
    <row r="868" spans="1:19" x14ac:dyDescent="0.35">
      <c r="A868" s="1" t="s">
        <v>1235</v>
      </c>
      <c r="B868" s="3">
        <v>45813</v>
      </c>
      <c r="C868" s="1" t="s">
        <v>82</v>
      </c>
      <c r="D868" s="1">
        <v>6</v>
      </c>
      <c r="E868" s="1" t="s">
        <v>272</v>
      </c>
      <c r="F868" s="1" t="s">
        <v>47</v>
      </c>
      <c r="G868" s="1" t="s">
        <v>38</v>
      </c>
      <c r="H868" s="1" t="s">
        <v>31</v>
      </c>
      <c r="I868" s="1" t="s">
        <v>167</v>
      </c>
      <c r="J868" s="1">
        <v>3</v>
      </c>
      <c r="K868" s="1">
        <v>1610.77</v>
      </c>
      <c r="L868" s="1">
        <v>0.15</v>
      </c>
      <c r="M868" s="1">
        <v>4832.3099999999986</v>
      </c>
      <c r="N868" s="1">
        <v>724.84649999999988</v>
      </c>
      <c r="O868" s="1">
        <v>4107.4634999999998</v>
      </c>
      <c r="P868" s="1">
        <v>2135.8810199999998</v>
      </c>
      <c r="Q868" s="1">
        <v>1971.58248</v>
      </c>
      <c r="R868" s="1">
        <v>48.000000000000007</v>
      </c>
      <c r="S868" s="1" t="s">
        <v>73</v>
      </c>
    </row>
    <row r="869" spans="1:19" x14ac:dyDescent="0.35">
      <c r="A869" s="1" t="s">
        <v>1236</v>
      </c>
      <c r="B869" s="3">
        <v>45887</v>
      </c>
      <c r="C869" s="1" t="s">
        <v>113</v>
      </c>
      <c r="D869" s="1">
        <v>8</v>
      </c>
      <c r="E869" s="1" t="s">
        <v>788</v>
      </c>
      <c r="F869" s="1" t="s">
        <v>69</v>
      </c>
      <c r="G869" s="1" t="s">
        <v>23</v>
      </c>
      <c r="H869" s="1" t="s">
        <v>77</v>
      </c>
      <c r="I869" s="1" t="s">
        <v>201</v>
      </c>
      <c r="J869" s="1">
        <v>2</v>
      </c>
      <c r="K869" s="1">
        <v>355.43</v>
      </c>
      <c r="L869" s="1">
        <v>0.2</v>
      </c>
      <c r="M869" s="1">
        <v>710.86</v>
      </c>
      <c r="N869" s="1">
        <v>142.172</v>
      </c>
      <c r="O869" s="1">
        <v>568.68799999999999</v>
      </c>
      <c r="P869" s="1">
        <v>409.45535999999998</v>
      </c>
      <c r="Q869" s="1">
        <v>159.23264</v>
      </c>
      <c r="R869" s="1">
        <v>28</v>
      </c>
      <c r="S869" s="1" t="s">
        <v>26</v>
      </c>
    </row>
    <row r="870" spans="1:19" x14ac:dyDescent="0.35">
      <c r="A870" s="1" t="s">
        <v>1237</v>
      </c>
      <c r="B870" s="3">
        <v>45927</v>
      </c>
      <c r="C870" s="1" t="s">
        <v>50</v>
      </c>
      <c r="D870" s="1">
        <v>9</v>
      </c>
      <c r="E870" s="1" t="s">
        <v>179</v>
      </c>
      <c r="F870" s="1" t="s">
        <v>43</v>
      </c>
      <c r="G870" s="1" t="s">
        <v>38</v>
      </c>
      <c r="H870" s="1" t="s">
        <v>77</v>
      </c>
      <c r="I870" s="1" t="s">
        <v>78</v>
      </c>
      <c r="J870" s="1">
        <v>4</v>
      </c>
      <c r="K870" s="1">
        <v>461.95</v>
      </c>
      <c r="L870" s="1">
        <v>0.05</v>
      </c>
      <c r="M870" s="1">
        <v>1847.8</v>
      </c>
      <c r="N870" s="1">
        <v>92.39</v>
      </c>
      <c r="O870" s="1">
        <v>1755.41</v>
      </c>
      <c r="P870" s="1">
        <v>1263.8951999999999</v>
      </c>
      <c r="Q870" s="1">
        <v>491.51479999999992</v>
      </c>
      <c r="R870" s="1">
        <v>28</v>
      </c>
      <c r="S870" s="1" t="s">
        <v>73</v>
      </c>
    </row>
    <row r="871" spans="1:19" x14ac:dyDescent="0.35">
      <c r="A871" s="1" t="s">
        <v>1238</v>
      </c>
      <c r="B871" s="3">
        <v>45677</v>
      </c>
      <c r="C871" s="1" t="s">
        <v>193</v>
      </c>
      <c r="D871" s="1">
        <v>1</v>
      </c>
      <c r="E871" s="1" t="s">
        <v>729</v>
      </c>
      <c r="F871" s="1" t="s">
        <v>37</v>
      </c>
      <c r="G871" s="1" t="s">
        <v>23</v>
      </c>
      <c r="H871" s="1" t="s">
        <v>77</v>
      </c>
      <c r="I871" s="1" t="s">
        <v>201</v>
      </c>
      <c r="J871" s="1">
        <v>2</v>
      </c>
      <c r="K871" s="1">
        <v>605.91</v>
      </c>
      <c r="L871" s="1">
        <v>0</v>
      </c>
      <c r="M871" s="1">
        <v>1211.82</v>
      </c>
      <c r="N871" s="1">
        <v>0</v>
      </c>
      <c r="O871" s="1">
        <v>1211.82</v>
      </c>
      <c r="P871" s="1">
        <v>872.51039999999989</v>
      </c>
      <c r="Q871" s="1">
        <v>339.30959999999999</v>
      </c>
      <c r="R871" s="1">
        <v>28</v>
      </c>
      <c r="S871" s="1" t="s">
        <v>60</v>
      </c>
    </row>
    <row r="872" spans="1:19" x14ac:dyDescent="0.35">
      <c r="A872" s="1" t="s">
        <v>1239</v>
      </c>
      <c r="B872" s="3">
        <v>45910</v>
      </c>
      <c r="C872" s="1" t="s">
        <v>50</v>
      </c>
      <c r="D872" s="1">
        <v>9</v>
      </c>
      <c r="E872" s="1" t="s">
        <v>875</v>
      </c>
      <c r="F872" s="1" t="s">
        <v>52</v>
      </c>
      <c r="G872" s="1" t="s">
        <v>64</v>
      </c>
      <c r="H872" s="1" t="s">
        <v>53</v>
      </c>
      <c r="I872" s="1" t="s">
        <v>72</v>
      </c>
      <c r="J872" s="1">
        <v>4</v>
      </c>
      <c r="K872" s="1">
        <v>1609.3</v>
      </c>
      <c r="L872" s="1">
        <v>0.2</v>
      </c>
      <c r="M872" s="1">
        <v>6437.2</v>
      </c>
      <c r="N872" s="1">
        <v>1287.44</v>
      </c>
      <c r="O872" s="1">
        <v>5149.76</v>
      </c>
      <c r="P872" s="1">
        <v>2986.8607999999999</v>
      </c>
      <c r="Q872" s="1">
        <v>2162.8991999999998</v>
      </c>
      <c r="R872" s="1">
        <v>42.000000000000007</v>
      </c>
      <c r="S872" s="1" t="s">
        <v>60</v>
      </c>
    </row>
    <row r="873" spans="1:19" x14ac:dyDescent="0.35">
      <c r="A873" s="1" t="s">
        <v>1240</v>
      </c>
      <c r="B873" s="3">
        <v>45799</v>
      </c>
      <c r="C873" s="1" t="s">
        <v>97</v>
      </c>
      <c r="D873" s="1">
        <v>5</v>
      </c>
      <c r="E873" s="1" t="s">
        <v>927</v>
      </c>
      <c r="F873" s="1" t="s">
        <v>58</v>
      </c>
      <c r="G873" s="1" t="s">
        <v>38</v>
      </c>
      <c r="H873" s="1" t="s">
        <v>53</v>
      </c>
      <c r="I873" s="1" t="s">
        <v>123</v>
      </c>
      <c r="J873" s="1">
        <v>1</v>
      </c>
      <c r="K873" s="1">
        <v>1259.3599999999999</v>
      </c>
      <c r="L873" s="1">
        <v>0.1</v>
      </c>
      <c r="M873" s="1">
        <v>1259.3599999999999</v>
      </c>
      <c r="N873" s="1">
        <v>125.93600000000001</v>
      </c>
      <c r="O873" s="1">
        <v>1133.424</v>
      </c>
      <c r="P873" s="1">
        <v>657.38591999999994</v>
      </c>
      <c r="Q873" s="1">
        <v>476.03807999999998</v>
      </c>
      <c r="R873" s="1">
        <v>42.000000000000007</v>
      </c>
      <c r="S873" s="1" t="s">
        <v>26</v>
      </c>
    </row>
    <row r="874" spans="1:19" x14ac:dyDescent="0.35">
      <c r="A874" s="1" t="s">
        <v>1241</v>
      </c>
      <c r="B874" s="3">
        <v>45793</v>
      </c>
      <c r="C874" s="1" t="s">
        <v>97</v>
      </c>
      <c r="D874" s="1">
        <v>5</v>
      </c>
      <c r="E874" s="1" t="s">
        <v>815</v>
      </c>
      <c r="F874" s="1" t="s">
        <v>111</v>
      </c>
      <c r="G874" s="1" t="s">
        <v>38</v>
      </c>
      <c r="H874" s="1" t="s">
        <v>24</v>
      </c>
      <c r="I874" s="1" t="s">
        <v>139</v>
      </c>
      <c r="J874" s="1">
        <v>3</v>
      </c>
      <c r="K874" s="1">
        <v>3421.61</v>
      </c>
      <c r="L874" s="1">
        <v>0</v>
      </c>
      <c r="M874" s="1">
        <v>10264.83</v>
      </c>
      <c r="N874" s="1">
        <v>0</v>
      </c>
      <c r="O874" s="1">
        <v>10264.83</v>
      </c>
      <c r="P874" s="1">
        <v>5645.6565000000001</v>
      </c>
      <c r="Q874" s="1">
        <v>4619.1734999999999</v>
      </c>
      <c r="R874" s="1">
        <v>45</v>
      </c>
      <c r="S874" s="1" t="s">
        <v>93</v>
      </c>
    </row>
    <row r="875" spans="1:19" x14ac:dyDescent="0.35">
      <c r="A875" s="1" t="s">
        <v>1242</v>
      </c>
      <c r="B875" s="3">
        <v>45730</v>
      </c>
      <c r="C875" s="1" t="s">
        <v>28</v>
      </c>
      <c r="D875" s="1">
        <v>3</v>
      </c>
      <c r="E875" s="1" t="s">
        <v>1243</v>
      </c>
      <c r="F875" s="1" t="s">
        <v>37</v>
      </c>
      <c r="G875" s="1" t="s">
        <v>64</v>
      </c>
      <c r="H875" s="1" t="s">
        <v>24</v>
      </c>
      <c r="I875" s="1" t="s">
        <v>48</v>
      </c>
      <c r="J875" s="1">
        <v>4</v>
      </c>
      <c r="K875" s="1">
        <v>2049.85</v>
      </c>
      <c r="L875" s="1">
        <v>0.15</v>
      </c>
      <c r="M875" s="1">
        <v>8199.4</v>
      </c>
      <c r="N875" s="1">
        <v>1229.9100000000001</v>
      </c>
      <c r="O875" s="1">
        <v>6969.49</v>
      </c>
      <c r="P875" s="1">
        <v>3833.2195000000002</v>
      </c>
      <c r="Q875" s="1">
        <v>3136.2705000000001</v>
      </c>
      <c r="R875" s="1">
        <v>44.999999999999993</v>
      </c>
      <c r="S875" s="1" t="s">
        <v>73</v>
      </c>
    </row>
    <row r="876" spans="1:19" x14ac:dyDescent="0.35">
      <c r="A876" s="1" t="s">
        <v>1244</v>
      </c>
      <c r="B876" s="3">
        <v>45932</v>
      </c>
      <c r="C876" s="1" t="s">
        <v>35</v>
      </c>
      <c r="D876" s="1">
        <v>10</v>
      </c>
      <c r="E876" s="1" t="s">
        <v>578</v>
      </c>
      <c r="F876" s="1" t="s">
        <v>47</v>
      </c>
      <c r="G876" s="1" t="s">
        <v>23</v>
      </c>
      <c r="H876" s="1" t="s">
        <v>53</v>
      </c>
      <c r="I876" s="1" t="s">
        <v>123</v>
      </c>
      <c r="J876" s="1">
        <v>1</v>
      </c>
      <c r="K876" s="1">
        <v>1240.4100000000001</v>
      </c>
      <c r="L876" s="1">
        <v>0.1</v>
      </c>
      <c r="M876" s="1">
        <v>1240.4100000000001</v>
      </c>
      <c r="N876" s="1">
        <v>124.041</v>
      </c>
      <c r="O876" s="1">
        <v>1116.3689999999999</v>
      </c>
      <c r="P876" s="1">
        <v>647.49402000000009</v>
      </c>
      <c r="Q876" s="1">
        <v>468.87498000000011</v>
      </c>
      <c r="R876" s="1">
        <v>42</v>
      </c>
      <c r="S876" s="1" t="s">
        <v>73</v>
      </c>
    </row>
    <row r="877" spans="1:19" x14ac:dyDescent="0.35">
      <c r="A877" s="1" t="s">
        <v>1245</v>
      </c>
      <c r="B877" s="3">
        <v>45858</v>
      </c>
      <c r="C877" s="1" t="s">
        <v>62</v>
      </c>
      <c r="D877" s="1">
        <v>7</v>
      </c>
      <c r="E877" s="1" t="s">
        <v>161</v>
      </c>
      <c r="F877" s="1" t="s">
        <v>76</v>
      </c>
      <c r="G877" s="1" t="s">
        <v>23</v>
      </c>
      <c r="H877" s="1" t="s">
        <v>39</v>
      </c>
      <c r="I877" s="1" t="s">
        <v>155</v>
      </c>
      <c r="J877" s="1">
        <v>6</v>
      </c>
      <c r="K877" s="1">
        <v>46361.47</v>
      </c>
      <c r="L877" s="1">
        <v>0</v>
      </c>
      <c r="M877" s="1">
        <v>278168.82</v>
      </c>
      <c r="N877" s="1">
        <v>0</v>
      </c>
      <c r="O877" s="1">
        <v>278168.82</v>
      </c>
      <c r="P877" s="1">
        <v>216971.6796</v>
      </c>
      <c r="Q877" s="1">
        <v>61197.140399999997</v>
      </c>
      <c r="R877" s="1">
        <v>22</v>
      </c>
      <c r="S877" s="1" t="s">
        <v>26</v>
      </c>
    </row>
    <row r="878" spans="1:19" x14ac:dyDescent="0.35">
      <c r="A878" s="1" t="s">
        <v>1246</v>
      </c>
      <c r="B878" s="3">
        <v>45960</v>
      </c>
      <c r="C878" s="1" t="s">
        <v>35</v>
      </c>
      <c r="D878" s="1">
        <v>10</v>
      </c>
      <c r="E878" s="1" t="s">
        <v>721</v>
      </c>
      <c r="F878" s="1" t="s">
        <v>58</v>
      </c>
      <c r="G878" s="1" t="s">
        <v>23</v>
      </c>
      <c r="H878" s="1" t="s">
        <v>99</v>
      </c>
      <c r="I878" s="1" t="s">
        <v>100</v>
      </c>
      <c r="J878" s="1">
        <v>1</v>
      </c>
      <c r="K878" s="1">
        <v>13159.9</v>
      </c>
      <c r="L878" s="1">
        <v>0.1</v>
      </c>
      <c r="M878" s="1">
        <v>13159.9</v>
      </c>
      <c r="N878" s="1">
        <v>1315.99</v>
      </c>
      <c r="O878" s="1">
        <v>11843.91</v>
      </c>
      <c r="P878" s="1">
        <v>8053.8588000000009</v>
      </c>
      <c r="Q878" s="1">
        <v>3790.051199999999</v>
      </c>
      <c r="R878" s="1">
        <v>31.999999999999989</v>
      </c>
      <c r="S878" s="1" t="s">
        <v>93</v>
      </c>
    </row>
    <row r="879" spans="1:19" x14ac:dyDescent="0.35">
      <c r="A879" s="1" t="s">
        <v>1247</v>
      </c>
      <c r="B879" s="3">
        <v>45834</v>
      </c>
      <c r="C879" s="1" t="s">
        <v>82</v>
      </c>
      <c r="D879" s="1">
        <v>6</v>
      </c>
      <c r="E879" s="1" t="s">
        <v>543</v>
      </c>
      <c r="F879" s="1" t="s">
        <v>47</v>
      </c>
      <c r="G879" s="1" t="s">
        <v>38</v>
      </c>
      <c r="H879" s="1" t="s">
        <v>77</v>
      </c>
      <c r="I879" s="1" t="s">
        <v>103</v>
      </c>
      <c r="J879" s="1">
        <v>3</v>
      </c>
      <c r="K879" s="1">
        <v>635.28</v>
      </c>
      <c r="L879" s="1">
        <v>0.1</v>
      </c>
      <c r="M879" s="1">
        <v>1905.84</v>
      </c>
      <c r="N879" s="1">
        <v>190.584</v>
      </c>
      <c r="O879" s="1">
        <v>1715.2560000000001</v>
      </c>
      <c r="P879" s="1">
        <v>1234.98432</v>
      </c>
      <c r="Q879" s="1">
        <v>480.27168000000012</v>
      </c>
      <c r="R879" s="1">
        <v>28.000000000000011</v>
      </c>
      <c r="S879" s="1" t="s">
        <v>60</v>
      </c>
    </row>
    <row r="880" spans="1:19" x14ac:dyDescent="0.35">
      <c r="A880" s="1" t="s">
        <v>1248</v>
      </c>
      <c r="B880" s="3">
        <v>45958</v>
      </c>
      <c r="C880" s="1" t="s">
        <v>35</v>
      </c>
      <c r="D880" s="1">
        <v>10</v>
      </c>
      <c r="E880" s="1" t="s">
        <v>561</v>
      </c>
      <c r="F880" s="1" t="s">
        <v>52</v>
      </c>
      <c r="G880" s="1" t="s">
        <v>23</v>
      </c>
      <c r="H880" s="1" t="s">
        <v>77</v>
      </c>
      <c r="I880" s="1" t="s">
        <v>148</v>
      </c>
      <c r="J880" s="1">
        <v>7</v>
      </c>
      <c r="K880" s="1">
        <v>591.44000000000005</v>
      </c>
      <c r="L880" s="1">
        <v>0.05</v>
      </c>
      <c r="M880" s="1">
        <v>4140.08</v>
      </c>
      <c r="N880" s="1">
        <v>207.00399999999999</v>
      </c>
      <c r="O880" s="1">
        <v>3933.076</v>
      </c>
      <c r="P880" s="1">
        <v>2831.8147199999999</v>
      </c>
      <c r="Q880" s="1">
        <v>1101.2612799999999</v>
      </c>
      <c r="R880" s="1">
        <v>28</v>
      </c>
      <c r="S880" s="1" t="s">
        <v>33</v>
      </c>
    </row>
    <row r="881" spans="1:19" x14ac:dyDescent="0.35">
      <c r="A881" s="1" t="s">
        <v>1249</v>
      </c>
      <c r="B881" s="3">
        <v>45732</v>
      </c>
      <c r="C881" s="1" t="s">
        <v>28</v>
      </c>
      <c r="D881" s="1">
        <v>3</v>
      </c>
      <c r="E881" s="1" t="s">
        <v>605</v>
      </c>
      <c r="F881" s="1" t="s">
        <v>43</v>
      </c>
      <c r="G881" s="1" t="s">
        <v>38</v>
      </c>
      <c r="H881" s="1" t="s">
        <v>31</v>
      </c>
      <c r="I881" s="1" t="s">
        <v>32</v>
      </c>
      <c r="J881" s="1">
        <v>7</v>
      </c>
      <c r="K881" s="1">
        <v>1450.72</v>
      </c>
      <c r="L881" s="1">
        <v>0.1</v>
      </c>
      <c r="M881" s="1">
        <v>10155.040000000001</v>
      </c>
      <c r="N881" s="1">
        <v>1015.504</v>
      </c>
      <c r="O881" s="1">
        <v>9139.5360000000001</v>
      </c>
      <c r="P881" s="1">
        <v>4752.55872</v>
      </c>
      <c r="Q881" s="1">
        <v>4386.9772800000001</v>
      </c>
      <c r="R881" s="1">
        <v>48</v>
      </c>
      <c r="S881" s="1" t="s">
        <v>33</v>
      </c>
    </row>
    <row r="882" spans="1:19" x14ac:dyDescent="0.35">
      <c r="A882" s="1" t="s">
        <v>1250</v>
      </c>
      <c r="B882" s="3">
        <v>45690</v>
      </c>
      <c r="C882" s="1" t="s">
        <v>42</v>
      </c>
      <c r="D882" s="1">
        <v>2</v>
      </c>
      <c r="E882" s="1" t="s">
        <v>1178</v>
      </c>
      <c r="F882" s="1" t="s">
        <v>22</v>
      </c>
      <c r="G882" s="1" t="s">
        <v>64</v>
      </c>
      <c r="H882" s="1" t="s">
        <v>39</v>
      </c>
      <c r="I882" s="1" t="s">
        <v>87</v>
      </c>
      <c r="J882" s="1">
        <v>6</v>
      </c>
      <c r="K882" s="1">
        <v>26565.03</v>
      </c>
      <c r="L882" s="1">
        <v>0.1</v>
      </c>
      <c r="M882" s="1">
        <v>159390.18</v>
      </c>
      <c r="N882" s="1">
        <v>15939.018</v>
      </c>
      <c r="O882" s="1">
        <v>143451.16200000001</v>
      </c>
      <c r="P882" s="1">
        <v>111891.90635999999</v>
      </c>
      <c r="Q882" s="1">
        <v>31559.255639999988</v>
      </c>
      <c r="R882" s="1">
        <v>21.999999999999989</v>
      </c>
      <c r="S882" s="1" t="s">
        <v>93</v>
      </c>
    </row>
    <row r="883" spans="1:19" x14ac:dyDescent="0.35">
      <c r="A883" s="1" t="s">
        <v>1251</v>
      </c>
      <c r="B883" s="3">
        <v>45773</v>
      </c>
      <c r="C883" s="1" t="s">
        <v>20</v>
      </c>
      <c r="D883" s="1">
        <v>4</v>
      </c>
      <c r="E883" s="1" t="s">
        <v>812</v>
      </c>
      <c r="F883" s="1" t="s">
        <v>58</v>
      </c>
      <c r="G883" s="1" t="s">
        <v>23</v>
      </c>
      <c r="H883" s="1" t="s">
        <v>31</v>
      </c>
      <c r="I883" s="1" t="s">
        <v>167</v>
      </c>
      <c r="J883" s="1">
        <v>7</v>
      </c>
      <c r="K883" s="1">
        <v>1350.91</v>
      </c>
      <c r="L883" s="1">
        <v>0.15</v>
      </c>
      <c r="M883" s="1">
        <v>9456.3700000000008</v>
      </c>
      <c r="N883" s="1">
        <v>1418.4555</v>
      </c>
      <c r="O883" s="1">
        <v>8037.9145000000008</v>
      </c>
      <c r="P883" s="1">
        <v>4179.7155400000001</v>
      </c>
      <c r="Q883" s="1">
        <v>3858.1989600000011</v>
      </c>
      <c r="R883" s="1">
        <v>48.000000000000007</v>
      </c>
      <c r="S883" s="1" t="s">
        <v>73</v>
      </c>
    </row>
    <row r="884" spans="1:19" x14ac:dyDescent="0.35">
      <c r="A884" s="1" t="s">
        <v>1252</v>
      </c>
      <c r="B884" s="3">
        <v>45724</v>
      </c>
      <c r="C884" s="1" t="s">
        <v>28</v>
      </c>
      <c r="D884" s="1">
        <v>3</v>
      </c>
      <c r="E884" s="1" t="s">
        <v>1050</v>
      </c>
      <c r="F884" s="1" t="s">
        <v>76</v>
      </c>
      <c r="G884" s="1" t="s">
        <v>64</v>
      </c>
      <c r="H884" s="1" t="s">
        <v>99</v>
      </c>
      <c r="I884" s="1" t="s">
        <v>100</v>
      </c>
      <c r="J884" s="1">
        <v>1</v>
      </c>
      <c r="K884" s="1">
        <v>20968.91</v>
      </c>
      <c r="L884" s="1">
        <v>0.05</v>
      </c>
      <c r="M884" s="1">
        <v>20968.91</v>
      </c>
      <c r="N884" s="1">
        <v>1048.4455</v>
      </c>
      <c r="O884" s="1">
        <v>19920.464499999998</v>
      </c>
      <c r="P884" s="1">
        <v>13545.915859999999</v>
      </c>
      <c r="Q884" s="1">
        <v>6374.5486399999991</v>
      </c>
      <c r="R884" s="1">
        <v>32</v>
      </c>
      <c r="S884" s="1" t="s">
        <v>60</v>
      </c>
    </row>
    <row r="885" spans="1:19" x14ac:dyDescent="0.35">
      <c r="A885" s="1" t="s">
        <v>1253</v>
      </c>
      <c r="B885" s="3">
        <v>46006</v>
      </c>
      <c r="C885" s="1" t="s">
        <v>67</v>
      </c>
      <c r="D885" s="1">
        <v>12</v>
      </c>
      <c r="E885" s="1" t="s">
        <v>289</v>
      </c>
      <c r="F885" s="1" t="s">
        <v>111</v>
      </c>
      <c r="G885" s="1" t="s">
        <v>38</v>
      </c>
      <c r="H885" s="1" t="s">
        <v>53</v>
      </c>
      <c r="I885" s="1" t="s">
        <v>185</v>
      </c>
      <c r="J885" s="1">
        <v>7</v>
      </c>
      <c r="K885" s="1">
        <v>100.58</v>
      </c>
      <c r="L885" s="1">
        <v>0.05</v>
      </c>
      <c r="M885" s="1">
        <v>704.06</v>
      </c>
      <c r="N885" s="1">
        <v>35.203000000000003</v>
      </c>
      <c r="O885" s="1">
        <v>668.85699999999997</v>
      </c>
      <c r="P885" s="1">
        <v>387.93705999999997</v>
      </c>
      <c r="Q885" s="1">
        <v>280.91994</v>
      </c>
      <c r="R885" s="1">
        <v>42.000000000000007</v>
      </c>
      <c r="S885" s="1" t="s">
        <v>73</v>
      </c>
    </row>
    <row r="886" spans="1:19" x14ac:dyDescent="0.35">
      <c r="A886" s="1" t="s">
        <v>1254</v>
      </c>
      <c r="B886" s="3">
        <v>45698</v>
      </c>
      <c r="C886" s="1" t="s">
        <v>42</v>
      </c>
      <c r="D886" s="1">
        <v>2</v>
      </c>
      <c r="E886" s="1" t="s">
        <v>1142</v>
      </c>
      <c r="F886" s="1" t="s">
        <v>69</v>
      </c>
      <c r="G886" s="1" t="s">
        <v>64</v>
      </c>
      <c r="H886" s="1" t="s">
        <v>99</v>
      </c>
      <c r="I886" s="1" t="s">
        <v>108</v>
      </c>
      <c r="J886" s="1">
        <v>2</v>
      </c>
      <c r="K886" s="1">
        <v>18455.36</v>
      </c>
      <c r="L886" s="1">
        <v>0</v>
      </c>
      <c r="M886" s="1">
        <v>36910.720000000001</v>
      </c>
      <c r="N886" s="1">
        <v>0</v>
      </c>
      <c r="O886" s="1">
        <v>36910.720000000001</v>
      </c>
      <c r="P886" s="1">
        <v>25099.2896</v>
      </c>
      <c r="Q886" s="1">
        <v>11811.430399999999</v>
      </c>
      <c r="R886" s="1">
        <v>31.999999999999989</v>
      </c>
      <c r="S886" s="1" t="s">
        <v>60</v>
      </c>
    </row>
    <row r="887" spans="1:19" x14ac:dyDescent="0.35">
      <c r="A887" s="1" t="s">
        <v>1255</v>
      </c>
      <c r="B887" s="3">
        <v>45848</v>
      </c>
      <c r="C887" s="1" t="s">
        <v>62</v>
      </c>
      <c r="D887" s="1">
        <v>7</v>
      </c>
      <c r="E887" s="1" t="s">
        <v>378</v>
      </c>
      <c r="F887" s="1" t="s">
        <v>58</v>
      </c>
      <c r="G887" s="1" t="s">
        <v>64</v>
      </c>
      <c r="H887" s="1" t="s">
        <v>53</v>
      </c>
      <c r="I887" s="1" t="s">
        <v>72</v>
      </c>
      <c r="J887" s="1">
        <v>1</v>
      </c>
      <c r="K887" s="1">
        <v>1781.09</v>
      </c>
      <c r="L887" s="1">
        <v>0.1</v>
      </c>
      <c r="M887" s="1">
        <v>1781.09</v>
      </c>
      <c r="N887" s="1">
        <v>178.10900000000001</v>
      </c>
      <c r="O887" s="1">
        <v>1602.981</v>
      </c>
      <c r="P887" s="1">
        <v>929.72897999999998</v>
      </c>
      <c r="Q887" s="1">
        <v>673.25202000000002</v>
      </c>
      <c r="R887" s="1">
        <v>42</v>
      </c>
      <c r="S887" s="1" t="s">
        <v>26</v>
      </c>
    </row>
    <row r="888" spans="1:19" x14ac:dyDescent="0.35">
      <c r="A888" s="1" t="s">
        <v>1256</v>
      </c>
      <c r="B888" s="3">
        <v>45785</v>
      </c>
      <c r="C888" s="1" t="s">
        <v>97</v>
      </c>
      <c r="D888" s="1">
        <v>5</v>
      </c>
      <c r="E888" s="1" t="s">
        <v>324</v>
      </c>
      <c r="F888" s="1" t="s">
        <v>47</v>
      </c>
      <c r="G888" s="1" t="s">
        <v>23</v>
      </c>
      <c r="H888" s="1" t="s">
        <v>39</v>
      </c>
      <c r="I888" s="1" t="s">
        <v>234</v>
      </c>
      <c r="J888" s="1">
        <v>2</v>
      </c>
      <c r="K888" s="1">
        <v>22785.79</v>
      </c>
      <c r="L888" s="1">
        <v>0.15</v>
      </c>
      <c r="M888" s="1">
        <v>45571.58</v>
      </c>
      <c r="N888" s="1">
        <v>6835.7370000000001</v>
      </c>
      <c r="O888" s="1">
        <v>38735.843000000001</v>
      </c>
      <c r="P888" s="1">
        <v>30213.957539999999</v>
      </c>
      <c r="Q888" s="1">
        <v>8521.8854599999977</v>
      </c>
      <c r="R888" s="1">
        <v>21.999999999999989</v>
      </c>
      <c r="S888" s="1" t="s">
        <v>93</v>
      </c>
    </row>
    <row r="889" spans="1:19" x14ac:dyDescent="0.35">
      <c r="A889" s="1" t="s">
        <v>1257</v>
      </c>
      <c r="B889" s="3">
        <v>45720</v>
      </c>
      <c r="C889" s="1" t="s">
        <v>28</v>
      </c>
      <c r="D889" s="1">
        <v>3</v>
      </c>
      <c r="E889" s="1" t="s">
        <v>1258</v>
      </c>
      <c r="F889" s="1" t="s">
        <v>47</v>
      </c>
      <c r="G889" s="1" t="s">
        <v>23</v>
      </c>
      <c r="H889" s="1" t="s">
        <v>24</v>
      </c>
      <c r="I889" s="1" t="s">
        <v>117</v>
      </c>
      <c r="J889" s="1">
        <v>1</v>
      </c>
      <c r="K889" s="1">
        <v>4811.8500000000004</v>
      </c>
      <c r="L889" s="1">
        <v>0.1</v>
      </c>
      <c r="M889" s="1">
        <v>4811.8500000000004</v>
      </c>
      <c r="N889" s="1">
        <v>481.18500000000012</v>
      </c>
      <c r="O889" s="1">
        <v>4330.665</v>
      </c>
      <c r="P889" s="1">
        <v>2381.8657499999999</v>
      </c>
      <c r="Q889" s="1">
        <v>1948.79925</v>
      </c>
      <c r="R889" s="1">
        <v>44.999999999999993</v>
      </c>
      <c r="S889" s="1" t="s">
        <v>26</v>
      </c>
    </row>
    <row r="890" spans="1:19" x14ac:dyDescent="0.35">
      <c r="A890" s="1" t="s">
        <v>1259</v>
      </c>
      <c r="B890" s="3">
        <v>45773</v>
      </c>
      <c r="C890" s="1" t="s">
        <v>20</v>
      </c>
      <c r="D890" s="1">
        <v>4</v>
      </c>
      <c r="E890" s="1" t="s">
        <v>1076</v>
      </c>
      <c r="F890" s="1" t="s">
        <v>69</v>
      </c>
      <c r="G890" s="1" t="s">
        <v>38</v>
      </c>
      <c r="H890" s="1" t="s">
        <v>39</v>
      </c>
      <c r="I890" s="1" t="s">
        <v>87</v>
      </c>
      <c r="J890" s="1">
        <v>6</v>
      </c>
      <c r="K890" s="1">
        <v>19695.669999999998</v>
      </c>
      <c r="L890" s="1">
        <v>0.1</v>
      </c>
      <c r="M890" s="1">
        <v>118174.02</v>
      </c>
      <c r="N890" s="1">
        <v>11817.402</v>
      </c>
      <c r="O890" s="1">
        <v>106356.618</v>
      </c>
      <c r="P890" s="1">
        <v>82958.162039999996</v>
      </c>
      <c r="Q890" s="1">
        <v>23398.455959999988</v>
      </c>
      <c r="R890" s="1">
        <v>21.999999999999989</v>
      </c>
      <c r="S890" s="1" t="s">
        <v>73</v>
      </c>
    </row>
    <row r="891" spans="1:19" x14ac:dyDescent="0.35">
      <c r="A891" s="1" t="s">
        <v>1260</v>
      </c>
      <c r="B891" s="3">
        <v>45801</v>
      </c>
      <c r="C891" s="1" t="s">
        <v>97</v>
      </c>
      <c r="D891" s="1">
        <v>5</v>
      </c>
      <c r="E891" s="1" t="s">
        <v>384</v>
      </c>
      <c r="F891" s="1" t="s">
        <v>43</v>
      </c>
      <c r="G891" s="1" t="s">
        <v>38</v>
      </c>
      <c r="H891" s="1" t="s">
        <v>39</v>
      </c>
      <c r="I891" s="1" t="s">
        <v>214</v>
      </c>
      <c r="J891" s="1">
        <v>2</v>
      </c>
      <c r="K891" s="1">
        <v>22077.03</v>
      </c>
      <c r="L891" s="1">
        <v>0.25</v>
      </c>
      <c r="M891" s="1">
        <v>44154.06</v>
      </c>
      <c r="N891" s="1">
        <v>11038.514999999999</v>
      </c>
      <c r="O891" s="1">
        <v>33115.544999999998</v>
      </c>
      <c r="P891" s="1">
        <v>25830.125100000001</v>
      </c>
      <c r="Q891" s="1">
        <v>7285.4198999999971</v>
      </c>
      <c r="R891" s="1">
        <v>21.999999999999989</v>
      </c>
      <c r="S891" s="1" t="s">
        <v>33</v>
      </c>
    </row>
    <row r="892" spans="1:19" x14ac:dyDescent="0.35">
      <c r="A892" s="1" t="s">
        <v>1261</v>
      </c>
      <c r="B892" s="3">
        <v>45927</v>
      </c>
      <c r="C892" s="1" t="s">
        <v>50</v>
      </c>
      <c r="D892" s="1">
        <v>9</v>
      </c>
      <c r="E892" s="1" t="s">
        <v>80</v>
      </c>
      <c r="F892" s="1" t="s">
        <v>37</v>
      </c>
      <c r="G892" s="1" t="s">
        <v>38</v>
      </c>
      <c r="H892" s="1" t="s">
        <v>31</v>
      </c>
      <c r="I892" s="1" t="s">
        <v>167</v>
      </c>
      <c r="J892" s="1">
        <v>7</v>
      </c>
      <c r="K892" s="1">
        <v>2183.16</v>
      </c>
      <c r="L892" s="1">
        <v>0</v>
      </c>
      <c r="M892" s="1">
        <v>15282.12</v>
      </c>
      <c r="N892" s="1">
        <v>0</v>
      </c>
      <c r="O892" s="1">
        <v>15282.12</v>
      </c>
      <c r="P892" s="1">
        <v>7946.7024000000001</v>
      </c>
      <c r="Q892" s="1">
        <v>7335.4175999999989</v>
      </c>
      <c r="R892" s="1">
        <v>48</v>
      </c>
      <c r="S892" s="1" t="s">
        <v>33</v>
      </c>
    </row>
    <row r="893" spans="1:19" x14ac:dyDescent="0.35">
      <c r="A893" s="1" t="s">
        <v>1262</v>
      </c>
      <c r="B893" s="3">
        <v>45680</v>
      </c>
      <c r="C893" s="1" t="s">
        <v>193</v>
      </c>
      <c r="D893" s="1">
        <v>1</v>
      </c>
      <c r="E893" s="1" t="s">
        <v>276</v>
      </c>
      <c r="F893" s="1" t="s">
        <v>76</v>
      </c>
      <c r="G893" s="1" t="s">
        <v>64</v>
      </c>
      <c r="H893" s="1" t="s">
        <v>24</v>
      </c>
      <c r="I893" s="1" t="s">
        <v>44</v>
      </c>
      <c r="J893" s="1">
        <v>6</v>
      </c>
      <c r="K893" s="1">
        <v>909.36</v>
      </c>
      <c r="L893" s="1">
        <v>0.1</v>
      </c>
      <c r="M893" s="1">
        <v>5456.16</v>
      </c>
      <c r="N893" s="1">
        <v>545.61599999999999</v>
      </c>
      <c r="O893" s="1">
        <v>4910.5439999999999</v>
      </c>
      <c r="P893" s="1">
        <v>2700.7991999999999</v>
      </c>
      <c r="Q893" s="1">
        <v>2209.7447999999999</v>
      </c>
      <c r="R893" s="1">
        <v>45</v>
      </c>
      <c r="S893" s="1" t="s">
        <v>60</v>
      </c>
    </row>
    <row r="894" spans="1:19" x14ac:dyDescent="0.35">
      <c r="A894" s="1" t="s">
        <v>1263</v>
      </c>
      <c r="B894" s="3">
        <v>45760</v>
      </c>
      <c r="C894" s="1" t="s">
        <v>20</v>
      </c>
      <c r="D894" s="1">
        <v>4</v>
      </c>
      <c r="E894" s="1" t="s">
        <v>114</v>
      </c>
      <c r="F894" s="1" t="s">
        <v>30</v>
      </c>
      <c r="G894" s="1" t="s">
        <v>38</v>
      </c>
      <c r="H894" s="1" t="s">
        <v>24</v>
      </c>
      <c r="I894" s="1" t="s">
        <v>25</v>
      </c>
      <c r="J894" s="1">
        <v>7</v>
      </c>
      <c r="K894" s="1">
        <v>3030.35</v>
      </c>
      <c r="L894" s="1">
        <v>0.05</v>
      </c>
      <c r="M894" s="1">
        <v>21212.45</v>
      </c>
      <c r="N894" s="1">
        <v>1060.6224999999999</v>
      </c>
      <c r="O894" s="1">
        <v>20151.827499999999</v>
      </c>
      <c r="P894" s="1">
        <v>11083.505125</v>
      </c>
      <c r="Q894" s="1">
        <v>9068.3223749999997</v>
      </c>
      <c r="R894" s="1">
        <v>45</v>
      </c>
      <c r="S894" s="1" t="s">
        <v>73</v>
      </c>
    </row>
    <row r="895" spans="1:19" x14ac:dyDescent="0.35">
      <c r="A895" s="1" t="s">
        <v>1264</v>
      </c>
      <c r="B895" s="3">
        <v>45954</v>
      </c>
      <c r="C895" s="1" t="s">
        <v>35</v>
      </c>
      <c r="D895" s="1">
        <v>10</v>
      </c>
      <c r="E895" s="1" t="s">
        <v>1265</v>
      </c>
      <c r="F895" s="1" t="s">
        <v>76</v>
      </c>
      <c r="G895" s="1" t="s">
        <v>38</v>
      </c>
      <c r="H895" s="1" t="s">
        <v>53</v>
      </c>
      <c r="I895" s="1" t="s">
        <v>72</v>
      </c>
      <c r="J895" s="1">
        <v>4</v>
      </c>
      <c r="K895" s="1">
        <v>1256.77</v>
      </c>
      <c r="L895" s="1">
        <v>0.2</v>
      </c>
      <c r="M895" s="1">
        <v>5027.08</v>
      </c>
      <c r="N895" s="1">
        <v>1005.4160000000001</v>
      </c>
      <c r="O895" s="1">
        <v>4021.6640000000002</v>
      </c>
      <c r="P895" s="1">
        <v>2332.5651200000002</v>
      </c>
      <c r="Q895" s="1">
        <v>1689.09888</v>
      </c>
      <c r="R895" s="1">
        <v>42.000000000000007</v>
      </c>
      <c r="S895" s="1" t="s">
        <v>73</v>
      </c>
    </row>
    <row r="896" spans="1:19" x14ac:dyDescent="0.35">
      <c r="A896" s="1" t="s">
        <v>1266</v>
      </c>
      <c r="B896" s="3">
        <v>45976</v>
      </c>
      <c r="C896" s="1" t="s">
        <v>56</v>
      </c>
      <c r="D896" s="1">
        <v>11</v>
      </c>
      <c r="E896" s="1" t="s">
        <v>83</v>
      </c>
      <c r="F896" s="1" t="s">
        <v>76</v>
      </c>
      <c r="G896" s="1" t="s">
        <v>23</v>
      </c>
      <c r="H896" s="1" t="s">
        <v>31</v>
      </c>
      <c r="I896" s="1" t="s">
        <v>59</v>
      </c>
      <c r="J896" s="1">
        <v>6</v>
      </c>
      <c r="K896" s="1">
        <v>2966.56</v>
      </c>
      <c r="L896" s="1">
        <v>0.15</v>
      </c>
      <c r="M896" s="1">
        <v>17799.36</v>
      </c>
      <c r="N896" s="1">
        <v>2669.904</v>
      </c>
      <c r="O896" s="1">
        <v>15129.456</v>
      </c>
      <c r="P896" s="1">
        <v>7867.3171200000006</v>
      </c>
      <c r="Q896" s="1">
        <v>7262.1388800000004</v>
      </c>
      <c r="R896" s="1">
        <v>48</v>
      </c>
      <c r="S896" s="1" t="s">
        <v>93</v>
      </c>
    </row>
    <row r="897" spans="1:19" x14ac:dyDescent="0.35">
      <c r="A897" s="1" t="s">
        <v>1267</v>
      </c>
      <c r="B897" s="3">
        <v>45987</v>
      </c>
      <c r="C897" s="1" t="s">
        <v>56</v>
      </c>
      <c r="D897" s="1">
        <v>11</v>
      </c>
      <c r="E897" s="1" t="s">
        <v>1076</v>
      </c>
      <c r="F897" s="1" t="s">
        <v>37</v>
      </c>
      <c r="G897" s="1" t="s">
        <v>23</v>
      </c>
      <c r="H897" s="1" t="s">
        <v>77</v>
      </c>
      <c r="I897" s="1" t="s">
        <v>78</v>
      </c>
      <c r="J897" s="1">
        <v>4</v>
      </c>
      <c r="K897" s="1">
        <v>409.65</v>
      </c>
      <c r="L897" s="1">
        <v>0.1</v>
      </c>
      <c r="M897" s="1">
        <v>1638.6</v>
      </c>
      <c r="N897" s="1">
        <v>163.86</v>
      </c>
      <c r="O897" s="1">
        <v>1474.74</v>
      </c>
      <c r="P897" s="1">
        <v>1061.8127999999999</v>
      </c>
      <c r="Q897" s="1">
        <v>412.92720000000008</v>
      </c>
      <c r="R897" s="1">
        <v>28.000000000000011</v>
      </c>
      <c r="S897" s="1" t="s">
        <v>33</v>
      </c>
    </row>
    <row r="898" spans="1:19" x14ac:dyDescent="0.35">
      <c r="A898" s="1" t="s">
        <v>1268</v>
      </c>
      <c r="B898" s="3">
        <v>45815</v>
      </c>
      <c r="C898" s="1" t="s">
        <v>82</v>
      </c>
      <c r="D898" s="1">
        <v>6</v>
      </c>
      <c r="E898" s="1" t="s">
        <v>189</v>
      </c>
      <c r="F898" s="1" t="s">
        <v>58</v>
      </c>
      <c r="G898" s="1" t="s">
        <v>64</v>
      </c>
      <c r="H898" s="1" t="s">
        <v>31</v>
      </c>
      <c r="I898" s="1" t="s">
        <v>59</v>
      </c>
      <c r="J898" s="1">
        <v>7</v>
      </c>
      <c r="K898" s="1">
        <v>546.82000000000005</v>
      </c>
      <c r="L898" s="1">
        <v>0.15</v>
      </c>
      <c r="M898" s="1">
        <v>3827.74</v>
      </c>
      <c r="N898" s="1">
        <v>574.16100000000006</v>
      </c>
      <c r="O898" s="1">
        <v>3253.5790000000002</v>
      </c>
      <c r="P898" s="1">
        <v>1691.8610799999999</v>
      </c>
      <c r="Q898" s="1">
        <v>1561.71792</v>
      </c>
      <c r="R898" s="1">
        <v>48</v>
      </c>
      <c r="S898" s="1" t="s">
        <v>33</v>
      </c>
    </row>
    <row r="899" spans="1:19" x14ac:dyDescent="0.35">
      <c r="A899" s="1" t="s">
        <v>1269</v>
      </c>
      <c r="B899" s="3">
        <v>45896</v>
      </c>
      <c r="C899" s="1" t="s">
        <v>113</v>
      </c>
      <c r="D899" s="1">
        <v>8</v>
      </c>
      <c r="E899" s="1" t="s">
        <v>701</v>
      </c>
      <c r="F899" s="1" t="s">
        <v>30</v>
      </c>
      <c r="G899" s="1" t="s">
        <v>23</v>
      </c>
      <c r="H899" s="1" t="s">
        <v>39</v>
      </c>
      <c r="I899" s="1" t="s">
        <v>40</v>
      </c>
      <c r="J899" s="1">
        <v>7</v>
      </c>
      <c r="K899" s="1">
        <v>47476.65</v>
      </c>
      <c r="L899" s="1">
        <v>0.15</v>
      </c>
      <c r="M899" s="1">
        <v>332336.55</v>
      </c>
      <c r="N899" s="1">
        <v>49850.482499999998</v>
      </c>
      <c r="O899" s="1">
        <v>282486.0675</v>
      </c>
      <c r="P899" s="1">
        <v>220339.13265000001</v>
      </c>
      <c r="Q899" s="1">
        <v>62146.934849999991</v>
      </c>
      <c r="R899" s="1">
        <v>22</v>
      </c>
      <c r="S899" s="1" t="s">
        <v>73</v>
      </c>
    </row>
    <row r="900" spans="1:19" x14ac:dyDescent="0.35">
      <c r="A900" s="1" t="s">
        <v>1270</v>
      </c>
      <c r="B900" s="3">
        <v>45875</v>
      </c>
      <c r="C900" s="1" t="s">
        <v>113</v>
      </c>
      <c r="D900" s="1">
        <v>8</v>
      </c>
      <c r="E900" s="1" t="s">
        <v>240</v>
      </c>
      <c r="F900" s="1" t="s">
        <v>47</v>
      </c>
      <c r="G900" s="1" t="s">
        <v>38</v>
      </c>
      <c r="H900" s="1" t="s">
        <v>77</v>
      </c>
      <c r="I900" s="1" t="s">
        <v>201</v>
      </c>
      <c r="J900" s="1">
        <v>1</v>
      </c>
      <c r="K900" s="1">
        <v>131.03</v>
      </c>
      <c r="L900" s="1">
        <v>0.05</v>
      </c>
      <c r="M900" s="1">
        <v>131.03</v>
      </c>
      <c r="N900" s="1">
        <v>6.5515000000000008</v>
      </c>
      <c r="O900" s="1">
        <v>124.4785</v>
      </c>
      <c r="P900" s="1">
        <v>89.62451999999999</v>
      </c>
      <c r="Q900" s="1">
        <v>34.853980000000007</v>
      </c>
      <c r="R900" s="1">
        <v>28.000000000000011</v>
      </c>
      <c r="S900" s="1" t="s">
        <v>73</v>
      </c>
    </row>
    <row r="901" spans="1:19" x14ac:dyDescent="0.35">
      <c r="A901" s="1" t="s">
        <v>1271</v>
      </c>
      <c r="B901" s="3">
        <v>45747</v>
      </c>
      <c r="C901" s="1" t="s">
        <v>28</v>
      </c>
      <c r="D901" s="1">
        <v>3</v>
      </c>
      <c r="E901" s="1" t="s">
        <v>89</v>
      </c>
      <c r="F901" s="1" t="s">
        <v>43</v>
      </c>
      <c r="G901" s="1" t="s">
        <v>64</v>
      </c>
      <c r="H901" s="1" t="s">
        <v>77</v>
      </c>
      <c r="I901" s="1" t="s">
        <v>148</v>
      </c>
      <c r="J901" s="1">
        <v>6</v>
      </c>
      <c r="K901" s="1">
        <v>236.51</v>
      </c>
      <c r="L901" s="1">
        <v>0.1</v>
      </c>
      <c r="M901" s="1">
        <v>1419.06</v>
      </c>
      <c r="N901" s="1">
        <v>141.90600000000001</v>
      </c>
      <c r="O901" s="1">
        <v>1277.154</v>
      </c>
      <c r="P901" s="1">
        <v>919.55088000000001</v>
      </c>
      <c r="Q901" s="1">
        <v>357.60311999999999</v>
      </c>
      <c r="R901" s="1">
        <v>28</v>
      </c>
      <c r="S901" s="1" t="s">
        <v>60</v>
      </c>
    </row>
    <row r="902" spans="1:19" x14ac:dyDescent="0.35">
      <c r="A902" s="1" t="s">
        <v>1272</v>
      </c>
      <c r="B902" s="3">
        <v>45926</v>
      </c>
      <c r="C902" s="1" t="s">
        <v>50</v>
      </c>
      <c r="D902" s="1">
        <v>9</v>
      </c>
      <c r="E902" s="1" t="s">
        <v>443</v>
      </c>
      <c r="F902" s="1" t="s">
        <v>47</v>
      </c>
      <c r="G902" s="1" t="s">
        <v>64</v>
      </c>
      <c r="H902" s="1" t="s">
        <v>99</v>
      </c>
      <c r="I902" s="1" t="s">
        <v>100</v>
      </c>
      <c r="J902" s="1">
        <v>3</v>
      </c>
      <c r="K902" s="1">
        <v>17264.57</v>
      </c>
      <c r="L902" s="1">
        <v>0.1</v>
      </c>
      <c r="M902" s="1">
        <v>51793.71</v>
      </c>
      <c r="N902" s="1">
        <v>5179.3710000000001</v>
      </c>
      <c r="O902" s="1">
        <v>46614.339</v>
      </c>
      <c r="P902" s="1">
        <v>31697.750520000001</v>
      </c>
      <c r="Q902" s="1">
        <v>14916.58848</v>
      </c>
      <c r="R902" s="1">
        <v>32</v>
      </c>
      <c r="S902" s="1" t="s">
        <v>93</v>
      </c>
    </row>
    <row r="903" spans="1:19" x14ac:dyDescent="0.35">
      <c r="A903" s="1" t="s">
        <v>1273</v>
      </c>
      <c r="B903" s="3">
        <v>46010</v>
      </c>
      <c r="C903" s="1" t="s">
        <v>67</v>
      </c>
      <c r="D903" s="1">
        <v>12</v>
      </c>
      <c r="E903" s="1" t="s">
        <v>495</v>
      </c>
      <c r="F903" s="1" t="s">
        <v>47</v>
      </c>
      <c r="G903" s="1" t="s">
        <v>38</v>
      </c>
      <c r="H903" s="1" t="s">
        <v>24</v>
      </c>
      <c r="I903" s="1" t="s">
        <v>25</v>
      </c>
      <c r="J903" s="1">
        <v>3</v>
      </c>
      <c r="K903" s="1">
        <v>1071.78</v>
      </c>
      <c r="L903" s="1">
        <v>0.3</v>
      </c>
      <c r="M903" s="1">
        <v>3215.34</v>
      </c>
      <c r="N903" s="1">
        <v>964.60199999999998</v>
      </c>
      <c r="O903" s="1">
        <v>2250.7379999999998</v>
      </c>
      <c r="P903" s="1">
        <v>1237.9059</v>
      </c>
      <c r="Q903" s="1">
        <v>1012.8321</v>
      </c>
      <c r="R903" s="1">
        <v>44.999999999999993</v>
      </c>
      <c r="S903" s="1" t="s">
        <v>26</v>
      </c>
    </row>
    <row r="904" spans="1:19" x14ac:dyDescent="0.35">
      <c r="A904" s="1" t="s">
        <v>1274</v>
      </c>
      <c r="B904" s="3">
        <v>45928</v>
      </c>
      <c r="C904" s="1" t="s">
        <v>50</v>
      </c>
      <c r="D904" s="1">
        <v>9</v>
      </c>
      <c r="E904" s="1" t="s">
        <v>424</v>
      </c>
      <c r="F904" s="1" t="s">
        <v>47</v>
      </c>
      <c r="G904" s="1" t="s">
        <v>64</v>
      </c>
      <c r="H904" s="1" t="s">
        <v>77</v>
      </c>
      <c r="I904" s="1" t="s">
        <v>90</v>
      </c>
      <c r="J904" s="1">
        <v>4</v>
      </c>
      <c r="K904" s="1">
        <v>380.88</v>
      </c>
      <c r="L904" s="1">
        <v>0.15</v>
      </c>
      <c r="M904" s="1">
        <v>1523.52</v>
      </c>
      <c r="N904" s="1">
        <v>228.52799999999999</v>
      </c>
      <c r="O904" s="1">
        <v>1294.992</v>
      </c>
      <c r="P904" s="1">
        <v>932.39423999999997</v>
      </c>
      <c r="Q904" s="1">
        <v>362.59775999999999</v>
      </c>
      <c r="R904" s="1">
        <v>28</v>
      </c>
      <c r="S904" s="1" t="s">
        <v>60</v>
      </c>
    </row>
    <row r="905" spans="1:19" x14ac:dyDescent="0.35">
      <c r="A905" s="1" t="s">
        <v>1275</v>
      </c>
      <c r="B905" s="3">
        <v>45780</v>
      </c>
      <c r="C905" s="1" t="s">
        <v>97</v>
      </c>
      <c r="D905" s="1">
        <v>5</v>
      </c>
      <c r="E905" s="1" t="s">
        <v>179</v>
      </c>
      <c r="F905" s="1" t="s">
        <v>69</v>
      </c>
      <c r="G905" s="1" t="s">
        <v>38</v>
      </c>
      <c r="H905" s="1" t="s">
        <v>31</v>
      </c>
      <c r="I905" s="1" t="s">
        <v>65</v>
      </c>
      <c r="J905" s="1">
        <v>3</v>
      </c>
      <c r="K905" s="1">
        <v>1712.24</v>
      </c>
      <c r="L905" s="1">
        <v>0.05</v>
      </c>
      <c r="M905" s="1">
        <v>5136.72</v>
      </c>
      <c r="N905" s="1">
        <v>256.83600000000001</v>
      </c>
      <c r="O905" s="1">
        <v>4879.884</v>
      </c>
      <c r="P905" s="1">
        <v>2537.5396799999999</v>
      </c>
      <c r="Q905" s="1">
        <v>2342.3443200000002</v>
      </c>
      <c r="R905" s="1">
        <v>47.999999999999993</v>
      </c>
      <c r="S905" s="1" t="s">
        <v>26</v>
      </c>
    </row>
    <row r="906" spans="1:19" x14ac:dyDescent="0.35">
      <c r="A906" s="1" t="s">
        <v>1276</v>
      </c>
      <c r="B906" s="3">
        <v>45779</v>
      </c>
      <c r="C906" s="1" t="s">
        <v>97</v>
      </c>
      <c r="D906" s="1">
        <v>5</v>
      </c>
      <c r="E906" s="1" t="s">
        <v>198</v>
      </c>
      <c r="F906" s="1" t="s">
        <v>58</v>
      </c>
      <c r="G906" s="1" t="s">
        <v>23</v>
      </c>
      <c r="H906" s="1" t="s">
        <v>53</v>
      </c>
      <c r="I906" s="1" t="s">
        <v>123</v>
      </c>
      <c r="J906" s="1">
        <v>2</v>
      </c>
      <c r="K906" s="1">
        <v>2408.5300000000002</v>
      </c>
      <c r="L906" s="1">
        <v>0.15</v>
      </c>
      <c r="M906" s="1">
        <v>4817.0600000000004</v>
      </c>
      <c r="N906" s="1">
        <v>722.55900000000008</v>
      </c>
      <c r="O906" s="1">
        <v>4094.5010000000002</v>
      </c>
      <c r="P906" s="1">
        <v>2374.8105799999998</v>
      </c>
      <c r="Q906" s="1">
        <v>1719.6904199999999</v>
      </c>
      <c r="R906" s="1">
        <v>42.000000000000007</v>
      </c>
      <c r="S906" s="1" t="s">
        <v>60</v>
      </c>
    </row>
    <row r="907" spans="1:19" x14ac:dyDescent="0.35">
      <c r="A907" s="1" t="s">
        <v>1277</v>
      </c>
      <c r="B907" s="3">
        <v>45725</v>
      </c>
      <c r="C907" s="1" t="s">
        <v>28</v>
      </c>
      <c r="D907" s="1">
        <v>3</v>
      </c>
      <c r="E907" s="1" t="s">
        <v>216</v>
      </c>
      <c r="F907" s="1" t="s">
        <v>47</v>
      </c>
      <c r="G907" s="1" t="s">
        <v>64</v>
      </c>
      <c r="H907" s="1" t="s">
        <v>24</v>
      </c>
      <c r="I907" s="1" t="s">
        <v>117</v>
      </c>
      <c r="J907" s="1">
        <v>5</v>
      </c>
      <c r="K907" s="1">
        <v>4790.46</v>
      </c>
      <c r="L907" s="1">
        <v>0.2</v>
      </c>
      <c r="M907" s="1">
        <v>23952.3</v>
      </c>
      <c r="N907" s="1">
        <v>4790.46</v>
      </c>
      <c r="O907" s="1">
        <v>19161.84</v>
      </c>
      <c r="P907" s="1">
        <v>10539.012000000001</v>
      </c>
      <c r="Q907" s="1">
        <v>8622.8279999999995</v>
      </c>
      <c r="R907" s="1">
        <v>44.999999999999993</v>
      </c>
      <c r="S907" s="1" t="s">
        <v>60</v>
      </c>
    </row>
    <row r="908" spans="1:19" x14ac:dyDescent="0.35">
      <c r="A908" s="1" t="s">
        <v>1278</v>
      </c>
      <c r="B908" s="3">
        <v>45855</v>
      </c>
      <c r="C908" s="1" t="s">
        <v>62</v>
      </c>
      <c r="D908" s="1">
        <v>7</v>
      </c>
      <c r="E908" s="1" t="s">
        <v>267</v>
      </c>
      <c r="F908" s="1" t="s">
        <v>22</v>
      </c>
      <c r="G908" s="1" t="s">
        <v>38</v>
      </c>
      <c r="H908" s="1" t="s">
        <v>99</v>
      </c>
      <c r="I908" s="1" t="s">
        <v>108</v>
      </c>
      <c r="J908" s="1">
        <v>3</v>
      </c>
      <c r="K908" s="1">
        <v>5043.6899999999996</v>
      </c>
      <c r="L908" s="1">
        <v>0.2</v>
      </c>
      <c r="M908" s="1">
        <v>15131.07</v>
      </c>
      <c r="N908" s="1">
        <v>3026.2139999999999</v>
      </c>
      <c r="O908" s="1">
        <v>12104.856</v>
      </c>
      <c r="P908" s="1">
        <v>8231.3020800000013</v>
      </c>
      <c r="Q908" s="1">
        <v>3873.553919999998</v>
      </c>
      <c r="R908" s="1">
        <v>31.999999999999989</v>
      </c>
      <c r="S908" s="1" t="s">
        <v>60</v>
      </c>
    </row>
    <row r="909" spans="1:19" x14ac:dyDescent="0.35">
      <c r="A909" s="1" t="s">
        <v>1279</v>
      </c>
      <c r="B909" s="3">
        <v>45822</v>
      </c>
      <c r="C909" s="1" t="s">
        <v>82</v>
      </c>
      <c r="D909" s="1">
        <v>6</v>
      </c>
      <c r="E909" s="1" t="s">
        <v>756</v>
      </c>
      <c r="F909" s="1" t="s">
        <v>37</v>
      </c>
      <c r="G909" s="1" t="s">
        <v>38</v>
      </c>
      <c r="H909" s="1" t="s">
        <v>53</v>
      </c>
      <c r="I909" s="1" t="s">
        <v>54</v>
      </c>
      <c r="J909" s="1">
        <v>7</v>
      </c>
      <c r="K909" s="1">
        <v>2337.87</v>
      </c>
      <c r="L909" s="1">
        <v>0.25</v>
      </c>
      <c r="M909" s="1">
        <v>16365.09</v>
      </c>
      <c r="N909" s="1">
        <v>4091.2725</v>
      </c>
      <c r="O909" s="1">
        <v>12273.817499999999</v>
      </c>
      <c r="P909" s="1">
        <v>7118.8141500000002</v>
      </c>
      <c r="Q909" s="1">
        <v>5155.0033500000009</v>
      </c>
      <c r="R909" s="1">
        <v>42.000000000000007</v>
      </c>
      <c r="S909" s="1" t="s">
        <v>60</v>
      </c>
    </row>
    <row r="910" spans="1:19" x14ac:dyDescent="0.35">
      <c r="A910" s="1" t="s">
        <v>1280</v>
      </c>
      <c r="B910" s="3">
        <v>45826</v>
      </c>
      <c r="C910" s="1" t="s">
        <v>82</v>
      </c>
      <c r="D910" s="1">
        <v>6</v>
      </c>
      <c r="E910" s="1" t="s">
        <v>376</v>
      </c>
      <c r="F910" s="1" t="s">
        <v>58</v>
      </c>
      <c r="G910" s="1" t="s">
        <v>23</v>
      </c>
      <c r="H910" s="1" t="s">
        <v>53</v>
      </c>
      <c r="I910" s="1" t="s">
        <v>54</v>
      </c>
      <c r="J910" s="1">
        <v>6</v>
      </c>
      <c r="K910" s="1">
        <v>1277.67</v>
      </c>
      <c r="L910" s="1">
        <v>0.1</v>
      </c>
      <c r="M910" s="1">
        <v>7666.02</v>
      </c>
      <c r="N910" s="1">
        <v>766.60200000000009</v>
      </c>
      <c r="O910" s="1">
        <v>6899.4180000000006</v>
      </c>
      <c r="P910" s="1">
        <v>4001.6624400000001</v>
      </c>
      <c r="Q910" s="1">
        <v>2897.755560000001</v>
      </c>
      <c r="R910" s="1">
        <v>42.000000000000007</v>
      </c>
      <c r="S910" s="1" t="s">
        <v>60</v>
      </c>
    </row>
    <row r="911" spans="1:19" x14ac:dyDescent="0.35">
      <c r="A911" s="1" t="s">
        <v>1281</v>
      </c>
      <c r="B911" s="3">
        <v>45680</v>
      </c>
      <c r="C911" s="1" t="s">
        <v>193</v>
      </c>
      <c r="D911" s="1">
        <v>1</v>
      </c>
      <c r="E911" s="1" t="s">
        <v>646</v>
      </c>
      <c r="F911" s="1" t="s">
        <v>111</v>
      </c>
      <c r="G911" s="1" t="s">
        <v>64</v>
      </c>
      <c r="H911" s="1" t="s">
        <v>31</v>
      </c>
      <c r="I911" s="1" t="s">
        <v>167</v>
      </c>
      <c r="J911" s="1">
        <v>6</v>
      </c>
      <c r="K911" s="1">
        <v>686.6</v>
      </c>
      <c r="L911" s="1">
        <v>0.15</v>
      </c>
      <c r="M911" s="1">
        <v>4119.6000000000004</v>
      </c>
      <c r="N911" s="1">
        <v>617.94000000000005</v>
      </c>
      <c r="O911" s="1">
        <v>3501.66</v>
      </c>
      <c r="P911" s="1">
        <v>1820.8632</v>
      </c>
      <c r="Q911" s="1">
        <v>1680.7968000000001</v>
      </c>
      <c r="R911" s="1">
        <v>48</v>
      </c>
      <c r="S911" s="1" t="s">
        <v>33</v>
      </c>
    </row>
    <row r="912" spans="1:19" x14ac:dyDescent="0.35">
      <c r="A912" s="1" t="s">
        <v>1282</v>
      </c>
      <c r="B912" s="3">
        <v>45984</v>
      </c>
      <c r="C912" s="1" t="s">
        <v>56</v>
      </c>
      <c r="D912" s="1">
        <v>11</v>
      </c>
      <c r="E912" s="1" t="s">
        <v>165</v>
      </c>
      <c r="F912" s="1" t="s">
        <v>52</v>
      </c>
      <c r="G912" s="1" t="s">
        <v>64</v>
      </c>
      <c r="H912" s="1" t="s">
        <v>53</v>
      </c>
      <c r="I912" s="1" t="s">
        <v>185</v>
      </c>
      <c r="J912" s="1">
        <v>7</v>
      </c>
      <c r="K912" s="1">
        <v>2370.58</v>
      </c>
      <c r="L912" s="1">
        <v>0.05</v>
      </c>
      <c r="M912" s="1">
        <v>16594.060000000001</v>
      </c>
      <c r="N912" s="1">
        <v>829.70299999999997</v>
      </c>
      <c r="O912" s="1">
        <v>15764.357</v>
      </c>
      <c r="P912" s="1">
        <v>9143.3270599999978</v>
      </c>
      <c r="Q912" s="1">
        <v>6621.0299400000004</v>
      </c>
      <c r="R912" s="1">
        <v>42.000000000000007</v>
      </c>
      <c r="S912" s="1" t="s">
        <v>73</v>
      </c>
    </row>
    <row r="913" spans="1:19" x14ac:dyDescent="0.35">
      <c r="A913" s="1" t="s">
        <v>1283</v>
      </c>
      <c r="B913" s="3">
        <v>45917</v>
      </c>
      <c r="C913" s="1" t="s">
        <v>50</v>
      </c>
      <c r="D913" s="1">
        <v>9</v>
      </c>
      <c r="E913" s="1" t="s">
        <v>210</v>
      </c>
      <c r="F913" s="1" t="s">
        <v>37</v>
      </c>
      <c r="G913" s="1" t="s">
        <v>64</v>
      </c>
      <c r="H913" s="1" t="s">
        <v>39</v>
      </c>
      <c r="I913" s="1" t="s">
        <v>40</v>
      </c>
      <c r="J913" s="1">
        <v>6</v>
      </c>
      <c r="K913" s="1">
        <v>27560.91</v>
      </c>
      <c r="L913" s="1">
        <v>0.15</v>
      </c>
      <c r="M913" s="1">
        <v>165365.46</v>
      </c>
      <c r="N913" s="1">
        <v>24804.819</v>
      </c>
      <c r="O913" s="1">
        <v>140560.641</v>
      </c>
      <c r="P913" s="1">
        <v>109637.29998</v>
      </c>
      <c r="Q913" s="1">
        <v>30923.341019999989</v>
      </c>
      <c r="R913" s="1">
        <v>21.999999999999989</v>
      </c>
      <c r="S913" s="1" t="s">
        <v>33</v>
      </c>
    </row>
    <row r="914" spans="1:19" x14ac:dyDescent="0.35">
      <c r="A914" s="1" t="s">
        <v>1284</v>
      </c>
      <c r="B914" s="3">
        <v>45717</v>
      </c>
      <c r="C914" s="1" t="s">
        <v>28</v>
      </c>
      <c r="D914" s="1">
        <v>3</v>
      </c>
      <c r="E914" s="1" t="s">
        <v>63</v>
      </c>
      <c r="F914" s="1" t="s">
        <v>47</v>
      </c>
      <c r="G914" s="1" t="s">
        <v>23</v>
      </c>
      <c r="H914" s="1" t="s">
        <v>39</v>
      </c>
      <c r="I914" s="1" t="s">
        <v>234</v>
      </c>
      <c r="J914" s="1">
        <v>3</v>
      </c>
      <c r="K914" s="1">
        <v>47665.25</v>
      </c>
      <c r="L914" s="1">
        <v>0.05</v>
      </c>
      <c r="M914" s="1">
        <v>142995.75</v>
      </c>
      <c r="N914" s="1">
        <v>7149.7875000000004</v>
      </c>
      <c r="O914" s="1">
        <v>135845.96249999999</v>
      </c>
      <c r="P914" s="1">
        <v>105959.85075</v>
      </c>
      <c r="Q914" s="1">
        <v>29886.11175</v>
      </c>
      <c r="R914" s="1">
        <v>22</v>
      </c>
      <c r="S914" s="1" t="s">
        <v>73</v>
      </c>
    </row>
    <row r="915" spans="1:19" x14ac:dyDescent="0.35">
      <c r="A915" s="1" t="s">
        <v>1285</v>
      </c>
      <c r="B915" s="3">
        <v>45937</v>
      </c>
      <c r="C915" s="1" t="s">
        <v>35</v>
      </c>
      <c r="D915" s="1">
        <v>10</v>
      </c>
      <c r="E915" s="1" t="s">
        <v>378</v>
      </c>
      <c r="F915" s="1" t="s">
        <v>37</v>
      </c>
      <c r="G915" s="1" t="s">
        <v>64</v>
      </c>
      <c r="H915" s="1" t="s">
        <v>53</v>
      </c>
      <c r="I915" s="1" t="s">
        <v>72</v>
      </c>
      <c r="J915" s="1">
        <v>5</v>
      </c>
      <c r="K915" s="1">
        <v>212.95</v>
      </c>
      <c r="L915" s="1">
        <v>0.15</v>
      </c>
      <c r="M915" s="1">
        <v>1064.75</v>
      </c>
      <c r="N915" s="1">
        <v>159.71250000000001</v>
      </c>
      <c r="O915" s="1">
        <v>905.03750000000002</v>
      </c>
      <c r="P915" s="1">
        <v>524.92174999999997</v>
      </c>
      <c r="Q915" s="1">
        <v>380.11574999999999</v>
      </c>
      <c r="R915" s="1">
        <v>42.000000000000007</v>
      </c>
      <c r="S915" s="1" t="s">
        <v>93</v>
      </c>
    </row>
    <row r="916" spans="1:19" x14ac:dyDescent="0.35">
      <c r="A916" s="1" t="s">
        <v>1286</v>
      </c>
      <c r="B916" s="3">
        <v>45906</v>
      </c>
      <c r="C916" s="1" t="s">
        <v>50</v>
      </c>
      <c r="D916" s="1">
        <v>9</v>
      </c>
      <c r="E916" s="1" t="s">
        <v>1287</v>
      </c>
      <c r="F916" s="1" t="s">
        <v>76</v>
      </c>
      <c r="G916" s="1" t="s">
        <v>38</v>
      </c>
      <c r="H916" s="1" t="s">
        <v>39</v>
      </c>
      <c r="I916" s="1" t="s">
        <v>214</v>
      </c>
      <c r="J916" s="1">
        <v>3</v>
      </c>
      <c r="K916" s="1">
        <v>23121.25</v>
      </c>
      <c r="L916" s="1">
        <v>0.25</v>
      </c>
      <c r="M916" s="1">
        <v>69363.75</v>
      </c>
      <c r="N916" s="1">
        <v>17340.9375</v>
      </c>
      <c r="O916" s="1">
        <v>52022.8125</v>
      </c>
      <c r="P916" s="1">
        <v>40577.793749999997</v>
      </c>
      <c r="Q916" s="1">
        <v>11445.018749999999</v>
      </c>
      <c r="R916" s="1">
        <v>21.999999999999989</v>
      </c>
      <c r="S916" s="1" t="s">
        <v>93</v>
      </c>
    </row>
    <row r="917" spans="1:19" x14ac:dyDescent="0.35">
      <c r="A917" s="1" t="s">
        <v>1288</v>
      </c>
      <c r="B917" s="3">
        <v>45798</v>
      </c>
      <c r="C917" s="1" t="s">
        <v>97</v>
      </c>
      <c r="D917" s="1">
        <v>5</v>
      </c>
      <c r="E917" s="1" t="s">
        <v>608</v>
      </c>
      <c r="F917" s="1" t="s">
        <v>52</v>
      </c>
      <c r="G917" s="1" t="s">
        <v>38</v>
      </c>
      <c r="H917" s="1" t="s">
        <v>39</v>
      </c>
      <c r="I917" s="1" t="s">
        <v>155</v>
      </c>
      <c r="J917" s="1">
        <v>3</v>
      </c>
      <c r="K917" s="1">
        <v>26569.43</v>
      </c>
      <c r="L917" s="1">
        <v>0.2</v>
      </c>
      <c r="M917" s="1">
        <v>79708.290000000008</v>
      </c>
      <c r="N917" s="1">
        <v>15941.657999999999</v>
      </c>
      <c r="O917" s="1">
        <v>63766.632000000012</v>
      </c>
      <c r="P917" s="1">
        <v>49737.972960000006</v>
      </c>
      <c r="Q917" s="1">
        <v>14028.65904</v>
      </c>
      <c r="R917" s="1">
        <v>22</v>
      </c>
      <c r="S917" s="1" t="s">
        <v>26</v>
      </c>
    </row>
    <row r="918" spans="1:19" x14ac:dyDescent="0.35">
      <c r="A918" s="1" t="s">
        <v>1289</v>
      </c>
      <c r="B918" s="3">
        <v>45785</v>
      </c>
      <c r="C918" s="1" t="s">
        <v>97</v>
      </c>
      <c r="D918" s="1">
        <v>5</v>
      </c>
      <c r="E918" s="1" t="s">
        <v>1290</v>
      </c>
      <c r="F918" s="1" t="s">
        <v>22</v>
      </c>
      <c r="G918" s="1" t="s">
        <v>23</v>
      </c>
      <c r="H918" s="1" t="s">
        <v>99</v>
      </c>
      <c r="I918" s="1" t="s">
        <v>145</v>
      </c>
      <c r="J918" s="1">
        <v>5</v>
      </c>
      <c r="K918" s="1">
        <v>5338.44</v>
      </c>
      <c r="L918" s="1">
        <v>0.05</v>
      </c>
      <c r="M918" s="1">
        <v>26692.2</v>
      </c>
      <c r="N918" s="1">
        <v>1334.61</v>
      </c>
      <c r="O918" s="1">
        <v>25357.59</v>
      </c>
      <c r="P918" s="1">
        <v>17243.161199999999</v>
      </c>
      <c r="Q918" s="1">
        <v>8114.4287999999979</v>
      </c>
      <c r="R918" s="1">
        <v>32</v>
      </c>
      <c r="S918" s="1" t="s">
        <v>73</v>
      </c>
    </row>
    <row r="919" spans="1:19" x14ac:dyDescent="0.35">
      <c r="A919" s="1" t="s">
        <v>1291</v>
      </c>
      <c r="B919" s="3">
        <v>45994</v>
      </c>
      <c r="C919" s="1" t="s">
        <v>67</v>
      </c>
      <c r="D919" s="1">
        <v>12</v>
      </c>
      <c r="E919" s="1" t="s">
        <v>321</v>
      </c>
      <c r="F919" s="1" t="s">
        <v>76</v>
      </c>
      <c r="G919" s="1" t="s">
        <v>23</v>
      </c>
      <c r="H919" s="1" t="s">
        <v>77</v>
      </c>
      <c r="I919" s="1" t="s">
        <v>148</v>
      </c>
      <c r="J919" s="1">
        <v>5</v>
      </c>
      <c r="K919" s="1">
        <v>158.74</v>
      </c>
      <c r="L919" s="1">
        <v>0.2</v>
      </c>
      <c r="M919" s="1">
        <v>793.7</v>
      </c>
      <c r="N919" s="1">
        <v>158.74</v>
      </c>
      <c r="O919" s="1">
        <v>634.96</v>
      </c>
      <c r="P919" s="1">
        <v>457.1712</v>
      </c>
      <c r="Q919" s="1">
        <v>177.78880000000001</v>
      </c>
      <c r="R919" s="1">
        <v>28</v>
      </c>
      <c r="S919" s="1" t="s">
        <v>73</v>
      </c>
    </row>
    <row r="920" spans="1:19" x14ac:dyDescent="0.35">
      <c r="A920" s="1" t="s">
        <v>1292</v>
      </c>
      <c r="B920" s="3">
        <v>45716</v>
      </c>
      <c r="C920" s="1" t="s">
        <v>42</v>
      </c>
      <c r="D920" s="1">
        <v>2</v>
      </c>
      <c r="E920" s="1" t="s">
        <v>1050</v>
      </c>
      <c r="F920" s="1" t="s">
        <v>76</v>
      </c>
      <c r="G920" s="1" t="s">
        <v>64</v>
      </c>
      <c r="H920" s="1" t="s">
        <v>24</v>
      </c>
      <c r="I920" s="1" t="s">
        <v>117</v>
      </c>
      <c r="J920" s="1">
        <v>1</v>
      </c>
      <c r="K920" s="1">
        <v>3401.23</v>
      </c>
      <c r="L920" s="1">
        <v>0.2</v>
      </c>
      <c r="M920" s="1">
        <v>3401.23</v>
      </c>
      <c r="N920" s="1">
        <v>680.24600000000009</v>
      </c>
      <c r="O920" s="1">
        <v>2720.9839999999999</v>
      </c>
      <c r="P920" s="1">
        <v>1496.5411999999999</v>
      </c>
      <c r="Q920" s="1">
        <v>1224.4428</v>
      </c>
      <c r="R920" s="1">
        <v>44.999999999999993</v>
      </c>
      <c r="S920" s="1" t="s">
        <v>33</v>
      </c>
    </row>
    <row r="921" spans="1:19" x14ac:dyDescent="0.35">
      <c r="A921" s="1" t="s">
        <v>1293</v>
      </c>
      <c r="B921" s="3">
        <v>45726</v>
      </c>
      <c r="C921" s="1" t="s">
        <v>28</v>
      </c>
      <c r="D921" s="1">
        <v>3</v>
      </c>
      <c r="E921" s="1" t="s">
        <v>89</v>
      </c>
      <c r="F921" s="1" t="s">
        <v>69</v>
      </c>
      <c r="G921" s="1" t="s">
        <v>64</v>
      </c>
      <c r="H921" s="1" t="s">
        <v>77</v>
      </c>
      <c r="I921" s="1" t="s">
        <v>90</v>
      </c>
      <c r="J921" s="1">
        <v>1</v>
      </c>
      <c r="K921" s="1">
        <v>123.89</v>
      </c>
      <c r="L921" s="1">
        <v>0.15</v>
      </c>
      <c r="M921" s="1">
        <v>123.89</v>
      </c>
      <c r="N921" s="1">
        <v>18.583500000000001</v>
      </c>
      <c r="O921" s="1">
        <v>105.3065</v>
      </c>
      <c r="P921" s="1">
        <v>75.820679999999996</v>
      </c>
      <c r="Q921" s="1">
        <v>29.48582</v>
      </c>
      <c r="R921" s="1">
        <v>28</v>
      </c>
      <c r="S921" s="1" t="s">
        <v>33</v>
      </c>
    </row>
    <row r="922" spans="1:19" x14ac:dyDescent="0.35">
      <c r="A922" s="1" t="s">
        <v>1294</v>
      </c>
      <c r="B922" s="3">
        <v>45659</v>
      </c>
      <c r="C922" s="1" t="s">
        <v>193</v>
      </c>
      <c r="D922" s="1">
        <v>1</v>
      </c>
      <c r="E922" s="1" t="s">
        <v>171</v>
      </c>
      <c r="F922" s="1" t="s">
        <v>76</v>
      </c>
      <c r="G922" s="1" t="s">
        <v>23</v>
      </c>
      <c r="H922" s="1" t="s">
        <v>39</v>
      </c>
      <c r="I922" s="1" t="s">
        <v>40</v>
      </c>
      <c r="J922" s="1">
        <v>1</v>
      </c>
      <c r="K922" s="1">
        <v>32528.04</v>
      </c>
      <c r="L922" s="1">
        <v>0.05</v>
      </c>
      <c r="M922" s="1">
        <v>32528.04</v>
      </c>
      <c r="N922" s="1">
        <v>1626.402</v>
      </c>
      <c r="O922" s="1">
        <v>30901.637999999999</v>
      </c>
      <c r="P922" s="1">
        <v>24103.27764</v>
      </c>
      <c r="Q922" s="1">
        <v>6798.3603599999988</v>
      </c>
      <c r="R922" s="1">
        <v>22</v>
      </c>
      <c r="S922" s="1" t="s">
        <v>26</v>
      </c>
    </row>
    <row r="923" spans="1:19" x14ac:dyDescent="0.35">
      <c r="A923" s="1" t="s">
        <v>1295</v>
      </c>
      <c r="B923" s="3">
        <v>45714</v>
      </c>
      <c r="C923" s="1" t="s">
        <v>42</v>
      </c>
      <c r="D923" s="1">
        <v>2</v>
      </c>
      <c r="E923" s="1" t="s">
        <v>1102</v>
      </c>
      <c r="F923" s="1" t="s">
        <v>76</v>
      </c>
      <c r="G923" s="1" t="s">
        <v>38</v>
      </c>
      <c r="H923" s="1" t="s">
        <v>99</v>
      </c>
      <c r="I923" s="1" t="s">
        <v>108</v>
      </c>
      <c r="J923" s="1">
        <v>4</v>
      </c>
      <c r="K923" s="1">
        <v>11553.86</v>
      </c>
      <c r="L923" s="1">
        <v>0.05</v>
      </c>
      <c r="M923" s="1">
        <v>46215.44</v>
      </c>
      <c r="N923" s="1">
        <v>2310.7719999999999</v>
      </c>
      <c r="O923" s="1">
        <v>43904.668000000012</v>
      </c>
      <c r="P923" s="1">
        <v>29855.17424</v>
      </c>
      <c r="Q923" s="1">
        <v>14049.493759999999</v>
      </c>
      <c r="R923" s="1">
        <v>32</v>
      </c>
      <c r="S923" s="1" t="s">
        <v>93</v>
      </c>
    </row>
    <row r="924" spans="1:19" x14ac:dyDescent="0.35">
      <c r="A924" s="1" t="s">
        <v>1296</v>
      </c>
      <c r="B924" s="3">
        <v>45849</v>
      </c>
      <c r="C924" s="1" t="s">
        <v>62</v>
      </c>
      <c r="D924" s="1">
        <v>7</v>
      </c>
      <c r="E924" s="1" t="s">
        <v>1258</v>
      </c>
      <c r="F924" s="1" t="s">
        <v>52</v>
      </c>
      <c r="G924" s="1" t="s">
        <v>64</v>
      </c>
      <c r="H924" s="1" t="s">
        <v>77</v>
      </c>
      <c r="I924" s="1" t="s">
        <v>148</v>
      </c>
      <c r="J924" s="1">
        <v>6</v>
      </c>
      <c r="K924" s="1">
        <v>187.91</v>
      </c>
      <c r="L924" s="1">
        <v>0.1</v>
      </c>
      <c r="M924" s="1">
        <v>1127.46</v>
      </c>
      <c r="N924" s="1">
        <v>112.746</v>
      </c>
      <c r="O924" s="1">
        <v>1014.7140000000001</v>
      </c>
      <c r="P924" s="1">
        <v>730.59407999999996</v>
      </c>
      <c r="Q924" s="1">
        <v>284.11992000000009</v>
      </c>
      <c r="R924" s="1">
        <v>28.000000000000011</v>
      </c>
      <c r="S924" s="1" t="s">
        <v>33</v>
      </c>
    </row>
    <row r="925" spans="1:19" x14ac:dyDescent="0.35">
      <c r="A925" s="1" t="s">
        <v>1297</v>
      </c>
      <c r="B925" s="3">
        <v>45718</v>
      </c>
      <c r="C925" s="1" t="s">
        <v>28</v>
      </c>
      <c r="D925" s="1">
        <v>3</v>
      </c>
      <c r="E925" s="1" t="s">
        <v>384</v>
      </c>
      <c r="F925" s="1" t="s">
        <v>43</v>
      </c>
      <c r="G925" s="1" t="s">
        <v>38</v>
      </c>
      <c r="H925" s="1" t="s">
        <v>77</v>
      </c>
      <c r="I925" s="1" t="s">
        <v>78</v>
      </c>
      <c r="J925" s="1">
        <v>3</v>
      </c>
      <c r="K925" s="1">
        <v>272.86</v>
      </c>
      <c r="L925" s="1">
        <v>0.05</v>
      </c>
      <c r="M925" s="1">
        <v>818.58</v>
      </c>
      <c r="N925" s="1">
        <v>40.929000000000002</v>
      </c>
      <c r="O925" s="1">
        <v>777.65100000000007</v>
      </c>
      <c r="P925" s="1">
        <v>559.90872000000002</v>
      </c>
      <c r="Q925" s="1">
        <v>217.74228000000011</v>
      </c>
      <c r="R925" s="1">
        <v>28</v>
      </c>
      <c r="S925" s="1" t="s">
        <v>26</v>
      </c>
    </row>
    <row r="926" spans="1:19" x14ac:dyDescent="0.35">
      <c r="A926" s="1" t="s">
        <v>1298</v>
      </c>
      <c r="B926" s="3">
        <v>45838</v>
      </c>
      <c r="C926" s="1" t="s">
        <v>82</v>
      </c>
      <c r="D926" s="1">
        <v>6</v>
      </c>
      <c r="E926" s="1" t="s">
        <v>553</v>
      </c>
      <c r="F926" s="1" t="s">
        <v>58</v>
      </c>
      <c r="G926" s="1" t="s">
        <v>38</v>
      </c>
      <c r="H926" s="1" t="s">
        <v>31</v>
      </c>
      <c r="I926" s="1" t="s">
        <v>167</v>
      </c>
      <c r="J926" s="1">
        <v>6</v>
      </c>
      <c r="K926" s="1">
        <v>3476.14</v>
      </c>
      <c r="L926" s="1">
        <v>0.2</v>
      </c>
      <c r="M926" s="1">
        <v>20856.84</v>
      </c>
      <c r="N926" s="1">
        <v>4171.3680000000004</v>
      </c>
      <c r="O926" s="1">
        <v>16685.472000000002</v>
      </c>
      <c r="P926" s="1">
        <v>8676.4454400000013</v>
      </c>
      <c r="Q926" s="1">
        <v>8009.0265600000002</v>
      </c>
      <c r="R926" s="1">
        <v>48</v>
      </c>
      <c r="S926" s="1" t="s">
        <v>26</v>
      </c>
    </row>
    <row r="927" spans="1:19" x14ac:dyDescent="0.35">
      <c r="A927" s="1" t="s">
        <v>1299</v>
      </c>
      <c r="B927" s="3">
        <v>45769</v>
      </c>
      <c r="C927" s="1" t="s">
        <v>20</v>
      </c>
      <c r="D927" s="1">
        <v>4</v>
      </c>
      <c r="E927" s="1" t="s">
        <v>127</v>
      </c>
      <c r="F927" s="1" t="s">
        <v>69</v>
      </c>
      <c r="G927" s="1" t="s">
        <v>64</v>
      </c>
      <c r="H927" s="1" t="s">
        <v>24</v>
      </c>
      <c r="I927" s="1" t="s">
        <v>139</v>
      </c>
      <c r="J927" s="1">
        <v>4</v>
      </c>
      <c r="K927" s="1">
        <v>5063.33</v>
      </c>
      <c r="L927" s="1">
        <v>0.1</v>
      </c>
      <c r="M927" s="1">
        <v>20253.32</v>
      </c>
      <c r="N927" s="1">
        <v>2025.3320000000001</v>
      </c>
      <c r="O927" s="1">
        <v>18227.988000000001</v>
      </c>
      <c r="P927" s="1">
        <v>10025.393400000001</v>
      </c>
      <c r="Q927" s="1">
        <v>8202.5946000000004</v>
      </c>
      <c r="R927" s="1">
        <v>45</v>
      </c>
      <c r="S927" s="1" t="s">
        <v>26</v>
      </c>
    </row>
    <row r="928" spans="1:19" x14ac:dyDescent="0.35">
      <c r="A928" s="1" t="s">
        <v>1300</v>
      </c>
      <c r="B928" s="3">
        <v>45772</v>
      </c>
      <c r="C928" s="1" t="s">
        <v>20</v>
      </c>
      <c r="D928" s="1">
        <v>4</v>
      </c>
      <c r="E928" s="1" t="s">
        <v>657</v>
      </c>
      <c r="F928" s="1" t="s">
        <v>69</v>
      </c>
      <c r="G928" s="1" t="s">
        <v>23</v>
      </c>
      <c r="H928" s="1" t="s">
        <v>53</v>
      </c>
      <c r="I928" s="1" t="s">
        <v>185</v>
      </c>
      <c r="J928" s="1">
        <v>5</v>
      </c>
      <c r="K928" s="1">
        <v>1649.82</v>
      </c>
      <c r="L928" s="1">
        <v>0</v>
      </c>
      <c r="M928" s="1">
        <v>8249.1</v>
      </c>
      <c r="N928" s="1">
        <v>0</v>
      </c>
      <c r="O928" s="1">
        <v>8249.1</v>
      </c>
      <c r="P928" s="1">
        <v>4784.4780000000001</v>
      </c>
      <c r="Q928" s="1">
        <v>3464.6219999999998</v>
      </c>
      <c r="R928" s="1">
        <v>42.000000000000007</v>
      </c>
      <c r="S928" s="1" t="s">
        <v>93</v>
      </c>
    </row>
    <row r="929" spans="1:19" x14ac:dyDescent="0.35">
      <c r="A929" s="1" t="s">
        <v>1301</v>
      </c>
      <c r="B929" s="3">
        <v>45811</v>
      </c>
      <c r="C929" s="1" t="s">
        <v>82</v>
      </c>
      <c r="D929" s="1">
        <v>6</v>
      </c>
      <c r="E929" s="1" t="s">
        <v>668</v>
      </c>
      <c r="F929" s="1" t="s">
        <v>52</v>
      </c>
      <c r="G929" s="1" t="s">
        <v>64</v>
      </c>
      <c r="H929" s="1" t="s">
        <v>77</v>
      </c>
      <c r="I929" s="1" t="s">
        <v>78</v>
      </c>
      <c r="J929" s="1">
        <v>7</v>
      </c>
      <c r="K929" s="1">
        <v>1056.67</v>
      </c>
      <c r="L929" s="1">
        <v>0.15</v>
      </c>
      <c r="M929" s="1">
        <v>7396.6900000000014</v>
      </c>
      <c r="N929" s="1">
        <v>1109.5035</v>
      </c>
      <c r="O929" s="1">
        <v>6287.1865000000007</v>
      </c>
      <c r="P929" s="1">
        <v>4526.7742800000015</v>
      </c>
      <c r="Q929" s="1">
        <v>1760.4122199999999</v>
      </c>
      <c r="R929" s="1">
        <v>28</v>
      </c>
      <c r="S929" s="1" t="s">
        <v>60</v>
      </c>
    </row>
    <row r="930" spans="1:19" x14ac:dyDescent="0.35">
      <c r="A930" s="1" t="s">
        <v>1302</v>
      </c>
      <c r="B930" s="3">
        <v>45846</v>
      </c>
      <c r="C930" s="1" t="s">
        <v>62</v>
      </c>
      <c r="D930" s="1">
        <v>7</v>
      </c>
      <c r="E930" s="1" t="s">
        <v>894</v>
      </c>
      <c r="F930" s="1" t="s">
        <v>37</v>
      </c>
      <c r="G930" s="1" t="s">
        <v>64</v>
      </c>
      <c r="H930" s="1" t="s">
        <v>53</v>
      </c>
      <c r="I930" s="1" t="s">
        <v>185</v>
      </c>
      <c r="J930" s="1">
        <v>2</v>
      </c>
      <c r="K930" s="1">
        <v>1345.99</v>
      </c>
      <c r="L930" s="1">
        <v>0.05</v>
      </c>
      <c r="M930" s="1">
        <v>2691.98</v>
      </c>
      <c r="N930" s="1">
        <v>134.59899999999999</v>
      </c>
      <c r="O930" s="1">
        <v>2557.3809999999999</v>
      </c>
      <c r="P930" s="1">
        <v>1483.28098</v>
      </c>
      <c r="Q930" s="1">
        <v>1074.1000200000001</v>
      </c>
      <c r="R930" s="1">
        <v>42.000000000000007</v>
      </c>
      <c r="S930" s="1" t="s">
        <v>60</v>
      </c>
    </row>
    <row r="931" spans="1:19" x14ac:dyDescent="0.35">
      <c r="A931" s="1" t="s">
        <v>1303</v>
      </c>
      <c r="B931" s="3">
        <v>45852</v>
      </c>
      <c r="C931" s="1" t="s">
        <v>62</v>
      </c>
      <c r="D931" s="1">
        <v>7</v>
      </c>
      <c r="E931" s="1" t="s">
        <v>95</v>
      </c>
      <c r="F931" s="1" t="s">
        <v>30</v>
      </c>
      <c r="G931" s="1" t="s">
        <v>23</v>
      </c>
      <c r="H931" s="1" t="s">
        <v>77</v>
      </c>
      <c r="I931" s="1" t="s">
        <v>201</v>
      </c>
      <c r="J931" s="1">
        <v>4</v>
      </c>
      <c r="K931" s="1">
        <v>338.64</v>
      </c>
      <c r="L931" s="1">
        <v>0.15</v>
      </c>
      <c r="M931" s="1">
        <v>1354.56</v>
      </c>
      <c r="N931" s="1">
        <v>203.184</v>
      </c>
      <c r="O931" s="1">
        <v>1151.376</v>
      </c>
      <c r="P931" s="1">
        <v>828.9907199999999</v>
      </c>
      <c r="Q931" s="1">
        <v>322.38528000000008</v>
      </c>
      <c r="R931" s="1">
        <v>28.000000000000011</v>
      </c>
      <c r="S931" s="1" t="s">
        <v>93</v>
      </c>
    </row>
    <row r="932" spans="1:19" x14ac:dyDescent="0.35">
      <c r="A932" s="1" t="s">
        <v>1304</v>
      </c>
      <c r="B932" s="3">
        <v>45744</v>
      </c>
      <c r="C932" s="1" t="s">
        <v>28</v>
      </c>
      <c r="D932" s="1">
        <v>3</v>
      </c>
      <c r="E932" s="1" t="s">
        <v>1013</v>
      </c>
      <c r="F932" s="1" t="s">
        <v>76</v>
      </c>
      <c r="G932" s="1" t="s">
        <v>23</v>
      </c>
      <c r="H932" s="1" t="s">
        <v>99</v>
      </c>
      <c r="I932" s="1" t="s">
        <v>120</v>
      </c>
      <c r="J932" s="1">
        <v>2</v>
      </c>
      <c r="K932" s="1">
        <v>16426.04</v>
      </c>
      <c r="L932" s="1">
        <v>0.05</v>
      </c>
      <c r="M932" s="1">
        <v>32852.080000000002</v>
      </c>
      <c r="N932" s="1">
        <v>1642.604</v>
      </c>
      <c r="O932" s="1">
        <v>31209.475999999999</v>
      </c>
      <c r="P932" s="1">
        <v>21222.44368</v>
      </c>
      <c r="Q932" s="1">
        <v>9987.0323199999984</v>
      </c>
      <c r="R932" s="1">
        <v>32</v>
      </c>
      <c r="S932" s="1" t="s">
        <v>33</v>
      </c>
    </row>
    <row r="933" spans="1:19" x14ac:dyDescent="0.35">
      <c r="A933" s="1" t="s">
        <v>1305</v>
      </c>
      <c r="B933" s="3">
        <v>45764</v>
      </c>
      <c r="C933" s="1" t="s">
        <v>20</v>
      </c>
      <c r="D933" s="1">
        <v>4</v>
      </c>
      <c r="E933" s="1" t="s">
        <v>930</v>
      </c>
      <c r="F933" s="1" t="s">
        <v>76</v>
      </c>
      <c r="G933" s="1" t="s">
        <v>38</v>
      </c>
      <c r="H933" s="1" t="s">
        <v>53</v>
      </c>
      <c r="I933" s="1" t="s">
        <v>72</v>
      </c>
      <c r="J933" s="1">
        <v>1</v>
      </c>
      <c r="K933" s="1">
        <v>2248.08</v>
      </c>
      <c r="L933" s="1">
        <v>0.15</v>
      </c>
      <c r="M933" s="1">
        <v>2248.08</v>
      </c>
      <c r="N933" s="1">
        <v>337.21199999999999</v>
      </c>
      <c r="O933" s="1">
        <v>1910.8679999999999</v>
      </c>
      <c r="P933" s="1">
        <v>1108.3034399999999</v>
      </c>
      <c r="Q933" s="1">
        <v>802.56456000000003</v>
      </c>
      <c r="R933" s="1">
        <v>42.000000000000007</v>
      </c>
      <c r="S933" s="1" t="s">
        <v>93</v>
      </c>
    </row>
    <row r="934" spans="1:19" x14ac:dyDescent="0.35">
      <c r="A934" s="1" t="s">
        <v>1306</v>
      </c>
      <c r="B934" s="3">
        <v>45892</v>
      </c>
      <c r="C934" s="1" t="s">
        <v>113</v>
      </c>
      <c r="D934" s="1">
        <v>8</v>
      </c>
      <c r="E934" s="1" t="s">
        <v>316</v>
      </c>
      <c r="F934" s="1" t="s">
        <v>43</v>
      </c>
      <c r="G934" s="1" t="s">
        <v>64</v>
      </c>
      <c r="H934" s="1" t="s">
        <v>24</v>
      </c>
      <c r="I934" s="1" t="s">
        <v>44</v>
      </c>
      <c r="J934" s="1">
        <v>3</v>
      </c>
      <c r="K934" s="1">
        <v>4182.8599999999997</v>
      </c>
      <c r="L934" s="1">
        <v>0.3</v>
      </c>
      <c r="M934" s="1">
        <v>12548.58</v>
      </c>
      <c r="N934" s="1">
        <v>3764.5739999999992</v>
      </c>
      <c r="O934" s="1">
        <v>8784.0059999999994</v>
      </c>
      <c r="P934" s="1">
        <v>4831.2033000000001</v>
      </c>
      <c r="Q934" s="1">
        <v>3952.8026999999988</v>
      </c>
      <c r="R934" s="1">
        <v>44.999999999999993</v>
      </c>
      <c r="S934" s="1" t="s">
        <v>33</v>
      </c>
    </row>
    <row r="935" spans="1:19" x14ac:dyDescent="0.35">
      <c r="A935" s="1" t="s">
        <v>1307</v>
      </c>
      <c r="B935" s="3">
        <v>45968</v>
      </c>
      <c r="C935" s="1" t="s">
        <v>56</v>
      </c>
      <c r="D935" s="1">
        <v>11</v>
      </c>
      <c r="E935" s="1" t="s">
        <v>418</v>
      </c>
      <c r="F935" s="1" t="s">
        <v>47</v>
      </c>
      <c r="G935" s="1" t="s">
        <v>38</v>
      </c>
      <c r="H935" s="1" t="s">
        <v>31</v>
      </c>
      <c r="I935" s="1" t="s">
        <v>59</v>
      </c>
      <c r="J935" s="1">
        <v>4</v>
      </c>
      <c r="K935" s="1">
        <v>1903.24</v>
      </c>
      <c r="L935" s="1">
        <v>0.1</v>
      </c>
      <c r="M935" s="1">
        <v>7612.96</v>
      </c>
      <c r="N935" s="1">
        <v>761.29600000000005</v>
      </c>
      <c r="O935" s="1">
        <v>6851.6639999999998</v>
      </c>
      <c r="P935" s="1">
        <v>3562.86528</v>
      </c>
      <c r="Q935" s="1">
        <v>3288.7987199999998</v>
      </c>
      <c r="R935" s="1">
        <v>48</v>
      </c>
      <c r="S935" s="1" t="s">
        <v>26</v>
      </c>
    </row>
    <row r="936" spans="1:19" x14ac:dyDescent="0.35">
      <c r="A936" s="1" t="s">
        <v>1308</v>
      </c>
      <c r="B936" s="3">
        <v>45770</v>
      </c>
      <c r="C936" s="1" t="s">
        <v>20</v>
      </c>
      <c r="D936" s="1">
        <v>4</v>
      </c>
      <c r="E936" s="1" t="s">
        <v>1309</v>
      </c>
      <c r="F936" s="1" t="s">
        <v>37</v>
      </c>
      <c r="G936" s="1" t="s">
        <v>64</v>
      </c>
      <c r="H936" s="1" t="s">
        <v>24</v>
      </c>
      <c r="I936" s="1" t="s">
        <v>48</v>
      </c>
      <c r="J936" s="1">
        <v>2</v>
      </c>
      <c r="K936" s="1">
        <v>3889.4</v>
      </c>
      <c r="L936" s="1">
        <v>0.1</v>
      </c>
      <c r="M936" s="1">
        <v>7778.8</v>
      </c>
      <c r="N936" s="1">
        <v>777.88000000000011</v>
      </c>
      <c r="O936" s="1">
        <v>7000.92</v>
      </c>
      <c r="P936" s="1">
        <v>3850.5059999999999</v>
      </c>
      <c r="Q936" s="1">
        <v>3150.4140000000002</v>
      </c>
      <c r="R936" s="1">
        <v>44.999999999999993</v>
      </c>
      <c r="S936" s="1" t="s">
        <v>26</v>
      </c>
    </row>
    <row r="937" spans="1:19" x14ac:dyDescent="0.35">
      <c r="A937" s="1" t="s">
        <v>1310</v>
      </c>
      <c r="B937" s="3">
        <v>45838</v>
      </c>
      <c r="C937" s="1" t="s">
        <v>82</v>
      </c>
      <c r="D937" s="1">
        <v>6</v>
      </c>
      <c r="E937" s="1" t="s">
        <v>664</v>
      </c>
      <c r="F937" s="1" t="s">
        <v>37</v>
      </c>
      <c r="G937" s="1" t="s">
        <v>38</v>
      </c>
      <c r="H937" s="1" t="s">
        <v>24</v>
      </c>
      <c r="I937" s="1" t="s">
        <v>44</v>
      </c>
      <c r="J937" s="1">
        <v>7</v>
      </c>
      <c r="K937" s="1">
        <v>1053.4100000000001</v>
      </c>
      <c r="L937" s="1">
        <v>0.1</v>
      </c>
      <c r="M937" s="1">
        <v>7373.8700000000008</v>
      </c>
      <c r="N937" s="1">
        <v>737.38700000000017</v>
      </c>
      <c r="O937" s="1">
        <v>6636.4830000000002</v>
      </c>
      <c r="P937" s="1">
        <v>3650.06565</v>
      </c>
      <c r="Q937" s="1">
        <v>2986.4173500000002</v>
      </c>
      <c r="R937" s="1">
        <v>44.999999999999993</v>
      </c>
      <c r="S937" s="1" t="s">
        <v>60</v>
      </c>
    </row>
    <row r="938" spans="1:19" x14ac:dyDescent="0.35">
      <c r="A938" s="1" t="s">
        <v>1311</v>
      </c>
      <c r="B938" s="3">
        <v>45948</v>
      </c>
      <c r="C938" s="1" t="s">
        <v>35</v>
      </c>
      <c r="D938" s="1">
        <v>10</v>
      </c>
      <c r="E938" s="1" t="s">
        <v>529</v>
      </c>
      <c r="F938" s="1" t="s">
        <v>69</v>
      </c>
      <c r="G938" s="1" t="s">
        <v>64</v>
      </c>
      <c r="H938" s="1" t="s">
        <v>31</v>
      </c>
      <c r="I938" s="1" t="s">
        <v>190</v>
      </c>
      <c r="J938" s="1">
        <v>2</v>
      </c>
      <c r="K938" s="1">
        <v>894.23</v>
      </c>
      <c r="L938" s="1">
        <v>0</v>
      </c>
      <c r="M938" s="1">
        <v>1788.46</v>
      </c>
      <c r="N938" s="1">
        <v>0</v>
      </c>
      <c r="O938" s="1">
        <v>1788.46</v>
      </c>
      <c r="P938" s="1">
        <v>929.99920000000009</v>
      </c>
      <c r="Q938" s="1">
        <v>858.46079999999995</v>
      </c>
      <c r="R938" s="1">
        <v>48</v>
      </c>
      <c r="S938" s="1" t="s">
        <v>93</v>
      </c>
    </row>
    <row r="939" spans="1:19" x14ac:dyDescent="0.35">
      <c r="A939" s="1" t="s">
        <v>1312</v>
      </c>
      <c r="B939" s="3">
        <v>45746</v>
      </c>
      <c r="C939" s="1" t="s">
        <v>28</v>
      </c>
      <c r="D939" s="1">
        <v>3</v>
      </c>
      <c r="E939" s="1" t="s">
        <v>932</v>
      </c>
      <c r="F939" s="1" t="s">
        <v>47</v>
      </c>
      <c r="G939" s="1" t="s">
        <v>38</v>
      </c>
      <c r="H939" s="1" t="s">
        <v>39</v>
      </c>
      <c r="I939" s="1" t="s">
        <v>87</v>
      </c>
      <c r="J939" s="1">
        <v>4</v>
      </c>
      <c r="K939" s="1">
        <v>15262.26</v>
      </c>
      <c r="L939" s="1">
        <v>0.15</v>
      </c>
      <c r="M939" s="1">
        <v>61049.04</v>
      </c>
      <c r="N939" s="1">
        <v>9157.3559999999998</v>
      </c>
      <c r="O939" s="1">
        <v>51891.684000000001</v>
      </c>
      <c r="P939" s="1">
        <v>40475.51352</v>
      </c>
      <c r="Q939" s="1">
        <v>11416.170480000001</v>
      </c>
      <c r="R939" s="1">
        <v>22</v>
      </c>
      <c r="S939" s="1" t="s">
        <v>26</v>
      </c>
    </row>
    <row r="940" spans="1:19" x14ac:dyDescent="0.35">
      <c r="A940" s="1" t="s">
        <v>1313</v>
      </c>
      <c r="B940" s="3">
        <v>45998</v>
      </c>
      <c r="C940" s="1" t="s">
        <v>67</v>
      </c>
      <c r="D940" s="1">
        <v>12</v>
      </c>
      <c r="E940" s="1" t="s">
        <v>177</v>
      </c>
      <c r="F940" s="1" t="s">
        <v>111</v>
      </c>
      <c r="G940" s="1" t="s">
        <v>23</v>
      </c>
      <c r="H940" s="1" t="s">
        <v>39</v>
      </c>
      <c r="I940" s="1" t="s">
        <v>87</v>
      </c>
      <c r="J940" s="1">
        <v>7</v>
      </c>
      <c r="K940" s="1">
        <v>17588.03</v>
      </c>
      <c r="L940" s="1">
        <v>0.2</v>
      </c>
      <c r="M940" s="1">
        <v>123116.21</v>
      </c>
      <c r="N940" s="1">
        <v>24623.241999999998</v>
      </c>
      <c r="O940" s="1">
        <v>98492.967999999993</v>
      </c>
      <c r="P940" s="1">
        <v>76824.515039999998</v>
      </c>
      <c r="Q940" s="1">
        <v>21668.452959999999</v>
      </c>
      <c r="R940" s="1">
        <v>22</v>
      </c>
      <c r="S940" s="1" t="s">
        <v>73</v>
      </c>
    </row>
    <row r="941" spans="1:19" x14ac:dyDescent="0.35">
      <c r="A941" s="1" t="s">
        <v>1314</v>
      </c>
      <c r="B941" s="3">
        <v>45884</v>
      </c>
      <c r="C941" s="1" t="s">
        <v>113</v>
      </c>
      <c r="D941" s="1">
        <v>8</v>
      </c>
      <c r="E941" s="1" t="s">
        <v>990</v>
      </c>
      <c r="F941" s="1" t="s">
        <v>52</v>
      </c>
      <c r="G941" s="1" t="s">
        <v>38</v>
      </c>
      <c r="H941" s="1" t="s">
        <v>77</v>
      </c>
      <c r="I941" s="1" t="s">
        <v>148</v>
      </c>
      <c r="J941" s="1">
        <v>3</v>
      </c>
      <c r="K941" s="1">
        <v>1052.03</v>
      </c>
      <c r="L941" s="1">
        <v>0.3</v>
      </c>
      <c r="M941" s="1">
        <v>3156.09</v>
      </c>
      <c r="N941" s="1">
        <v>946.827</v>
      </c>
      <c r="O941" s="1">
        <v>2209.2629999999999</v>
      </c>
      <c r="P941" s="1">
        <v>1590.6693600000001</v>
      </c>
      <c r="Q941" s="1">
        <v>618.59364000000005</v>
      </c>
      <c r="R941" s="1">
        <v>28</v>
      </c>
      <c r="S941" s="1" t="s">
        <v>60</v>
      </c>
    </row>
    <row r="942" spans="1:19" x14ac:dyDescent="0.35">
      <c r="A942" s="1" t="s">
        <v>1315</v>
      </c>
      <c r="B942" s="3">
        <v>45799</v>
      </c>
      <c r="C942" s="1" t="s">
        <v>97</v>
      </c>
      <c r="D942" s="1">
        <v>5</v>
      </c>
      <c r="E942" s="1" t="s">
        <v>1316</v>
      </c>
      <c r="F942" s="1" t="s">
        <v>69</v>
      </c>
      <c r="G942" s="1" t="s">
        <v>23</v>
      </c>
      <c r="H942" s="1" t="s">
        <v>24</v>
      </c>
      <c r="I942" s="1" t="s">
        <v>117</v>
      </c>
      <c r="J942" s="1">
        <v>1</v>
      </c>
      <c r="K942" s="1">
        <v>2609.44</v>
      </c>
      <c r="L942" s="1">
        <v>0.2</v>
      </c>
      <c r="M942" s="1">
        <v>2609.44</v>
      </c>
      <c r="N942" s="1">
        <v>521.88800000000003</v>
      </c>
      <c r="O942" s="1">
        <v>2087.5520000000001</v>
      </c>
      <c r="P942" s="1">
        <v>1148.1536000000001</v>
      </c>
      <c r="Q942" s="1">
        <v>939.39840000000004</v>
      </c>
      <c r="R942" s="1">
        <v>45</v>
      </c>
      <c r="S942" s="1" t="s">
        <v>60</v>
      </c>
    </row>
    <row r="943" spans="1:19" x14ac:dyDescent="0.35">
      <c r="A943" s="1" t="s">
        <v>1317</v>
      </c>
      <c r="B943" s="3">
        <v>45942</v>
      </c>
      <c r="C943" s="1" t="s">
        <v>35</v>
      </c>
      <c r="D943" s="1">
        <v>10</v>
      </c>
      <c r="E943" s="1" t="s">
        <v>116</v>
      </c>
      <c r="F943" s="1" t="s">
        <v>76</v>
      </c>
      <c r="G943" s="1" t="s">
        <v>64</v>
      </c>
      <c r="H943" s="1" t="s">
        <v>31</v>
      </c>
      <c r="I943" s="1" t="s">
        <v>59</v>
      </c>
      <c r="J943" s="1">
        <v>6</v>
      </c>
      <c r="K943" s="1">
        <v>1217.95</v>
      </c>
      <c r="L943" s="1">
        <v>0</v>
      </c>
      <c r="M943" s="1">
        <v>7307.7000000000007</v>
      </c>
      <c r="N943" s="1">
        <v>0</v>
      </c>
      <c r="O943" s="1">
        <v>7307.7000000000007</v>
      </c>
      <c r="P943" s="1">
        <v>3800.0039999999999</v>
      </c>
      <c r="Q943" s="1">
        <v>3507.6959999999999</v>
      </c>
      <c r="R943" s="1">
        <v>48</v>
      </c>
      <c r="S943" s="1" t="s">
        <v>73</v>
      </c>
    </row>
    <row r="944" spans="1:19" x14ac:dyDescent="0.35">
      <c r="A944" s="1" t="s">
        <v>1318</v>
      </c>
      <c r="B944" s="3">
        <v>45731</v>
      </c>
      <c r="C944" s="1" t="s">
        <v>28</v>
      </c>
      <c r="D944" s="1">
        <v>3</v>
      </c>
      <c r="E944" s="1" t="s">
        <v>418</v>
      </c>
      <c r="F944" s="1" t="s">
        <v>47</v>
      </c>
      <c r="G944" s="1" t="s">
        <v>64</v>
      </c>
      <c r="H944" s="1" t="s">
        <v>39</v>
      </c>
      <c r="I944" s="1" t="s">
        <v>234</v>
      </c>
      <c r="J944" s="1">
        <v>7</v>
      </c>
      <c r="K944" s="1">
        <v>8456.4599999999991</v>
      </c>
      <c r="L944" s="1">
        <v>0</v>
      </c>
      <c r="M944" s="1">
        <v>59195.219999999987</v>
      </c>
      <c r="N944" s="1">
        <v>0</v>
      </c>
      <c r="O944" s="1">
        <v>59195.219999999987</v>
      </c>
      <c r="P944" s="1">
        <v>46172.2716</v>
      </c>
      <c r="Q944" s="1">
        <v>13022.94839999999</v>
      </c>
      <c r="R944" s="1">
        <v>21.999999999999989</v>
      </c>
      <c r="S944" s="1" t="s">
        <v>26</v>
      </c>
    </row>
    <row r="945" spans="1:19" x14ac:dyDescent="0.35">
      <c r="A945" s="1" t="s">
        <v>1319</v>
      </c>
      <c r="B945" s="3">
        <v>45744</v>
      </c>
      <c r="C945" s="1" t="s">
        <v>28</v>
      </c>
      <c r="D945" s="1">
        <v>3</v>
      </c>
      <c r="E945" s="1" t="s">
        <v>405</v>
      </c>
      <c r="F945" s="1" t="s">
        <v>30</v>
      </c>
      <c r="G945" s="1" t="s">
        <v>38</v>
      </c>
      <c r="H945" s="1" t="s">
        <v>31</v>
      </c>
      <c r="I945" s="1" t="s">
        <v>65</v>
      </c>
      <c r="J945" s="1">
        <v>5</v>
      </c>
      <c r="K945" s="1">
        <v>2439.58</v>
      </c>
      <c r="L945" s="1">
        <v>0.1</v>
      </c>
      <c r="M945" s="1">
        <v>12197.9</v>
      </c>
      <c r="N945" s="1">
        <v>1219.79</v>
      </c>
      <c r="O945" s="1">
        <v>10978.11</v>
      </c>
      <c r="P945" s="1">
        <v>5708.6172000000006</v>
      </c>
      <c r="Q945" s="1">
        <v>5269.4928</v>
      </c>
      <c r="R945" s="1">
        <v>48</v>
      </c>
      <c r="S945" s="1" t="s">
        <v>33</v>
      </c>
    </row>
    <row r="946" spans="1:19" x14ac:dyDescent="0.35">
      <c r="A946" s="1" t="s">
        <v>1320</v>
      </c>
      <c r="B946" s="3">
        <v>45984</v>
      </c>
      <c r="C946" s="1" t="s">
        <v>56</v>
      </c>
      <c r="D946" s="1">
        <v>11</v>
      </c>
      <c r="E946" s="1" t="s">
        <v>169</v>
      </c>
      <c r="F946" s="1" t="s">
        <v>30</v>
      </c>
      <c r="G946" s="1" t="s">
        <v>64</v>
      </c>
      <c r="H946" s="1" t="s">
        <v>77</v>
      </c>
      <c r="I946" s="1" t="s">
        <v>148</v>
      </c>
      <c r="J946" s="1">
        <v>5</v>
      </c>
      <c r="K946" s="1">
        <v>437.37</v>
      </c>
      <c r="L946" s="1">
        <v>0.15</v>
      </c>
      <c r="M946" s="1">
        <v>2186.85</v>
      </c>
      <c r="N946" s="1">
        <v>328.02749999999997</v>
      </c>
      <c r="O946" s="1">
        <v>1858.8225</v>
      </c>
      <c r="P946" s="1">
        <v>1338.3522</v>
      </c>
      <c r="Q946" s="1">
        <v>520.47029999999995</v>
      </c>
      <c r="R946" s="1">
        <v>28</v>
      </c>
      <c r="S946" s="1" t="s">
        <v>93</v>
      </c>
    </row>
    <row r="947" spans="1:19" x14ac:dyDescent="0.35">
      <c r="A947" s="1" t="s">
        <v>1321</v>
      </c>
      <c r="B947" s="3">
        <v>45770</v>
      </c>
      <c r="C947" s="1" t="s">
        <v>20</v>
      </c>
      <c r="D947" s="1">
        <v>4</v>
      </c>
      <c r="E947" s="1" t="s">
        <v>439</v>
      </c>
      <c r="F947" s="1" t="s">
        <v>111</v>
      </c>
      <c r="G947" s="1" t="s">
        <v>23</v>
      </c>
      <c r="H947" s="1" t="s">
        <v>24</v>
      </c>
      <c r="I947" s="1" t="s">
        <v>44</v>
      </c>
      <c r="J947" s="1">
        <v>5</v>
      </c>
      <c r="K947" s="1">
        <v>4178.1400000000003</v>
      </c>
      <c r="L947" s="1">
        <v>0.1</v>
      </c>
      <c r="M947" s="1">
        <v>20890.7</v>
      </c>
      <c r="N947" s="1">
        <v>2089.0700000000002</v>
      </c>
      <c r="O947" s="1">
        <v>18801.63</v>
      </c>
      <c r="P947" s="1">
        <v>10340.896500000001</v>
      </c>
      <c r="Q947" s="1">
        <v>8460.7335000000003</v>
      </c>
      <c r="R947" s="1">
        <v>45</v>
      </c>
      <c r="S947" s="1" t="s">
        <v>73</v>
      </c>
    </row>
    <row r="948" spans="1:19" x14ac:dyDescent="0.35">
      <c r="A948" s="1" t="s">
        <v>1322</v>
      </c>
      <c r="B948" s="3">
        <v>45939</v>
      </c>
      <c r="C948" s="1" t="s">
        <v>35</v>
      </c>
      <c r="D948" s="1">
        <v>10</v>
      </c>
      <c r="E948" s="1" t="s">
        <v>119</v>
      </c>
      <c r="F948" s="1" t="s">
        <v>76</v>
      </c>
      <c r="G948" s="1" t="s">
        <v>64</v>
      </c>
      <c r="H948" s="1" t="s">
        <v>39</v>
      </c>
      <c r="I948" s="1" t="s">
        <v>155</v>
      </c>
      <c r="J948" s="1">
        <v>4</v>
      </c>
      <c r="K948" s="1">
        <v>22456.09</v>
      </c>
      <c r="L948" s="1">
        <v>0.25</v>
      </c>
      <c r="M948" s="1">
        <v>89824.36</v>
      </c>
      <c r="N948" s="1">
        <v>22456.09</v>
      </c>
      <c r="O948" s="1">
        <v>67368.27</v>
      </c>
      <c r="P948" s="1">
        <v>52547.250600000007</v>
      </c>
      <c r="Q948" s="1">
        <v>14821.019399999999</v>
      </c>
      <c r="R948" s="1">
        <v>21.999999999999989</v>
      </c>
      <c r="S948" s="1" t="s">
        <v>73</v>
      </c>
    </row>
    <row r="949" spans="1:19" x14ac:dyDescent="0.35">
      <c r="A949" s="1" t="s">
        <v>1323</v>
      </c>
      <c r="B949" s="3">
        <v>45744</v>
      </c>
      <c r="C949" s="1" t="s">
        <v>28</v>
      </c>
      <c r="D949" s="1">
        <v>3</v>
      </c>
      <c r="E949" s="1" t="s">
        <v>89</v>
      </c>
      <c r="F949" s="1" t="s">
        <v>43</v>
      </c>
      <c r="G949" s="1" t="s">
        <v>38</v>
      </c>
      <c r="H949" s="1" t="s">
        <v>99</v>
      </c>
      <c r="I949" s="1" t="s">
        <v>108</v>
      </c>
      <c r="J949" s="1">
        <v>6</v>
      </c>
      <c r="K949" s="1">
        <v>10098.68</v>
      </c>
      <c r="L949" s="1">
        <v>0.1</v>
      </c>
      <c r="M949" s="1">
        <v>60592.08</v>
      </c>
      <c r="N949" s="1">
        <v>6059.2080000000014</v>
      </c>
      <c r="O949" s="1">
        <v>54532.872000000003</v>
      </c>
      <c r="P949" s="1">
        <v>37082.352959999997</v>
      </c>
      <c r="Q949" s="1">
        <v>17450.519039999999</v>
      </c>
      <c r="R949" s="1">
        <v>32</v>
      </c>
      <c r="S949" s="1" t="s">
        <v>26</v>
      </c>
    </row>
    <row r="950" spans="1:19" x14ac:dyDescent="0.35">
      <c r="A950" s="1" t="s">
        <v>1324</v>
      </c>
      <c r="B950" s="3">
        <v>45875</v>
      </c>
      <c r="C950" s="1" t="s">
        <v>113</v>
      </c>
      <c r="D950" s="1">
        <v>8</v>
      </c>
      <c r="E950" s="1" t="s">
        <v>236</v>
      </c>
      <c r="F950" s="1" t="s">
        <v>76</v>
      </c>
      <c r="G950" s="1" t="s">
        <v>23</v>
      </c>
      <c r="H950" s="1" t="s">
        <v>39</v>
      </c>
      <c r="I950" s="1" t="s">
        <v>87</v>
      </c>
      <c r="J950" s="1">
        <v>2</v>
      </c>
      <c r="K950" s="1">
        <v>39939.870000000003</v>
      </c>
      <c r="L950" s="1">
        <v>0.15</v>
      </c>
      <c r="M950" s="1">
        <v>79879.740000000005</v>
      </c>
      <c r="N950" s="1">
        <v>11981.960999999999</v>
      </c>
      <c r="O950" s="1">
        <v>67897.77900000001</v>
      </c>
      <c r="P950" s="1">
        <v>52960.267620000013</v>
      </c>
      <c r="Q950" s="1">
        <v>14937.51138</v>
      </c>
      <c r="R950" s="1">
        <v>22</v>
      </c>
      <c r="S950" s="1" t="s">
        <v>93</v>
      </c>
    </row>
    <row r="951" spans="1:19" x14ac:dyDescent="0.35">
      <c r="A951" s="1" t="s">
        <v>1325</v>
      </c>
      <c r="B951" s="3">
        <v>45856</v>
      </c>
      <c r="C951" s="1" t="s">
        <v>62</v>
      </c>
      <c r="D951" s="1">
        <v>7</v>
      </c>
      <c r="E951" s="1" t="s">
        <v>521</v>
      </c>
      <c r="F951" s="1" t="s">
        <v>22</v>
      </c>
      <c r="G951" s="1" t="s">
        <v>23</v>
      </c>
      <c r="H951" s="1" t="s">
        <v>31</v>
      </c>
      <c r="I951" s="1" t="s">
        <v>65</v>
      </c>
      <c r="J951" s="1">
        <v>3</v>
      </c>
      <c r="K951" s="1">
        <v>2958.59</v>
      </c>
      <c r="L951" s="1">
        <v>0.05</v>
      </c>
      <c r="M951" s="1">
        <v>8875.77</v>
      </c>
      <c r="N951" s="1">
        <v>443.78850000000011</v>
      </c>
      <c r="O951" s="1">
        <v>8431.9814999999999</v>
      </c>
      <c r="P951" s="1">
        <v>4384.6303800000014</v>
      </c>
      <c r="Q951" s="1">
        <v>4047.3511199999989</v>
      </c>
      <c r="R951" s="1">
        <v>47.999999999999993</v>
      </c>
      <c r="S951" s="1" t="s">
        <v>60</v>
      </c>
    </row>
    <row r="952" spans="1:19" x14ac:dyDescent="0.35">
      <c r="A952" s="1" t="s">
        <v>1326</v>
      </c>
      <c r="B952" s="3">
        <v>45938</v>
      </c>
      <c r="C952" s="1" t="s">
        <v>35</v>
      </c>
      <c r="D952" s="1">
        <v>10</v>
      </c>
      <c r="E952" s="1" t="s">
        <v>173</v>
      </c>
      <c r="F952" s="1" t="s">
        <v>37</v>
      </c>
      <c r="G952" s="1" t="s">
        <v>64</v>
      </c>
      <c r="H952" s="1" t="s">
        <v>39</v>
      </c>
      <c r="I952" s="1" t="s">
        <v>87</v>
      </c>
      <c r="J952" s="1">
        <v>1</v>
      </c>
      <c r="K952" s="1">
        <v>11489.35</v>
      </c>
      <c r="L952" s="1">
        <v>0.15</v>
      </c>
      <c r="M952" s="1">
        <v>11489.35</v>
      </c>
      <c r="N952" s="1">
        <v>1723.4024999999999</v>
      </c>
      <c r="O952" s="1">
        <v>9765.9475000000002</v>
      </c>
      <c r="P952" s="1">
        <v>7617.4390500000009</v>
      </c>
      <c r="Q952" s="1">
        <v>2148.5084499999989</v>
      </c>
      <c r="R952" s="1">
        <v>21.999999999999989</v>
      </c>
      <c r="S952" s="1" t="s">
        <v>33</v>
      </c>
    </row>
    <row r="953" spans="1:19" x14ac:dyDescent="0.35">
      <c r="A953" s="1" t="s">
        <v>1327</v>
      </c>
      <c r="B953" s="3">
        <v>45746</v>
      </c>
      <c r="C953" s="1" t="s">
        <v>28</v>
      </c>
      <c r="D953" s="1">
        <v>3</v>
      </c>
      <c r="E953" s="1" t="s">
        <v>274</v>
      </c>
      <c r="F953" s="1" t="s">
        <v>30</v>
      </c>
      <c r="G953" s="1" t="s">
        <v>64</v>
      </c>
      <c r="H953" s="1" t="s">
        <v>77</v>
      </c>
      <c r="I953" s="1" t="s">
        <v>78</v>
      </c>
      <c r="J953" s="1">
        <v>4</v>
      </c>
      <c r="K953" s="1">
        <v>1004.09</v>
      </c>
      <c r="L953" s="1">
        <v>0.15</v>
      </c>
      <c r="M953" s="1">
        <v>4016.36</v>
      </c>
      <c r="N953" s="1">
        <v>602.45399999999995</v>
      </c>
      <c r="O953" s="1">
        <v>3413.9059999999999</v>
      </c>
      <c r="P953" s="1">
        <v>2458.0123199999998</v>
      </c>
      <c r="Q953" s="1">
        <v>955.89368000000013</v>
      </c>
      <c r="R953" s="1">
        <v>28</v>
      </c>
      <c r="S953" s="1" t="s">
        <v>93</v>
      </c>
    </row>
    <row r="954" spans="1:19" x14ac:dyDescent="0.35">
      <c r="A954" s="1" t="s">
        <v>1328</v>
      </c>
      <c r="B954" s="3">
        <v>45778</v>
      </c>
      <c r="C954" s="1" t="s">
        <v>97</v>
      </c>
      <c r="D954" s="1">
        <v>5</v>
      </c>
      <c r="E954" s="1" t="s">
        <v>450</v>
      </c>
      <c r="F954" s="1" t="s">
        <v>69</v>
      </c>
      <c r="G954" s="1" t="s">
        <v>64</v>
      </c>
      <c r="H954" s="1" t="s">
        <v>39</v>
      </c>
      <c r="I954" s="1" t="s">
        <v>87</v>
      </c>
      <c r="J954" s="1">
        <v>3</v>
      </c>
      <c r="K954" s="1">
        <v>36950.15</v>
      </c>
      <c r="L954" s="1">
        <v>0.1</v>
      </c>
      <c r="M954" s="1">
        <v>110850.45</v>
      </c>
      <c r="N954" s="1">
        <v>11085.045</v>
      </c>
      <c r="O954" s="1">
        <v>99765.405000000013</v>
      </c>
      <c r="P954" s="1">
        <v>77817.015900000013</v>
      </c>
      <c r="Q954" s="1">
        <v>21948.3891</v>
      </c>
      <c r="R954" s="1">
        <v>22</v>
      </c>
      <c r="S954" s="1" t="s">
        <v>93</v>
      </c>
    </row>
    <row r="955" spans="1:19" x14ac:dyDescent="0.35">
      <c r="A955" s="1" t="s">
        <v>1329</v>
      </c>
      <c r="B955" s="3">
        <v>45925</v>
      </c>
      <c r="C955" s="1" t="s">
        <v>50</v>
      </c>
      <c r="D955" s="1">
        <v>9</v>
      </c>
      <c r="E955" s="1" t="s">
        <v>409</v>
      </c>
      <c r="F955" s="1" t="s">
        <v>58</v>
      </c>
      <c r="G955" s="1" t="s">
        <v>23</v>
      </c>
      <c r="H955" s="1" t="s">
        <v>53</v>
      </c>
      <c r="I955" s="1" t="s">
        <v>185</v>
      </c>
      <c r="J955" s="1">
        <v>1</v>
      </c>
      <c r="K955" s="1">
        <v>2069.54</v>
      </c>
      <c r="L955" s="1">
        <v>0</v>
      </c>
      <c r="M955" s="1">
        <v>2069.54</v>
      </c>
      <c r="N955" s="1">
        <v>0</v>
      </c>
      <c r="O955" s="1">
        <v>2069.54</v>
      </c>
      <c r="P955" s="1">
        <v>1200.3332</v>
      </c>
      <c r="Q955" s="1">
        <v>869.20680000000016</v>
      </c>
      <c r="R955" s="1">
        <v>42.000000000000007</v>
      </c>
      <c r="S955" s="1" t="s">
        <v>73</v>
      </c>
    </row>
    <row r="956" spans="1:19" x14ac:dyDescent="0.35">
      <c r="A956" s="1" t="s">
        <v>1330</v>
      </c>
      <c r="B956" s="3">
        <v>45737</v>
      </c>
      <c r="C956" s="1" t="s">
        <v>28</v>
      </c>
      <c r="D956" s="1">
        <v>3</v>
      </c>
      <c r="E956" s="1" t="s">
        <v>559</v>
      </c>
      <c r="F956" s="1" t="s">
        <v>58</v>
      </c>
      <c r="G956" s="1" t="s">
        <v>64</v>
      </c>
      <c r="H956" s="1" t="s">
        <v>77</v>
      </c>
      <c r="I956" s="1" t="s">
        <v>90</v>
      </c>
      <c r="J956" s="1">
        <v>4</v>
      </c>
      <c r="K956" s="1">
        <v>717.92</v>
      </c>
      <c r="L956" s="1">
        <v>0.15</v>
      </c>
      <c r="M956" s="1">
        <v>2871.68</v>
      </c>
      <c r="N956" s="1">
        <v>430.75200000000001</v>
      </c>
      <c r="O956" s="1">
        <v>2440.9279999999999</v>
      </c>
      <c r="P956" s="1">
        <v>1757.4681599999999</v>
      </c>
      <c r="Q956" s="1">
        <v>683.45983999999999</v>
      </c>
      <c r="R956" s="1">
        <v>28</v>
      </c>
      <c r="S956" s="1" t="s">
        <v>93</v>
      </c>
    </row>
    <row r="957" spans="1:19" x14ac:dyDescent="0.35">
      <c r="A957" s="1" t="s">
        <v>1331</v>
      </c>
      <c r="B957" s="3">
        <v>45935</v>
      </c>
      <c r="C957" s="1" t="s">
        <v>35</v>
      </c>
      <c r="D957" s="1">
        <v>10</v>
      </c>
      <c r="E957" s="1" t="s">
        <v>194</v>
      </c>
      <c r="F957" s="1" t="s">
        <v>47</v>
      </c>
      <c r="G957" s="1" t="s">
        <v>64</v>
      </c>
      <c r="H957" s="1" t="s">
        <v>39</v>
      </c>
      <c r="I957" s="1" t="s">
        <v>40</v>
      </c>
      <c r="J957" s="1">
        <v>1</v>
      </c>
      <c r="K957" s="1">
        <v>14849.08</v>
      </c>
      <c r="L957" s="1">
        <v>0.1</v>
      </c>
      <c r="M957" s="1">
        <v>14849.08</v>
      </c>
      <c r="N957" s="1">
        <v>1484.9079999999999</v>
      </c>
      <c r="O957" s="1">
        <v>13364.172</v>
      </c>
      <c r="P957" s="1">
        <v>10424.05416</v>
      </c>
      <c r="Q957" s="1">
        <v>2940.117839999999</v>
      </c>
      <c r="R957" s="1">
        <v>21.999999999999989</v>
      </c>
      <c r="S957" s="1" t="s">
        <v>60</v>
      </c>
    </row>
    <row r="958" spans="1:19" x14ac:dyDescent="0.35">
      <c r="A958" s="1" t="s">
        <v>1332</v>
      </c>
      <c r="B958" s="3">
        <v>45658</v>
      </c>
      <c r="C958" s="1" t="s">
        <v>193</v>
      </c>
      <c r="D958" s="1">
        <v>1</v>
      </c>
      <c r="E958" s="1" t="s">
        <v>1013</v>
      </c>
      <c r="F958" s="1" t="s">
        <v>47</v>
      </c>
      <c r="G958" s="1" t="s">
        <v>64</v>
      </c>
      <c r="H958" s="1" t="s">
        <v>24</v>
      </c>
      <c r="I958" s="1" t="s">
        <v>44</v>
      </c>
      <c r="J958" s="1">
        <v>6</v>
      </c>
      <c r="K958" s="1">
        <v>5691.98</v>
      </c>
      <c r="L958" s="1">
        <v>0</v>
      </c>
      <c r="M958" s="1">
        <v>34151.879999999997</v>
      </c>
      <c r="N958" s="1">
        <v>0</v>
      </c>
      <c r="O958" s="1">
        <v>34151.879999999997</v>
      </c>
      <c r="P958" s="1">
        <v>18783.534</v>
      </c>
      <c r="Q958" s="1">
        <v>15368.346</v>
      </c>
      <c r="R958" s="1">
        <v>44.999999999999993</v>
      </c>
      <c r="S958" s="1" t="s">
        <v>60</v>
      </c>
    </row>
    <row r="959" spans="1:19" x14ac:dyDescent="0.35">
      <c r="A959" s="1" t="s">
        <v>1333</v>
      </c>
      <c r="B959" s="3">
        <v>45996</v>
      </c>
      <c r="C959" s="1" t="s">
        <v>67</v>
      </c>
      <c r="D959" s="1">
        <v>12</v>
      </c>
      <c r="E959" s="1" t="s">
        <v>316</v>
      </c>
      <c r="F959" s="1" t="s">
        <v>30</v>
      </c>
      <c r="G959" s="1" t="s">
        <v>38</v>
      </c>
      <c r="H959" s="1" t="s">
        <v>77</v>
      </c>
      <c r="I959" s="1" t="s">
        <v>201</v>
      </c>
      <c r="J959" s="1">
        <v>5</v>
      </c>
      <c r="K959" s="1">
        <v>480.45</v>
      </c>
      <c r="L959" s="1">
        <v>0.05</v>
      </c>
      <c r="M959" s="1">
        <v>2402.25</v>
      </c>
      <c r="N959" s="1">
        <v>120.1125</v>
      </c>
      <c r="O959" s="1">
        <v>2282.1374999999998</v>
      </c>
      <c r="P959" s="1">
        <v>1643.1389999999999</v>
      </c>
      <c r="Q959" s="1">
        <v>638.99849999999992</v>
      </c>
      <c r="R959" s="1">
        <v>28</v>
      </c>
      <c r="S959" s="1" t="s">
        <v>73</v>
      </c>
    </row>
    <row r="960" spans="1:19" x14ac:dyDescent="0.35">
      <c r="A960" s="1" t="s">
        <v>1334</v>
      </c>
      <c r="B960" s="3">
        <v>45752</v>
      </c>
      <c r="C960" s="1" t="s">
        <v>20</v>
      </c>
      <c r="D960" s="1">
        <v>4</v>
      </c>
      <c r="E960" s="1" t="s">
        <v>150</v>
      </c>
      <c r="F960" s="1" t="s">
        <v>52</v>
      </c>
      <c r="G960" s="1" t="s">
        <v>64</v>
      </c>
      <c r="H960" s="1" t="s">
        <v>39</v>
      </c>
      <c r="I960" s="1" t="s">
        <v>40</v>
      </c>
      <c r="J960" s="1">
        <v>7</v>
      </c>
      <c r="K960" s="1">
        <v>26250.33</v>
      </c>
      <c r="L960" s="1">
        <v>0.15</v>
      </c>
      <c r="M960" s="1">
        <v>183752.31</v>
      </c>
      <c r="N960" s="1">
        <v>27562.8465</v>
      </c>
      <c r="O960" s="1">
        <v>156189.46350000001</v>
      </c>
      <c r="P960" s="1">
        <v>121827.78152999999</v>
      </c>
      <c r="Q960" s="1">
        <v>34361.681970000012</v>
      </c>
      <c r="R960" s="1">
        <v>22</v>
      </c>
      <c r="S960" s="1" t="s">
        <v>93</v>
      </c>
    </row>
    <row r="961" spans="1:19" x14ac:dyDescent="0.35">
      <c r="A961" s="1" t="s">
        <v>1335</v>
      </c>
      <c r="B961" s="3">
        <v>45976</v>
      </c>
      <c r="C961" s="1" t="s">
        <v>56</v>
      </c>
      <c r="D961" s="1">
        <v>11</v>
      </c>
      <c r="E961" s="1" t="s">
        <v>1336</v>
      </c>
      <c r="F961" s="1" t="s">
        <v>76</v>
      </c>
      <c r="G961" s="1" t="s">
        <v>64</v>
      </c>
      <c r="H961" s="1" t="s">
        <v>39</v>
      </c>
      <c r="I961" s="1" t="s">
        <v>40</v>
      </c>
      <c r="J961" s="1">
        <v>6</v>
      </c>
      <c r="K961" s="1">
        <v>34954.120000000003</v>
      </c>
      <c r="L961" s="1">
        <v>0</v>
      </c>
      <c r="M961" s="1">
        <v>209724.72</v>
      </c>
      <c r="N961" s="1">
        <v>0</v>
      </c>
      <c r="O961" s="1">
        <v>209724.72</v>
      </c>
      <c r="P961" s="1">
        <v>163585.28159999999</v>
      </c>
      <c r="Q961" s="1">
        <v>46139.438400000006</v>
      </c>
      <c r="R961" s="1">
        <v>22</v>
      </c>
      <c r="S961" s="1" t="s">
        <v>60</v>
      </c>
    </row>
    <row r="962" spans="1:19" x14ac:dyDescent="0.35">
      <c r="A962" s="1" t="s">
        <v>1337</v>
      </c>
      <c r="B962" s="3">
        <v>45926</v>
      </c>
      <c r="C962" s="1" t="s">
        <v>50</v>
      </c>
      <c r="D962" s="1">
        <v>9</v>
      </c>
      <c r="E962" s="1" t="s">
        <v>363</v>
      </c>
      <c r="F962" s="1" t="s">
        <v>47</v>
      </c>
      <c r="G962" s="1" t="s">
        <v>64</v>
      </c>
      <c r="H962" s="1" t="s">
        <v>31</v>
      </c>
      <c r="I962" s="1" t="s">
        <v>167</v>
      </c>
      <c r="J962" s="1">
        <v>4</v>
      </c>
      <c r="K962" s="1">
        <v>718.88</v>
      </c>
      <c r="L962" s="1">
        <v>0.15</v>
      </c>
      <c r="M962" s="1">
        <v>2875.52</v>
      </c>
      <c r="N962" s="1">
        <v>431.32799999999997</v>
      </c>
      <c r="O962" s="1">
        <v>2444.192</v>
      </c>
      <c r="P962" s="1">
        <v>1270.97984</v>
      </c>
      <c r="Q962" s="1">
        <v>1173.21216</v>
      </c>
      <c r="R962" s="1">
        <v>48.000000000000007</v>
      </c>
      <c r="S962" s="1" t="s">
        <v>73</v>
      </c>
    </row>
    <row r="963" spans="1:19" x14ac:dyDescent="0.35">
      <c r="A963" s="1" t="s">
        <v>1338</v>
      </c>
      <c r="B963" s="3">
        <v>45686</v>
      </c>
      <c r="C963" s="1" t="s">
        <v>193</v>
      </c>
      <c r="D963" s="1">
        <v>1</v>
      </c>
      <c r="E963" s="1" t="s">
        <v>561</v>
      </c>
      <c r="F963" s="1" t="s">
        <v>69</v>
      </c>
      <c r="G963" s="1" t="s">
        <v>64</v>
      </c>
      <c r="H963" s="1" t="s">
        <v>53</v>
      </c>
      <c r="I963" s="1" t="s">
        <v>128</v>
      </c>
      <c r="J963" s="1">
        <v>4</v>
      </c>
      <c r="K963" s="1">
        <v>198.28</v>
      </c>
      <c r="L963" s="1">
        <v>0.1</v>
      </c>
      <c r="M963" s="1">
        <v>793.12</v>
      </c>
      <c r="N963" s="1">
        <v>79.312000000000012</v>
      </c>
      <c r="O963" s="1">
        <v>713.80799999999999</v>
      </c>
      <c r="P963" s="1">
        <v>414.00864000000001</v>
      </c>
      <c r="Q963" s="1">
        <v>299.79935999999998</v>
      </c>
      <c r="R963" s="1">
        <v>42.000000000000007</v>
      </c>
      <c r="S963" s="1" t="s">
        <v>73</v>
      </c>
    </row>
    <row r="964" spans="1:19" x14ac:dyDescent="0.35">
      <c r="A964" s="1" t="s">
        <v>1339</v>
      </c>
      <c r="B964" s="3">
        <v>45894</v>
      </c>
      <c r="C964" s="1" t="s">
        <v>113</v>
      </c>
      <c r="D964" s="1">
        <v>8</v>
      </c>
      <c r="E964" s="1" t="s">
        <v>150</v>
      </c>
      <c r="F964" s="1" t="s">
        <v>43</v>
      </c>
      <c r="G964" s="1" t="s">
        <v>23</v>
      </c>
      <c r="H964" s="1" t="s">
        <v>31</v>
      </c>
      <c r="I964" s="1" t="s">
        <v>65</v>
      </c>
      <c r="J964" s="1">
        <v>7</v>
      </c>
      <c r="K964" s="1">
        <v>2038.12</v>
      </c>
      <c r="L964" s="1">
        <v>0.25</v>
      </c>
      <c r="M964" s="1">
        <v>14266.84</v>
      </c>
      <c r="N964" s="1">
        <v>3566.71</v>
      </c>
      <c r="O964" s="1">
        <v>10700.13</v>
      </c>
      <c r="P964" s="1">
        <v>5564.0676000000003</v>
      </c>
      <c r="Q964" s="1">
        <v>5136.0624000000007</v>
      </c>
      <c r="R964" s="1">
        <v>48.000000000000007</v>
      </c>
      <c r="S964" s="1" t="s">
        <v>93</v>
      </c>
    </row>
    <row r="965" spans="1:19" x14ac:dyDescent="0.35">
      <c r="A965" s="1" t="s">
        <v>1340</v>
      </c>
      <c r="B965" s="3">
        <v>45743</v>
      </c>
      <c r="C965" s="1" t="s">
        <v>28</v>
      </c>
      <c r="D965" s="1">
        <v>3</v>
      </c>
      <c r="E965" s="1" t="s">
        <v>29</v>
      </c>
      <c r="F965" s="1" t="s">
        <v>30</v>
      </c>
      <c r="G965" s="1" t="s">
        <v>23</v>
      </c>
      <c r="H965" s="1" t="s">
        <v>39</v>
      </c>
      <c r="I965" s="1" t="s">
        <v>155</v>
      </c>
      <c r="J965" s="1">
        <v>7</v>
      </c>
      <c r="K965" s="1">
        <v>14833.62</v>
      </c>
      <c r="L965" s="1">
        <v>0.1</v>
      </c>
      <c r="M965" s="1">
        <v>103835.34</v>
      </c>
      <c r="N965" s="1">
        <v>10383.534</v>
      </c>
      <c r="O965" s="1">
        <v>93451.806000000011</v>
      </c>
      <c r="P965" s="1">
        <v>72892.408680000008</v>
      </c>
      <c r="Q965" s="1">
        <v>20559.39732</v>
      </c>
      <c r="R965" s="1">
        <v>22</v>
      </c>
      <c r="S965" s="1" t="s">
        <v>26</v>
      </c>
    </row>
    <row r="966" spans="1:19" x14ac:dyDescent="0.35">
      <c r="A966" s="1" t="s">
        <v>1341</v>
      </c>
      <c r="B966" s="3">
        <v>45999</v>
      </c>
      <c r="C966" s="1" t="s">
        <v>67</v>
      </c>
      <c r="D966" s="1">
        <v>12</v>
      </c>
      <c r="E966" s="1" t="s">
        <v>299</v>
      </c>
      <c r="F966" s="1" t="s">
        <v>58</v>
      </c>
      <c r="G966" s="1" t="s">
        <v>64</v>
      </c>
      <c r="H966" s="1" t="s">
        <v>53</v>
      </c>
      <c r="I966" s="1" t="s">
        <v>123</v>
      </c>
      <c r="J966" s="1">
        <v>5</v>
      </c>
      <c r="K966" s="1">
        <v>2048.58</v>
      </c>
      <c r="L966" s="1">
        <v>0.2</v>
      </c>
      <c r="M966" s="1">
        <v>10242.9</v>
      </c>
      <c r="N966" s="1">
        <v>2048.58</v>
      </c>
      <c r="O966" s="1">
        <v>8194.32</v>
      </c>
      <c r="P966" s="1">
        <v>4752.7055999999993</v>
      </c>
      <c r="Q966" s="1">
        <v>3441.6143999999999</v>
      </c>
      <c r="R966" s="1">
        <v>42.000000000000007</v>
      </c>
      <c r="S966" s="1" t="s">
        <v>93</v>
      </c>
    </row>
    <row r="967" spans="1:19" x14ac:dyDescent="0.35">
      <c r="A967" s="1" t="s">
        <v>1342</v>
      </c>
      <c r="B967" s="3">
        <v>45698</v>
      </c>
      <c r="C967" s="1" t="s">
        <v>42</v>
      </c>
      <c r="D967" s="1">
        <v>2</v>
      </c>
      <c r="E967" s="1" t="s">
        <v>405</v>
      </c>
      <c r="F967" s="1" t="s">
        <v>111</v>
      </c>
      <c r="G967" s="1" t="s">
        <v>64</v>
      </c>
      <c r="H967" s="1" t="s">
        <v>53</v>
      </c>
      <c r="I967" s="1" t="s">
        <v>185</v>
      </c>
      <c r="J967" s="1">
        <v>6</v>
      </c>
      <c r="K967" s="1">
        <v>192.07</v>
      </c>
      <c r="L967" s="1">
        <v>0.15</v>
      </c>
      <c r="M967" s="1">
        <v>1152.42</v>
      </c>
      <c r="N967" s="1">
        <v>172.863</v>
      </c>
      <c r="O967" s="1">
        <v>979.55700000000002</v>
      </c>
      <c r="P967" s="1">
        <v>568.14305999999999</v>
      </c>
      <c r="Q967" s="1">
        <v>411.41394000000003</v>
      </c>
      <c r="R967" s="1">
        <v>42.000000000000007</v>
      </c>
      <c r="S967" s="1" t="s">
        <v>60</v>
      </c>
    </row>
    <row r="968" spans="1:19" x14ac:dyDescent="0.35">
      <c r="A968" s="1" t="s">
        <v>1343</v>
      </c>
      <c r="B968" s="3">
        <v>45865</v>
      </c>
      <c r="C968" s="1" t="s">
        <v>62</v>
      </c>
      <c r="D968" s="1">
        <v>7</v>
      </c>
      <c r="E968" s="1" t="s">
        <v>764</v>
      </c>
      <c r="F968" s="1" t="s">
        <v>30</v>
      </c>
      <c r="G968" s="1" t="s">
        <v>38</v>
      </c>
      <c r="H968" s="1" t="s">
        <v>31</v>
      </c>
      <c r="I968" s="1" t="s">
        <v>32</v>
      </c>
      <c r="J968" s="1">
        <v>2</v>
      </c>
      <c r="K968" s="1">
        <v>2958.08</v>
      </c>
      <c r="L968" s="1">
        <v>0.1</v>
      </c>
      <c r="M968" s="1">
        <v>5916.16</v>
      </c>
      <c r="N968" s="1">
        <v>591.61599999999999</v>
      </c>
      <c r="O968" s="1">
        <v>5324.5439999999999</v>
      </c>
      <c r="P968" s="1">
        <v>2768.7628800000002</v>
      </c>
      <c r="Q968" s="1">
        <v>2555.7811200000001</v>
      </c>
      <c r="R968" s="1">
        <v>47.999999999999993</v>
      </c>
      <c r="S968" s="1" t="s">
        <v>33</v>
      </c>
    </row>
    <row r="969" spans="1:19" x14ac:dyDescent="0.35">
      <c r="A969" s="1" t="s">
        <v>1344</v>
      </c>
      <c r="B969" s="3">
        <v>45811</v>
      </c>
      <c r="C969" s="1" t="s">
        <v>82</v>
      </c>
      <c r="D969" s="1">
        <v>6</v>
      </c>
      <c r="E969" s="1" t="s">
        <v>267</v>
      </c>
      <c r="F969" s="1" t="s">
        <v>22</v>
      </c>
      <c r="G969" s="1" t="s">
        <v>38</v>
      </c>
      <c r="H969" s="1" t="s">
        <v>99</v>
      </c>
      <c r="I969" s="1" t="s">
        <v>100</v>
      </c>
      <c r="J969" s="1">
        <v>7</v>
      </c>
      <c r="K969" s="1">
        <v>14261.44</v>
      </c>
      <c r="L969" s="1">
        <v>0.05</v>
      </c>
      <c r="M969" s="1">
        <v>99830.080000000002</v>
      </c>
      <c r="N969" s="1">
        <v>4991.5040000000008</v>
      </c>
      <c r="O969" s="1">
        <v>94838.576000000001</v>
      </c>
      <c r="P969" s="1">
        <v>64490.231679999997</v>
      </c>
      <c r="Q969" s="1">
        <v>30348.34432</v>
      </c>
      <c r="R969" s="1">
        <v>32</v>
      </c>
      <c r="S969" s="1" t="s">
        <v>33</v>
      </c>
    </row>
    <row r="970" spans="1:19" x14ac:dyDescent="0.35">
      <c r="A970" s="1" t="s">
        <v>1345</v>
      </c>
      <c r="B970" s="3">
        <v>45820</v>
      </c>
      <c r="C970" s="1" t="s">
        <v>82</v>
      </c>
      <c r="D970" s="1">
        <v>6</v>
      </c>
      <c r="E970" s="1" t="s">
        <v>914</v>
      </c>
      <c r="F970" s="1" t="s">
        <v>76</v>
      </c>
      <c r="G970" s="1" t="s">
        <v>64</v>
      </c>
      <c r="H970" s="1" t="s">
        <v>53</v>
      </c>
      <c r="I970" s="1" t="s">
        <v>54</v>
      </c>
      <c r="J970" s="1">
        <v>5</v>
      </c>
      <c r="K970" s="1">
        <v>1298.18</v>
      </c>
      <c r="L970" s="1">
        <v>0.05</v>
      </c>
      <c r="M970" s="1">
        <v>6490.9000000000005</v>
      </c>
      <c r="N970" s="1">
        <v>324.54500000000007</v>
      </c>
      <c r="O970" s="1">
        <v>6166.3549999999996</v>
      </c>
      <c r="P970" s="1">
        <v>3576.4859000000001</v>
      </c>
      <c r="Q970" s="1">
        <v>2589.8690999999999</v>
      </c>
      <c r="R970" s="1">
        <v>42.000000000000007</v>
      </c>
      <c r="S970" s="1" t="s">
        <v>33</v>
      </c>
    </row>
    <row r="971" spans="1:19" x14ac:dyDescent="0.35">
      <c r="A971" s="1" t="s">
        <v>1346</v>
      </c>
      <c r="B971" s="3">
        <v>45804</v>
      </c>
      <c r="C971" s="1" t="s">
        <v>97</v>
      </c>
      <c r="D971" s="1">
        <v>5</v>
      </c>
      <c r="E971" s="1" t="s">
        <v>723</v>
      </c>
      <c r="F971" s="1" t="s">
        <v>69</v>
      </c>
      <c r="G971" s="1" t="s">
        <v>64</v>
      </c>
      <c r="H971" s="1" t="s">
        <v>53</v>
      </c>
      <c r="I971" s="1" t="s">
        <v>54</v>
      </c>
      <c r="J971" s="1">
        <v>4</v>
      </c>
      <c r="K971" s="1">
        <v>1497.75</v>
      </c>
      <c r="L971" s="1">
        <v>0.05</v>
      </c>
      <c r="M971" s="1">
        <v>5991</v>
      </c>
      <c r="N971" s="1">
        <v>299.55</v>
      </c>
      <c r="O971" s="1">
        <v>5691.45</v>
      </c>
      <c r="P971" s="1">
        <v>3301.0410000000002</v>
      </c>
      <c r="Q971" s="1">
        <v>2390.4090000000001</v>
      </c>
      <c r="R971" s="1">
        <v>42.000000000000007</v>
      </c>
      <c r="S971" s="1" t="s">
        <v>33</v>
      </c>
    </row>
    <row r="972" spans="1:19" x14ac:dyDescent="0.35">
      <c r="A972" s="1" t="s">
        <v>1347</v>
      </c>
      <c r="B972" s="3">
        <v>45741</v>
      </c>
      <c r="C972" s="1" t="s">
        <v>28</v>
      </c>
      <c r="D972" s="1">
        <v>3</v>
      </c>
      <c r="E972" s="1" t="s">
        <v>468</v>
      </c>
      <c r="F972" s="1" t="s">
        <v>30</v>
      </c>
      <c r="G972" s="1" t="s">
        <v>38</v>
      </c>
      <c r="H972" s="1" t="s">
        <v>31</v>
      </c>
      <c r="I972" s="1" t="s">
        <v>59</v>
      </c>
      <c r="J972" s="1">
        <v>1</v>
      </c>
      <c r="K972" s="1">
        <v>529.95000000000005</v>
      </c>
      <c r="L972" s="1">
        <v>0</v>
      </c>
      <c r="M972" s="1">
        <v>529.95000000000005</v>
      </c>
      <c r="N972" s="1">
        <v>0</v>
      </c>
      <c r="O972" s="1">
        <v>529.95000000000005</v>
      </c>
      <c r="P972" s="1">
        <v>275.57400000000001</v>
      </c>
      <c r="Q972" s="1">
        <v>254.376</v>
      </c>
      <c r="R972" s="1">
        <v>48.000000000000007</v>
      </c>
      <c r="S972" s="1" t="s">
        <v>26</v>
      </c>
    </row>
    <row r="973" spans="1:19" x14ac:dyDescent="0.35">
      <c r="A973" s="1" t="s">
        <v>1348</v>
      </c>
      <c r="B973" s="3">
        <v>45832</v>
      </c>
      <c r="C973" s="1" t="s">
        <v>82</v>
      </c>
      <c r="D973" s="1">
        <v>6</v>
      </c>
      <c r="E973" s="1" t="s">
        <v>1142</v>
      </c>
      <c r="F973" s="1" t="s">
        <v>111</v>
      </c>
      <c r="G973" s="1" t="s">
        <v>64</v>
      </c>
      <c r="H973" s="1" t="s">
        <v>77</v>
      </c>
      <c r="I973" s="1" t="s">
        <v>103</v>
      </c>
      <c r="J973" s="1">
        <v>4</v>
      </c>
      <c r="K973" s="1">
        <v>601.45000000000005</v>
      </c>
      <c r="L973" s="1">
        <v>0</v>
      </c>
      <c r="M973" s="1">
        <v>2405.8000000000002</v>
      </c>
      <c r="N973" s="1">
        <v>0</v>
      </c>
      <c r="O973" s="1">
        <v>2405.8000000000002</v>
      </c>
      <c r="P973" s="1">
        <v>1732.1759999999999</v>
      </c>
      <c r="Q973" s="1">
        <v>673.62400000000002</v>
      </c>
      <c r="R973" s="1">
        <v>28</v>
      </c>
      <c r="S973" s="1" t="s">
        <v>73</v>
      </c>
    </row>
    <row r="974" spans="1:19" x14ac:dyDescent="0.35">
      <c r="A974" s="1" t="s">
        <v>1349</v>
      </c>
      <c r="B974" s="3">
        <v>45769</v>
      </c>
      <c r="C974" s="1" t="s">
        <v>20</v>
      </c>
      <c r="D974" s="1">
        <v>4</v>
      </c>
      <c r="E974" s="1" t="s">
        <v>867</v>
      </c>
      <c r="F974" s="1" t="s">
        <v>69</v>
      </c>
      <c r="G974" s="1" t="s">
        <v>23</v>
      </c>
      <c r="H974" s="1" t="s">
        <v>31</v>
      </c>
      <c r="I974" s="1" t="s">
        <v>59</v>
      </c>
      <c r="J974" s="1">
        <v>7</v>
      </c>
      <c r="K974" s="1">
        <v>936.74</v>
      </c>
      <c r="L974" s="1">
        <v>0.25</v>
      </c>
      <c r="M974" s="1">
        <v>6557.18</v>
      </c>
      <c r="N974" s="1">
        <v>1639.2950000000001</v>
      </c>
      <c r="O974" s="1">
        <v>4917.8850000000002</v>
      </c>
      <c r="P974" s="1">
        <v>2557.3002000000001</v>
      </c>
      <c r="Q974" s="1">
        <v>2360.5848000000001</v>
      </c>
      <c r="R974" s="1">
        <v>48</v>
      </c>
      <c r="S974" s="1" t="s">
        <v>26</v>
      </c>
    </row>
    <row r="975" spans="1:19" x14ac:dyDescent="0.35">
      <c r="A975" s="1" t="s">
        <v>1350</v>
      </c>
      <c r="B975" s="3">
        <v>45914</v>
      </c>
      <c r="C975" s="1" t="s">
        <v>50</v>
      </c>
      <c r="D975" s="1">
        <v>9</v>
      </c>
      <c r="E975" s="1" t="s">
        <v>316</v>
      </c>
      <c r="F975" s="1" t="s">
        <v>76</v>
      </c>
      <c r="G975" s="1" t="s">
        <v>38</v>
      </c>
      <c r="H975" s="1" t="s">
        <v>77</v>
      </c>
      <c r="I975" s="1" t="s">
        <v>90</v>
      </c>
      <c r="J975" s="1">
        <v>5</v>
      </c>
      <c r="K975" s="1">
        <v>1117.5899999999999</v>
      </c>
      <c r="L975" s="1">
        <v>0</v>
      </c>
      <c r="M975" s="1">
        <v>5587.95</v>
      </c>
      <c r="N975" s="1">
        <v>0</v>
      </c>
      <c r="O975" s="1">
        <v>5587.95</v>
      </c>
      <c r="P975" s="1">
        <v>4023.3240000000001</v>
      </c>
      <c r="Q975" s="1">
        <v>1564.626</v>
      </c>
      <c r="R975" s="1">
        <v>28</v>
      </c>
      <c r="S975" s="1" t="s">
        <v>26</v>
      </c>
    </row>
    <row r="976" spans="1:19" x14ac:dyDescent="0.35">
      <c r="A976" s="1" t="s">
        <v>1351</v>
      </c>
      <c r="B976" s="3">
        <v>45845</v>
      </c>
      <c r="C976" s="1" t="s">
        <v>62</v>
      </c>
      <c r="D976" s="1">
        <v>7</v>
      </c>
      <c r="E976" s="1" t="s">
        <v>365</v>
      </c>
      <c r="F976" s="1" t="s">
        <v>52</v>
      </c>
      <c r="G976" s="1" t="s">
        <v>64</v>
      </c>
      <c r="H976" s="1" t="s">
        <v>77</v>
      </c>
      <c r="I976" s="1" t="s">
        <v>78</v>
      </c>
      <c r="J976" s="1">
        <v>4</v>
      </c>
      <c r="K976" s="1">
        <v>1153.53</v>
      </c>
      <c r="L976" s="1">
        <v>0.1</v>
      </c>
      <c r="M976" s="1">
        <v>4614.12</v>
      </c>
      <c r="N976" s="1">
        <v>461.41199999999998</v>
      </c>
      <c r="O976" s="1">
        <v>4152.7079999999996</v>
      </c>
      <c r="P976" s="1">
        <v>2989.94976</v>
      </c>
      <c r="Q976" s="1">
        <v>1162.7582399999999</v>
      </c>
      <c r="R976" s="1">
        <v>28</v>
      </c>
      <c r="S976" s="1" t="s">
        <v>73</v>
      </c>
    </row>
    <row r="977" spans="1:19" x14ac:dyDescent="0.35">
      <c r="A977" s="1" t="s">
        <v>1352</v>
      </c>
      <c r="B977" s="3">
        <v>45716</v>
      </c>
      <c r="C977" s="1" t="s">
        <v>42</v>
      </c>
      <c r="D977" s="1">
        <v>2</v>
      </c>
      <c r="E977" s="1" t="s">
        <v>830</v>
      </c>
      <c r="F977" s="1" t="s">
        <v>111</v>
      </c>
      <c r="G977" s="1" t="s">
        <v>23</v>
      </c>
      <c r="H977" s="1" t="s">
        <v>53</v>
      </c>
      <c r="I977" s="1" t="s">
        <v>128</v>
      </c>
      <c r="J977" s="1">
        <v>4</v>
      </c>
      <c r="K977" s="1">
        <v>1491.6</v>
      </c>
      <c r="L977" s="1">
        <v>0.05</v>
      </c>
      <c r="M977" s="1">
        <v>5966.4</v>
      </c>
      <c r="N977" s="1">
        <v>298.32</v>
      </c>
      <c r="O977" s="1">
        <v>5668.08</v>
      </c>
      <c r="P977" s="1">
        <v>3287.4863999999998</v>
      </c>
      <c r="Q977" s="1">
        <v>2380.5936000000002</v>
      </c>
      <c r="R977" s="1">
        <v>42.000000000000007</v>
      </c>
      <c r="S977" s="1" t="s">
        <v>73</v>
      </c>
    </row>
    <row r="978" spans="1:19" x14ac:dyDescent="0.35">
      <c r="A978" s="1" t="s">
        <v>1353</v>
      </c>
      <c r="B978" s="3">
        <v>45938</v>
      </c>
      <c r="C978" s="1" t="s">
        <v>35</v>
      </c>
      <c r="D978" s="1">
        <v>10</v>
      </c>
      <c r="E978" s="1" t="s">
        <v>212</v>
      </c>
      <c r="F978" s="1" t="s">
        <v>43</v>
      </c>
      <c r="G978" s="1" t="s">
        <v>64</v>
      </c>
      <c r="H978" s="1" t="s">
        <v>24</v>
      </c>
      <c r="I978" s="1" t="s">
        <v>48</v>
      </c>
      <c r="J978" s="1">
        <v>4</v>
      </c>
      <c r="K978" s="1">
        <v>575.53</v>
      </c>
      <c r="L978" s="1">
        <v>0.25</v>
      </c>
      <c r="M978" s="1">
        <v>2302.12</v>
      </c>
      <c r="N978" s="1">
        <v>575.53</v>
      </c>
      <c r="O978" s="1">
        <v>1726.59</v>
      </c>
      <c r="P978" s="1">
        <v>949.62450000000001</v>
      </c>
      <c r="Q978" s="1">
        <v>776.96549999999991</v>
      </c>
      <c r="R978" s="1">
        <v>44.999999999999993</v>
      </c>
      <c r="S978" s="1" t="s">
        <v>60</v>
      </c>
    </row>
    <row r="979" spans="1:19" x14ac:dyDescent="0.35">
      <c r="A979" s="1" t="s">
        <v>1354</v>
      </c>
      <c r="B979" s="3">
        <v>45827</v>
      </c>
      <c r="C979" s="1" t="s">
        <v>82</v>
      </c>
      <c r="D979" s="1">
        <v>6</v>
      </c>
      <c r="E979" s="1" t="s">
        <v>431</v>
      </c>
      <c r="F979" s="1" t="s">
        <v>47</v>
      </c>
      <c r="G979" s="1" t="s">
        <v>38</v>
      </c>
      <c r="H979" s="1" t="s">
        <v>31</v>
      </c>
      <c r="I979" s="1" t="s">
        <v>65</v>
      </c>
      <c r="J979" s="1">
        <v>6</v>
      </c>
      <c r="K979" s="1">
        <v>1064.72</v>
      </c>
      <c r="L979" s="1">
        <v>0.25</v>
      </c>
      <c r="M979" s="1">
        <v>6388.32</v>
      </c>
      <c r="N979" s="1">
        <v>1597.08</v>
      </c>
      <c r="O979" s="1">
        <v>4791.24</v>
      </c>
      <c r="P979" s="1">
        <v>2491.4448000000002</v>
      </c>
      <c r="Q979" s="1">
        <v>2299.7952</v>
      </c>
      <c r="R979" s="1">
        <v>48.000000000000007</v>
      </c>
      <c r="S979" s="1" t="s">
        <v>26</v>
      </c>
    </row>
    <row r="980" spans="1:19" x14ac:dyDescent="0.35">
      <c r="A980" s="1" t="s">
        <v>1355</v>
      </c>
      <c r="B980" s="3">
        <v>45845</v>
      </c>
      <c r="C980" s="1" t="s">
        <v>62</v>
      </c>
      <c r="D980" s="1">
        <v>7</v>
      </c>
      <c r="E980" s="1" t="s">
        <v>1316</v>
      </c>
      <c r="F980" s="1" t="s">
        <v>69</v>
      </c>
      <c r="G980" s="1" t="s">
        <v>64</v>
      </c>
      <c r="H980" s="1" t="s">
        <v>31</v>
      </c>
      <c r="I980" s="1" t="s">
        <v>65</v>
      </c>
      <c r="J980" s="1">
        <v>1</v>
      </c>
      <c r="K980" s="1">
        <v>3442.51</v>
      </c>
      <c r="L980" s="1">
        <v>0.1</v>
      </c>
      <c r="M980" s="1">
        <v>3442.51</v>
      </c>
      <c r="N980" s="1">
        <v>344.25099999999998</v>
      </c>
      <c r="O980" s="1">
        <v>3098.259</v>
      </c>
      <c r="P980" s="1">
        <v>1611.0946799999999</v>
      </c>
      <c r="Q980" s="1">
        <v>1487.1643200000001</v>
      </c>
      <c r="R980" s="1">
        <v>47.999999999999993</v>
      </c>
      <c r="S980" s="1" t="s">
        <v>93</v>
      </c>
    </row>
    <row r="981" spans="1:19" x14ac:dyDescent="0.35">
      <c r="A981" s="1" t="s">
        <v>1356</v>
      </c>
      <c r="B981" s="3">
        <v>45679</v>
      </c>
      <c r="C981" s="1" t="s">
        <v>193</v>
      </c>
      <c r="D981" s="1">
        <v>1</v>
      </c>
      <c r="E981" s="1" t="s">
        <v>57</v>
      </c>
      <c r="F981" s="1" t="s">
        <v>69</v>
      </c>
      <c r="G981" s="1" t="s">
        <v>64</v>
      </c>
      <c r="H981" s="1" t="s">
        <v>39</v>
      </c>
      <c r="I981" s="1" t="s">
        <v>40</v>
      </c>
      <c r="J981" s="1">
        <v>5</v>
      </c>
      <c r="K981" s="1">
        <v>26492.98</v>
      </c>
      <c r="L981" s="1">
        <v>0.1</v>
      </c>
      <c r="M981" s="1">
        <v>132464.9</v>
      </c>
      <c r="N981" s="1">
        <v>13246.49</v>
      </c>
      <c r="O981" s="1">
        <v>119218.41</v>
      </c>
      <c r="P981" s="1">
        <v>92990.359799999991</v>
      </c>
      <c r="Q981" s="1">
        <v>26228.050200000001</v>
      </c>
      <c r="R981" s="1">
        <v>22</v>
      </c>
      <c r="S981" s="1" t="s">
        <v>93</v>
      </c>
    </row>
    <row r="982" spans="1:19" x14ac:dyDescent="0.35">
      <c r="A982" s="1" t="s">
        <v>1357</v>
      </c>
      <c r="B982" s="3">
        <v>45798</v>
      </c>
      <c r="C982" s="1" t="s">
        <v>97</v>
      </c>
      <c r="D982" s="1">
        <v>5</v>
      </c>
      <c r="E982" s="1" t="s">
        <v>422</v>
      </c>
      <c r="F982" s="1" t="s">
        <v>30</v>
      </c>
      <c r="G982" s="1" t="s">
        <v>38</v>
      </c>
      <c r="H982" s="1" t="s">
        <v>99</v>
      </c>
      <c r="I982" s="1" t="s">
        <v>100</v>
      </c>
      <c r="J982" s="1">
        <v>2</v>
      </c>
      <c r="K982" s="1">
        <v>16730.62</v>
      </c>
      <c r="L982" s="1">
        <v>0.05</v>
      </c>
      <c r="M982" s="1">
        <v>33461.24</v>
      </c>
      <c r="N982" s="1">
        <v>1673.0619999999999</v>
      </c>
      <c r="O982" s="1">
        <v>31788.178</v>
      </c>
      <c r="P982" s="1">
        <v>21615.961039999998</v>
      </c>
      <c r="Q982" s="1">
        <v>10172.21696</v>
      </c>
      <c r="R982" s="1">
        <v>32</v>
      </c>
      <c r="S982" s="1" t="s">
        <v>93</v>
      </c>
    </row>
    <row r="983" spans="1:19" x14ac:dyDescent="0.35">
      <c r="A983" s="1" t="s">
        <v>1358</v>
      </c>
      <c r="B983" s="3">
        <v>45910</v>
      </c>
      <c r="C983" s="1" t="s">
        <v>50</v>
      </c>
      <c r="D983" s="1">
        <v>9</v>
      </c>
      <c r="E983" s="1" t="s">
        <v>161</v>
      </c>
      <c r="F983" s="1" t="s">
        <v>58</v>
      </c>
      <c r="G983" s="1" t="s">
        <v>23</v>
      </c>
      <c r="H983" s="1" t="s">
        <v>31</v>
      </c>
      <c r="I983" s="1" t="s">
        <v>190</v>
      </c>
      <c r="J983" s="1">
        <v>1</v>
      </c>
      <c r="K983" s="1">
        <v>1493.49</v>
      </c>
      <c r="L983" s="1">
        <v>0.05</v>
      </c>
      <c r="M983" s="1">
        <v>1493.49</v>
      </c>
      <c r="N983" s="1">
        <v>74.674500000000009</v>
      </c>
      <c r="O983" s="1">
        <v>1418.8154999999999</v>
      </c>
      <c r="P983" s="1">
        <v>737.78405999999995</v>
      </c>
      <c r="Q983" s="1">
        <v>681.03143999999998</v>
      </c>
      <c r="R983" s="1">
        <v>48</v>
      </c>
      <c r="S983" s="1" t="s">
        <v>26</v>
      </c>
    </row>
    <row r="984" spans="1:19" x14ac:dyDescent="0.35">
      <c r="A984" s="1" t="s">
        <v>1359</v>
      </c>
      <c r="B984" s="3">
        <v>45965</v>
      </c>
      <c r="C984" s="1" t="s">
        <v>56</v>
      </c>
      <c r="D984" s="1">
        <v>11</v>
      </c>
      <c r="E984" s="1" t="s">
        <v>110</v>
      </c>
      <c r="F984" s="1" t="s">
        <v>76</v>
      </c>
      <c r="G984" s="1" t="s">
        <v>38</v>
      </c>
      <c r="H984" s="1" t="s">
        <v>39</v>
      </c>
      <c r="I984" s="1" t="s">
        <v>155</v>
      </c>
      <c r="J984" s="1">
        <v>3</v>
      </c>
      <c r="K984" s="1">
        <v>16372.97</v>
      </c>
      <c r="L984" s="1">
        <v>0.2</v>
      </c>
      <c r="M984" s="1">
        <v>49118.91</v>
      </c>
      <c r="N984" s="1">
        <v>9823.7819999999992</v>
      </c>
      <c r="O984" s="1">
        <v>39295.127999999997</v>
      </c>
      <c r="P984" s="1">
        <v>30650.199840000001</v>
      </c>
      <c r="Q984" s="1">
        <v>8644.9281599999995</v>
      </c>
      <c r="R984" s="1">
        <v>22</v>
      </c>
      <c r="S984" s="1" t="s">
        <v>60</v>
      </c>
    </row>
    <row r="985" spans="1:19" x14ac:dyDescent="0.35">
      <c r="A985" s="1" t="s">
        <v>1360</v>
      </c>
      <c r="B985" s="3">
        <v>45891</v>
      </c>
      <c r="C985" s="1" t="s">
        <v>113</v>
      </c>
      <c r="D985" s="1">
        <v>8</v>
      </c>
      <c r="E985" s="1" t="s">
        <v>543</v>
      </c>
      <c r="F985" s="1" t="s">
        <v>47</v>
      </c>
      <c r="G985" s="1" t="s">
        <v>38</v>
      </c>
      <c r="H985" s="1" t="s">
        <v>31</v>
      </c>
      <c r="I985" s="1" t="s">
        <v>190</v>
      </c>
      <c r="J985" s="1">
        <v>7</v>
      </c>
      <c r="K985" s="1">
        <v>580.49</v>
      </c>
      <c r="L985" s="1">
        <v>0</v>
      </c>
      <c r="M985" s="1">
        <v>4063.43</v>
      </c>
      <c r="N985" s="1">
        <v>0</v>
      </c>
      <c r="O985" s="1">
        <v>4063.43</v>
      </c>
      <c r="P985" s="1">
        <v>2112.9836</v>
      </c>
      <c r="Q985" s="1">
        <v>1950.4464</v>
      </c>
      <c r="R985" s="1">
        <v>48.000000000000007</v>
      </c>
      <c r="S985" s="1" t="s">
        <v>73</v>
      </c>
    </row>
    <row r="986" spans="1:19" x14ac:dyDescent="0.35">
      <c r="A986" s="1" t="s">
        <v>1361</v>
      </c>
      <c r="B986" s="3">
        <v>45888</v>
      </c>
      <c r="C986" s="1" t="s">
        <v>113</v>
      </c>
      <c r="D986" s="1">
        <v>8</v>
      </c>
      <c r="E986" s="1" t="s">
        <v>756</v>
      </c>
      <c r="F986" s="1" t="s">
        <v>111</v>
      </c>
      <c r="G986" s="1" t="s">
        <v>38</v>
      </c>
      <c r="H986" s="1" t="s">
        <v>39</v>
      </c>
      <c r="I986" s="1" t="s">
        <v>234</v>
      </c>
      <c r="J986" s="1">
        <v>3</v>
      </c>
      <c r="K986" s="1">
        <v>13893.51</v>
      </c>
      <c r="L986" s="1">
        <v>0.1</v>
      </c>
      <c r="M986" s="1">
        <v>41680.53</v>
      </c>
      <c r="N986" s="1">
        <v>4168.0529999999999</v>
      </c>
      <c r="O986" s="1">
        <v>37512.476999999999</v>
      </c>
      <c r="P986" s="1">
        <v>29259.732059999998</v>
      </c>
      <c r="Q986" s="1">
        <v>8252.7449400000005</v>
      </c>
      <c r="R986" s="1">
        <v>22</v>
      </c>
      <c r="S986" s="1" t="s">
        <v>73</v>
      </c>
    </row>
    <row r="987" spans="1:19" x14ac:dyDescent="0.35">
      <c r="A987" s="1" t="s">
        <v>1362</v>
      </c>
      <c r="B987" s="3">
        <v>46010</v>
      </c>
      <c r="C987" s="1" t="s">
        <v>67</v>
      </c>
      <c r="D987" s="1">
        <v>12</v>
      </c>
      <c r="E987" s="1" t="s">
        <v>236</v>
      </c>
      <c r="F987" s="1" t="s">
        <v>22</v>
      </c>
      <c r="G987" s="1" t="s">
        <v>38</v>
      </c>
      <c r="H987" s="1" t="s">
        <v>31</v>
      </c>
      <c r="I987" s="1" t="s">
        <v>32</v>
      </c>
      <c r="J987" s="1">
        <v>3</v>
      </c>
      <c r="K987" s="1">
        <v>2070.46</v>
      </c>
      <c r="L987" s="1">
        <v>0.1</v>
      </c>
      <c r="M987" s="1">
        <v>6211.38</v>
      </c>
      <c r="N987" s="1">
        <v>621.13800000000003</v>
      </c>
      <c r="O987" s="1">
        <v>5590.2420000000002</v>
      </c>
      <c r="P987" s="1">
        <v>2906.9258399999999</v>
      </c>
      <c r="Q987" s="1">
        <v>2683.3161599999999</v>
      </c>
      <c r="R987" s="1">
        <v>48</v>
      </c>
      <c r="S987" s="1" t="s">
        <v>93</v>
      </c>
    </row>
    <row r="988" spans="1:19" x14ac:dyDescent="0.35">
      <c r="A988" s="1" t="s">
        <v>1363</v>
      </c>
      <c r="B988" s="3">
        <v>46007</v>
      </c>
      <c r="C988" s="1" t="s">
        <v>67</v>
      </c>
      <c r="D988" s="1">
        <v>12</v>
      </c>
      <c r="E988" s="1" t="s">
        <v>175</v>
      </c>
      <c r="F988" s="1" t="s">
        <v>58</v>
      </c>
      <c r="G988" s="1" t="s">
        <v>23</v>
      </c>
      <c r="H988" s="1" t="s">
        <v>24</v>
      </c>
      <c r="I988" s="1" t="s">
        <v>48</v>
      </c>
      <c r="J988" s="1">
        <v>3</v>
      </c>
      <c r="K988" s="1">
        <v>1513.21</v>
      </c>
      <c r="L988" s="1">
        <v>0.1</v>
      </c>
      <c r="M988" s="1">
        <v>4539.63</v>
      </c>
      <c r="N988" s="1">
        <v>453.96300000000002</v>
      </c>
      <c r="O988" s="1">
        <v>4085.6669999999999</v>
      </c>
      <c r="P988" s="1">
        <v>2247.1168499999999</v>
      </c>
      <c r="Q988" s="1">
        <v>1838.55015</v>
      </c>
      <c r="R988" s="1">
        <v>44.999999999999993</v>
      </c>
      <c r="S988" s="1" t="s">
        <v>93</v>
      </c>
    </row>
    <row r="989" spans="1:19" x14ac:dyDescent="0.35">
      <c r="A989" s="1" t="s">
        <v>1364</v>
      </c>
      <c r="B989" s="3">
        <v>45848</v>
      </c>
      <c r="C989" s="1" t="s">
        <v>62</v>
      </c>
      <c r="D989" s="1">
        <v>7</v>
      </c>
      <c r="E989" s="1" t="s">
        <v>710</v>
      </c>
      <c r="F989" s="1" t="s">
        <v>43</v>
      </c>
      <c r="G989" s="1" t="s">
        <v>23</v>
      </c>
      <c r="H989" s="1" t="s">
        <v>39</v>
      </c>
      <c r="I989" s="1" t="s">
        <v>40</v>
      </c>
      <c r="J989" s="1">
        <v>3</v>
      </c>
      <c r="K989" s="1">
        <v>42524.86</v>
      </c>
      <c r="L989" s="1">
        <v>0.15</v>
      </c>
      <c r="M989" s="1">
        <v>127574.58</v>
      </c>
      <c r="N989" s="1">
        <v>19136.187000000002</v>
      </c>
      <c r="O989" s="1">
        <v>108438.393</v>
      </c>
      <c r="P989" s="1">
        <v>84581.946540000004</v>
      </c>
      <c r="Q989" s="1">
        <v>23856.44646000001</v>
      </c>
      <c r="R989" s="1">
        <v>22</v>
      </c>
      <c r="S989" s="1" t="s">
        <v>73</v>
      </c>
    </row>
    <row r="990" spans="1:19" x14ac:dyDescent="0.35">
      <c r="A990" s="1" t="s">
        <v>1365</v>
      </c>
      <c r="B990" s="3">
        <v>45670</v>
      </c>
      <c r="C990" s="1" t="s">
        <v>193</v>
      </c>
      <c r="D990" s="1">
        <v>1</v>
      </c>
      <c r="E990" s="1" t="s">
        <v>1366</v>
      </c>
      <c r="F990" s="1" t="s">
        <v>69</v>
      </c>
      <c r="G990" s="1" t="s">
        <v>23</v>
      </c>
      <c r="H990" s="1" t="s">
        <v>53</v>
      </c>
      <c r="I990" s="1" t="s">
        <v>54</v>
      </c>
      <c r="J990" s="1">
        <v>3</v>
      </c>
      <c r="K990" s="1">
        <v>1215.25</v>
      </c>
      <c r="L990" s="1">
        <v>0.2</v>
      </c>
      <c r="M990" s="1">
        <v>3645.75</v>
      </c>
      <c r="N990" s="1">
        <v>729.15000000000009</v>
      </c>
      <c r="O990" s="1">
        <v>2916.6</v>
      </c>
      <c r="P990" s="1">
        <v>1691.6279999999999</v>
      </c>
      <c r="Q990" s="1">
        <v>1224.972</v>
      </c>
      <c r="R990" s="1">
        <v>42</v>
      </c>
      <c r="S990" s="1" t="s">
        <v>93</v>
      </c>
    </row>
    <row r="991" spans="1:19" x14ac:dyDescent="0.35">
      <c r="A991" s="1" t="s">
        <v>1367</v>
      </c>
      <c r="B991" s="3">
        <v>45821</v>
      </c>
      <c r="C991" s="1" t="s">
        <v>82</v>
      </c>
      <c r="D991" s="1">
        <v>6</v>
      </c>
      <c r="E991" s="1" t="s">
        <v>841</v>
      </c>
      <c r="F991" s="1" t="s">
        <v>30</v>
      </c>
      <c r="G991" s="1" t="s">
        <v>38</v>
      </c>
      <c r="H991" s="1" t="s">
        <v>39</v>
      </c>
      <c r="I991" s="1" t="s">
        <v>40</v>
      </c>
      <c r="J991" s="1">
        <v>6</v>
      </c>
      <c r="K991" s="1">
        <v>44808.27</v>
      </c>
      <c r="L991" s="1">
        <v>0.05</v>
      </c>
      <c r="M991" s="1">
        <v>268849.62</v>
      </c>
      <c r="N991" s="1">
        <v>13442.481</v>
      </c>
      <c r="O991" s="1">
        <v>255407.139</v>
      </c>
      <c r="P991" s="1">
        <v>199217.56842</v>
      </c>
      <c r="Q991" s="1">
        <v>56189.57058</v>
      </c>
      <c r="R991" s="1">
        <v>22</v>
      </c>
      <c r="S991" s="1" t="s">
        <v>93</v>
      </c>
    </row>
    <row r="992" spans="1:19" x14ac:dyDescent="0.35">
      <c r="A992" s="1" t="s">
        <v>1368</v>
      </c>
      <c r="B992" s="3">
        <v>45851</v>
      </c>
      <c r="C992" s="1" t="s">
        <v>62</v>
      </c>
      <c r="D992" s="1">
        <v>7</v>
      </c>
      <c r="E992" s="1" t="s">
        <v>328</v>
      </c>
      <c r="F992" s="1" t="s">
        <v>22</v>
      </c>
      <c r="G992" s="1" t="s">
        <v>23</v>
      </c>
      <c r="H992" s="1" t="s">
        <v>99</v>
      </c>
      <c r="I992" s="1" t="s">
        <v>145</v>
      </c>
      <c r="J992" s="1">
        <v>7</v>
      </c>
      <c r="K992" s="1">
        <v>7705.35</v>
      </c>
      <c r="L992" s="1">
        <v>0.05</v>
      </c>
      <c r="M992" s="1">
        <v>53937.45</v>
      </c>
      <c r="N992" s="1">
        <v>2696.8724999999999</v>
      </c>
      <c r="O992" s="1">
        <v>51240.577500000007</v>
      </c>
      <c r="P992" s="1">
        <v>34843.592700000008</v>
      </c>
      <c r="Q992" s="1">
        <v>16396.984799999998</v>
      </c>
      <c r="R992" s="1">
        <v>32</v>
      </c>
      <c r="S992" s="1" t="s">
        <v>93</v>
      </c>
    </row>
    <row r="993" spans="1:19" x14ac:dyDescent="0.35">
      <c r="A993" s="1" t="s">
        <v>1369</v>
      </c>
      <c r="B993" s="3">
        <v>45841</v>
      </c>
      <c r="C993" s="1" t="s">
        <v>62</v>
      </c>
      <c r="D993" s="1">
        <v>7</v>
      </c>
      <c r="E993" s="1" t="s">
        <v>57</v>
      </c>
      <c r="F993" s="1" t="s">
        <v>47</v>
      </c>
      <c r="G993" s="1" t="s">
        <v>23</v>
      </c>
      <c r="H993" s="1" t="s">
        <v>24</v>
      </c>
      <c r="I993" s="1" t="s">
        <v>48</v>
      </c>
      <c r="J993" s="1">
        <v>1</v>
      </c>
      <c r="K993" s="1">
        <v>2240.06</v>
      </c>
      <c r="L993" s="1">
        <v>0.3</v>
      </c>
      <c r="M993" s="1">
        <v>2240.06</v>
      </c>
      <c r="N993" s="1">
        <v>672.01799999999992</v>
      </c>
      <c r="O993" s="1">
        <v>1568.0419999999999</v>
      </c>
      <c r="P993" s="1">
        <v>862.42309999999998</v>
      </c>
      <c r="Q993" s="1">
        <v>705.61889999999994</v>
      </c>
      <c r="R993" s="1">
        <v>45</v>
      </c>
      <c r="S993" s="1" t="s">
        <v>60</v>
      </c>
    </row>
    <row r="994" spans="1:19" x14ac:dyDescent="0.35">
      <c r="A994" s="1" t="s">
        <v>1370</v>
      </c>
      <c r="B994" s="3">
        <v>45792</v>
      </c>
      <c r="C994" s="1" t="s">
        <v>97</v>
      </c>
      <c r="D994" s="1">
        <v>5</v>
      </c>
      <c r="E994" s="1" t="s">
        <v>833</v>
      </c>
      <c r="F994" s="1" t="s">
        <v>47</v>
      </c>
      <c r="G994" s="1" t="s">
        <v>23</v>
      </c>
      <c r="H994" s="1" t="s">
        <v>99</v>
      </c>
      <c r="I994" s="1" t="s">
        <v>108</v>
      </c>
      <c r="J994" s="1">
        <v>3</v>
      </c>
      <c r="K994" s="1">
        <v>19356.05</v>
      </c>
      <c r="L994" s="1">
        <v>0.1</v>
      </c>
      <c r="M994" s="1">
        <v>58068.149999999987</v>
      </c>
      <c r="N994" s="1">
        <v>5806.8149999999996</v>
      </c>
      <c r="O994" s="1">
        <v>52261.334999999992</v>
      </c>
      <c r="P994" s="1">
        <v>35537.707799999996</v>
      </c>
      <c r="Q994" s="1">
        <v>16723.627199999999</v>
      </c>
      <c r="R994" s="1">
        <v>32</v>
      </c>
      <c r="S994" s="1" t="s">
        <v>60</v>
      </c>
    </row>
    <row r="995" spans="1:19" x14ac:dyDescent="0.35">
      <c r="A995" s="1" t="s">
        <v>1371</v>
      </c>
      <c r="B995" s="3">
        <v>45901</v>
      </c>
      <c r="C995" s="1" t="s">
        <v>50</v>
      </c>
      <c r="D995" s="1">
        <v>9</v>
      </c>
      <c r="E995" s="1" t="s">
        <v>549</v>
      </c>
      <c r="F995" s="1" t="s">
        <v>69</v>
      </c>
      <c r="G995" s="1" t="s">
        <v>38</v>
      </c>
      <c r="H995" s="1" t="s">
        <v>77</v>
      </c>
      <c r="I995" s="1" t="s">
        <v>78</v>
      </c>
      <c r="J995" s="1">
        <v>6</v>
      </c>
      <c r="K995" s="1">
        <v>908.67</v>
      </c>
      <c r="L995" s="1">
        <v>0</v>
      </c>
      <c r="M995" s="1">
        <v>5452.02</v>
      </c>
      <c r="N995" s="1">
        <v>0</v>
      </c>
      <c r="O995" s="1">
        <v>5452.02</v>
      </c>
      <c r="P995" s="1">
        <v>3925.4544000000001</v>
      </c>
      <c r="Q995" s="1">
        <v>1526.5655999999999</v>
      </c>
      <c r="R995" s="1">
        <v>28</v>
      </c>
      <c r="S995" s="1" t="s">
        <v>26</v>
      </c>
    </row>
    <row r="996" spans="1:19" x14ac:dyDescent="0.35">
      <c r="A996" s="1" t="s">
        <v>1372</v>
      </c>
      <c r="B996" s="3">
        <v>45864</v>
      </c>
      <c r="C996" s="1" t="s">
        <v>62</v>
      </c>
      <c r="D996" s="1">
        <v>7</v>
      </c>
      <c r="E996" s="1" t="s">
        <v>932</v>
      </c>
      <c r="F996" s="1" t="s">
        <v>43</v>
      </c>
      <c r="G996" s="1" t="s">
        <v>38</v>
      </c>
      <c r="H996" s="1" t="s">
        <v>53</v>
      </c>
      <c r="I996" s="1" t="s">
        <v>128</v>
      </c>
      <c r="J996" s="1">
        <v>2</v>
      </c>
      <c r="K996" s="1">
        <v>859.85</v>
      </c>
      <c r="L996" s="1">
        <v>0.1</v>
      </c>
      <c r="M996" s="1">
        <v>1719.7</v>
      </c>
      <c r="N996" s="1">
        <v>171.97</v>
      </c>
      <c r="O996" s="1">
        <v>1547.73</v>
      </c>
      <c r="P996" s="1">
        <v>897.68339999999989</v>
      </c>
      <c r="Q996" s="1">
        <v>650.04660000000013</v>
      </c>
      <c r="R996" s="1">
        <v>42.000000000000007</v>
      </c>
      <c r="S996" s="1" t="s">
        <v>33</v>
      </c>
    </row>
    <row r="997" spans="1:19" x14ac:dyDescent="0.35">
      <c r="A997" s="1" t="s">
        <v>1373</v>
      </c>
      <c r="B997" s="3">
        <v>45830</v>
      </c>
      <c r="C997" s="1" t="s">
        <v>82</v>
      </c>
      <c r="D997" s="1">
        <v>6</v>
      </c>
      <c r="E997" s="1" t="s">
        <v>21</v>
      </c>
      <c r="F997" s="1" t="s">
        <v>58</v>
      </c>
      <c r="G997" s="1" t="s">
        <v>38</v>
      </c>
      <c r="H997" s="1" t="s">
        <v>77</v>
      </c>
      <c r="I997" s="1" t="s">
        <v>201</v>
      </c>
      <c r="J997" s="1">
        <v>3</v>
      </c>
      <c r="K997" s="1">
        <v>1026.08</v>
      </c>
      <c r="L997" s="1">
        <v>0.15</v>
      </c>
      <c r="M997" s="1">
        <v>3078.24</v>
      </c>
      <c r="N997" s="1">
        <v>461.73599999999988</v>
      </c>
      <c r="O997" s="1">
        <v>2616.5039999999999</v>
      </c>
      <c r="P997" s="1">
        <v>1883.8828799999999</v>
      </c>
      <c r="Q997" s="1">
        <v>732.62112000000002</v>
      </c>
      <c r="R997" s="1">
        <v>28</v>
      </c>
      <c r="S997" s="1" t="s">
        <v>60</v>
      </c>
    </row>
    <row r="998" spans="1:19" x14ac:dyDescent="0.35">
      <c r="A998" s="1" t="s">
        <v>1374</v>
      </c>
      <c r="B998" s="3">
        <v>45964</v>
      </c>
      <c r="C998" s="1" t="s">
        <v>56</v>
      </c>
      <c r="D998" s="1">
        <v>11</v>
      </c>
      <c r="E998" s="1" t="s">
        <v>301</v>
      </c>
      <c r="F998" s="1" t="s">
        <v>69</v>
      </c>
      <c r="G998" s="1" t="s">
        <v>64</v>
      </c>
      <c r="H998" s="1" t="s">
        <v>53</v>
      </c>
      <c r="I998" s="1" t="s">
        <v>185</v>
      </c>
      <c r="J998" s="1">
        <v>7</v>
      </c>
      <c r="K998" s="1">
        <v>1921.59</v>
      </c>
      <c r="L998" s="1">
        <v>0.1</v>
      </c>
      <c r="M998" s="1">
        <v>13451.13</v>
      </c>
      <c r="N998" s="1">
        <v>1345.1130000000001</v>
      </c>
      <c r="O998" s="1">
        <v>12106.017</v>
      </c>
      <c r="P998" s="1">
        <v>7021.4898599999997</v>
      </c>
      <c r="Q998" s="1">
        <v>5084.5271400000001</v>
      </c>
      <c r="R998" s="1">
        <v>42.000000000000007</v>
      </c>
      <c r="S998" s="1" t="s">
        <v>33</v>
      </c>
    </row>
    <row r="999" spans="1:19" x14ac:dyDescent="0.35">
      <c r="A999" s="1" t="s">
        <v>1375</v>
      </c>
      <c r="B999" s="3">
        <v>45960</v>
      </c>
      <c r="C999" s="1" t="s">
        <v>35</v>
      </c>
      <c r="D999" s="1">
        <v>10</v>
      </c>
      <c r="E999" s="1" t="s">
        <v>977</v>
      </c>
      <c r="F999" s="1" t="s">
        <v>76</v>
      </c>
      <c r="G999" s="1" t="s">
        <v>64</v>
      </c>
      <c r="H999" s="1" t="s">
        <v>53</v>
      </c>
      <c r="I999" s="1" t="s">
        <v>185</v>
      </c>
      <c r="J999" s="1">
        <v>6</v>
      </c>
      <c r="K999" s="1">
        <v>1857.86</v>
      </c>
      <c r="L999" s="1">
        <v>0.1</v>
      </c>
      <c r="M999" s="1">
        <v>11147.16</v>
      </c>
      <c r="N999" s="1">
        <v>1114.7159999999999</v>
      </c>
      <c r="O999" s="1">
        <v>10032.444</v>
      </c>
      <c r="P999" s="1">
        <v>5818.8175199999996</v>
      </c>
      <c r="Q999" s="1">
        <v>4213.6264799999999</v>
      </c>
      <c r="R999" s="1">
        <v>42</v>
      </c>
      <c r="S999" s="1" t="s">
        <v>93</v>
      </c>
    </row>
    <row r="1000" spans="1:19" x14ac:dyDescent="0.35">
      <c r="A1000" s="1" t="s">
        <v>1376</v>
      </c>
      <c r="B1000" s="3">
        <v>45683</v>
      </c>
      <c r="C1000" s="1" t="s">
        <v>193</v>
      </c>
      <c r="D1000" s="1">
        <v>1</v>
      </c>
      <c r="E1000" s="1" t="s">
        <v>138</v>
      </c>
      <c r="F1000" s="1" t="s">
        <v>76</v>
      </c>
      <c r="G1000" s="1" t="s">
        <v>38</v>
      </c>
      <c r="H1000" s="1" t="s">
        <v>31</v>
      </c>
      <c r="I1000" s="1" t="s">
        <v>167</v>
      </c>
      <c r="J1000" s="1">
        <v>3</v>
      </c>
      <c r="K1000" s="1">
        <v>2323.8000000000002</v>
      </c>
      <c r="L1000" s="1">
        <v>0</v>
      </c>
      <c r="M1000" s="1">
        <v>6971.4000000000005</v>
      </c>
      <c r="N1000" s="1">
        <v>0</v>
      </c>
      <c r="O1000" s="1">
        <v>6971.4000000000005</v>
      </c>
      <c r="P1000" s="1">
        <v>3625.1280000000011</v>
      </c>
      <c r="Q1000" s="1">
        <v>3346.2719999999999</v>
      </c>
      <c r="R1000" s="1">
        <v>47.999999999999993</v>
      </c>
      <c r="S1000" s="1" t="s">
        <v>73</v>
      </c>
    </row>
    <row r="1001" spans="1:19" x14ac:dyDescent="0.35">
      <c r="A1001" s="1" t="s">
        <v>1377</v>
      </c>
      <c r="B1001" s="3">
        <v>45812</v>
      </c>
      <c r="C1001" s="1" t="s">
        <v>82</v>
      </c>
      <c r="D1001" s="1">
        <v>6</v>
      </c>
      <c r="E1001" s="1" t="s">
        <v>675</v>
      </c>
      <c r="F1001" s="1" t="s">
        <v>22</v>
      </c>
      <c r="G1001" s="1" t="s">
        <v>64</v>
      </c>
      <c r="H1001" s="1" t="s">
        <v>31</v>
      </c>
      <c r="I1001" s="1" t="s">
        <v>59</v>
      </c>
      <c r="J1001" s="1">
        <v>7</v>
      </c>
      <c r="K1001" s="1">
        <v>513.63</v>
      </c>
      <c r="L1001" s="1">
        <v>0</v>
      </c>
      <c r="M1001" s="1">
        <v>3595.41</v>
      </c>
      <c r="N1001" s="1">
        <v>0</v>
      </c>
      <c r="O1001" s="1">
        <v>3595.41</v>
      </c>
      <c r="P1001" s="1">
        <v>1869.6132</v>
      </c>
      <c r="Q1001" s="1">
        <v>1725.7968000000001</v>
      </c>
      <c r="R1001" s="1">
        <v>48</v>
      </c>
      <c r="S1001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2DC6-F7B8-460E-BE12-E30470850646}">
  <dimension ref="A1:AC9"/>
  <sheetViews>
    <sheetView tabSelected="1" zoomScale="40" zoomScaleNormal="40" workbookViewId="0">
      <selection activeCell="AF34" sqref="AF34"/>
    </sheetView>
  </sheetViews>
  <sheetFormatPr defaultRowHeight="14.5" x14ac:dyDescent="0.35"/>
  <cols>
    <col min="8" max="8" width="1.1796875" customWidth="1"/>
    <col min="14" max="14" width="1.1796875" customWidth="1"/>
    <col min="20" max="20" width="1.1796875" customWidth="1"/>
    <col min="26" max="26" width="1.1796875" customWidth="1"/>
    <col min="30" max="30" width="14.1796875" bestFit="1" customWidth="1"/>
    <col min="31" max="31" width="24.54296875" bestFit="1" customWidth="1"/>
  </cols>
  <sheetData>
    <row r="1" spans="1:29" ht="43.5" customHeight="1" x14ac:dyDescent="0.35">
      <c r="A1" s="15" t="s">
        <v>1383</v>
      </c>
      <c r="B1" s="15"/>
      <c r="C1" s="16" t="s">
        <v>1384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4.5" customHeight="1" x14ac:dyDescent="0.35">
      <c r="A2" s="15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5.25" customHeight="1" x14ac:dyDescent="0.35"/>
    <row r="4" spans="1:29" ht="14.5" customHeight="1" x14ac:dyDescent="0.35">
      <c r="C4" s="13" t="s">
        <v>1385</v>
      </c>
      <c r="D4" s="13"/>
      <c r="E4" s="10" t="s">
        <v>1386</v>
      </c>
      <c r="F4" s="10"/>
      <c r="G4" s="10"/>
      <c r="I4" s="9" t="s">
        <v>1387</v>
      </c>
      <c r="J4" s="9"/>
      <c r="K4" s="10" t="s">
        <v>1388</v>
      </c>
      <c r="L4" s="10"/>
      <c r="M4" s="10"/>
      <c r="O4" s="9" t="s">
        <v>1389</v>
      </c>
      <c r="P4" s="9"/>
      <c r="Q4" s="14" t="s">
        <v>1390</v>
      </c>
      <c r="R4" s="14"/>
      <c r="S4" s="14"/>
      <c r="U4" s="9" t="s">
        <v>1391</v>
      </c>
      <c r="V4" s="9"/>
      <c r="W4" s="10" t="s">
        <v>1392</v>
      </c>
      <c r="X4" s="10"/>
      <c r="Y4" s="10"/>
    </row>
    <row r="5" spans="1:29" ht="14.5" customHeight="1" x14ac:dyDescent="0.35">
      <c r="C5" s="13"/>
      <c r="D5" s="13"/>
      <c r="E5" s="10"/>
      <c r="F5" s="10"/>
      <c r="G5" s="10"/>
      <c r="I5" s="9"/>
      <c r="J5" s="9"/>
      <c r="K5" s="10"/>
      <c r="L5" s="10"/>
      <c r="M5" s="10"/>
      <c r="O5" s="9"/>
      <c r="P5" s="9"/>
      <c r="Q5" s="14"/>
      <c r="R5" s="14"/>
      <c r="S5" s="14"/>
      <c r="U5" s="9"/>
      <c r="V5" s="9"/>
      <c r="W5" s="10"/>
      <c r="X5" s="10"/>
      <c r="Y5" s="10"/>
    </row>
    <row r="6" spans="1:29" ht="14.5" customHeight="1" x14ac:dyDescent="0.35">
      <c r="C6" s="13"/>
      <c r="D6" s="13"/>
      <c r="E6" s="12">
        <f>SUM(Analysis!O:O)</f>
        <v>31330169.655000001</v>
      </c>
      <c r="F6" s="12"/>
      <c r="G6" s="12"/>
      <c r="I6" s="9"/>
      <c r="J6" s="9"/>
      <c r="K6" s="11">
        <f>SUM(Analysis!Q:Q)</f>
        <v>8578483.484555006</v>
      </c>
      <c r="L6" s="11"/>
      <c r="M6" s="11"/>
      <c r="O6" s="9"/>
      <c r="P6" s="9"/>
      <c r="Q6" s="8" t="str">
        <f>TEXT(AVERAGE(SalesData[Profit_Margin_Pct]),"0.00")&amp;"%"</f>
        <v>36.35%</v>
      </c>
      <c r="R6" s="8"/>
      <c r="S6" s="8"/>
      <c r="U6" s="9"/>
      <c r="V6" s="9"/>
      <c r="W6" s="8">
        <f>AVERAGE(Analysis!L:L)</f>
        <v>0.12094999999999957</v>
      </c>
      <c r="X6" s="8"/>
      <c r="Y6" s="8"/>
    </row>
    <row r="7" spans="1:29" ht="14.5" customHeight="1" x14ac:dyDescent="0.35">
      <c r="C7" s="13"/>
      <c r="D7" s="13"/>
      <c r="E7" s="12"/>
      <c r="F7" s="12"/>
      <c r="G7" s="12"/>
      <c r="I7" s="9"/>
      <c r="J7" s="9"/>
      <c r="K7" s="11"/>
      <c r="L7" s="11"/>
      <c r="M7" s="11"/>
      <c r="O7" s="9"/>
      <c r="P7" s="9"/>
      <c r="Q7" s="8"/>
      <c r="R7" s="8"/>
      <c r="S7" s="8"/>
      <c r="U7" s="9"/>
      <c r="V7" s="9"/>
      <c r="W7" s="8"/>
      <c r="X7" s="8"/>
      <c r="Y7" s="8"/>
    </row>
    <row r="8" spans="1:29" ht="14.5" customHeight="1" x14ac:dyDescent="0.35">
      <c r="C8" s="13"/>
      <c r="D8" s="13"/>
      <c r="E8" s="12"/>
      <c r="F8" s="12"/>
      <c r="G8" s="12"/>
      <c r="I8" s="9"/>
      <c r="J8" s="9"/>
      <c r="K8" s="11"/>
      <c r="L8" s="11"/>
      <c r="M8" s="11"/>
      <c r="O8" s="9"/>
      <c r="P8" s="9"/>
      <c r="Q8" s="8"/>
      <c r="R8" s="8"/>
      <c r="S8" s="8"/>
      <c r="U8" s="9"/>
      <c r="V8" s="9"/>
      <c r="W8" s="8"/>
      <c r="X8" s="8"/>
      <c r="Y8" s="8"/>
    </row>
    <row r="9" spans="1:29" ht="6.75" customHeight="1" x14ac:dyDescent="0.35"/>
  </sheetData>
  <mergeCells count="14">
    <mergeCell ref="A1:B2"/>
    <mergeCell ref="Q6:S8"/>
    <mergeCell ref="U4:V8"/>
    <mergeCell ref="W4:Y5"/>
    <mergeCell ref="W6:Y8"/>
    <mergeCell ref="C1:AC2"/>
    <mergeCell ref="C4:D8"/>
    <mergeCell ref="E4:G5"/>
    <mergeCell ref="E6:G8"/>
    <mergeCell ref="I4:J8"/>
    <mergeCell ref="K4:M5"/>
    <mergeCell ref="K6:M8"/>
    <mergeCell ref="O4:P8"/>
    <mergeCell ref="Q4:S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Sales_Data</vt:lpstr>
      <vt:lpstr>PROFIT BY CATEGORY</vt:lpstr>
      <vt:lpstr>PROFIT BY PRODUCT</vt:lpstr>
      <vt:lpstr>DISCOUNT IMPACT ON PROFIT</vt:lpstr>
      <vt:lpstr>PROFIT BY STATE</vt:lpstr>
      <vt:lpstr>PROFIT BY SALES_CHANNEL</vt:lpstr>
      <vt:lpstr>SALES vs PROFIT CATEGORY</vt:lpstr>
      <vt:lpstr>PROFIT MARGIN BY CATEGORY</vt:lpstr>
      <vt:lpstr>MONTHLY SALES &amp; PROFIT</vt:lpstr>
      <vt:lpstr>Analysis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Yash Tripathi</cp:lastModifiedBy>
  <cp:revision/>
  <dcterms:created xsi:type="dcterms:W3CDTF">2026-08-14T06:59:35Z</dcterms:created>
  <dcterms:modified xsi:type="dcterms:W3CDTF">2026-08-16T13:08:34Z</dcterms:modified>
  <cp:category/>
  <cp:contentStatus/>
</cp:coreProperties>
</file>